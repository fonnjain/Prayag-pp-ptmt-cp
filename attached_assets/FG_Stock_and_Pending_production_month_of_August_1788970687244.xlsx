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47A746-BBAD-49D0-B11D-A310019FC04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FG Stock" sheetId="1" r:id="rId1"/>
    <sheet name="Pending Prod." sheetId="3" r:id="rId2"/>
  </sheets>
  <externalReferences>
    <externalReference r:id="rId3"/>
    <externalReference r:id="rId4"/>
  </externalReferences>
  <definedNames>
    <definedName name="_xlnm._FilterDatabase" localSheetId="0" hidden="1">'FG Stock'!$A$4:$P$1318</definedName>
    <definedName name="_xlnm._FilterDatabase" localSheetId="1" hidden="1">'Pending Prod.'!$A$1:$H$226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1" i="3" l="1"/>
  <c r="G234" i="3"/>
  <c r="G225" i="3"/>
  <c r="H225" i="3" s="1"/>
  <c r="G224" i="3"/>
  <c r="H224" i="3" s="1"/>
  <c r="G223" i="3"/>
  <c r="H223" i="3" s="1"/>
  <c r="G222" i="3"/>
  <c r="H222" i="3" s="1"/>
  <c r="G221" i="3"/>
  <c r="H221" i="3" s="1"/>
  <c r="G220" i="3"/>
  <c r="H220" i="3" s="1"/>
  <c r="G218" i="3"/>
  <c r="H218" i="3" s="1"/>
  <c r="G217" i="3"/>
  <c r="H217" i="3" s="1"/>
  <c r="G216" i="3"/>
  <c r="H216" i="3" s="1"/>
  <c r="G214" i="3"/>
  <c r="H214" i="3" s="1"/>
  <c r="G213" i="3"/>
  <c r="H213" i="3" s="1"/>
  <c r="G212" i="3"/>
  <c r="H212" i="3" s="1"/>
  <c r="G211" i="3"/>
  <c r="H211" i="3" s="1"/>
  <c r="G209" i="3"/>
  <c r="H209" i="3" s="1"/>
  <c r="G208" i="3"/>
  <c r="H208" i="3" s="1"/>
  <c r="G207" i="3"/>
  <c r="H207" i="3" s="1"/>
  <c r="G206" i="3"/>
  <c r="H206" i="3" s="1"/>
  <c r="G205" i="3"/>
  <c r="H205" i="3" s="1"/>
  <c r="G204" i="3"/>
  <c r="H204" i="3" s="1"/>
  <c r="G203" i="3"/>
  <c r="H203" i="3" s="1"/>
  <c r="G202" i="3"/>
  <c r="H202" i="3" s="1"/>
  <c r="G201" i="3"/>
  <c r="H201" i="3" s="1"/>
  <c r="G200" i="3"/>
  <c r="H200" i="3" s="1"/>
  <c r="G199" i="3"/>
  <c r="H199" i="3" s="1"/>
  <c r="G198" i="3"/>
  <c r="H198" i="3" s="1"/>
  <c r="G197" i="3"/>
  <c r="H197" i="3" s="1"/>
  <c r="G196" i="3"/>
  <c r="H196" i="3" s="1"/>
  <c r="G195" i="3"/>
  <c r="H195" i="3" s="1"/>
  <c r="G194" i="3"/>
  <c r="H194" i="3" s="1"/>
  <c r="G193" i="3"/>
  <c r="H193" i="3" s="1"/>
  <c r="G192" i="3"/>
  <c r="H192" i="3" s="1"/>
  <c r="G191" i="3"/>
  <c r="H191" i="3" s="1"/>
  <c r="G190" i="3"/>
  <c r="H190" i="3" s="1"/>
  <c r="G189" i="3"/>
  <c r="H189" i="3" s="1"/>
  <c r="G188" i="3"/>
  <c r="H188" i="3" s="1"/>
  <c r="G187" i="3"/>
  <c r="H187" i="3" s="1"/>
  <c r="G186" i="3"/>
  <c r="H186" i="3" s="1"/>
  <c r="G185" i="3"/>
  <c r="H185" i="3" s="1"/>
  <c r="G183" i="3"/>
  <c r="H183" i="3" s="1"/>
  <c r="G182" i="3"/>
  <c r="H182" i="3" s="1"/>
  <c r="G181" i="3"/>
  <c r="H181" i="3" s="1"/>
  <c r="G179" i="3"/>
  <c r="H179" i="3" s="1"/>
  <c r="G178" i="3"/>
  <c r="H178" i="3" s="1"/>
  <c r="G177" i="3"/>
  <c r="H177" i="3" s="1"/>
  <c r="G176" i="3"/>
  <c r="H176" i="3" s="1"/>
  <c r="H215" i="3" l="1"/>
  <c r="H219" i="3"/>
  <c r="H226" i="3"/>
  <c r="H180" i="3"/>
  <c r="H184" i="3"/>
  <c r="H210" i="3"/>
  <c r="G3" i="3" l="1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H133" i="3" s="1"/>
  <c r="G134" i="3"/>
  <c r="H134" i="3" s="1"/>
  <c r="G135" i="3"/>
  <c r="H135" i="3" s="1"/>
  <c r="G136" i="3"/>
  <c r="H136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170" i="3"/>
  <c r="H170" i="3" s="1"/>
  <c r="G171" i="3"/>
  <c r="H171" i="3" s="1"/>
  <c r="G172" i="3"/>
  <c r="H172" i="3" s="1"/>
  <c r="G173" i="3"/>
  <c r="H173" i="3" s="1"/>
  <c r="G174" i="3"/>
  <c r="H174" i="3" s="1"/>
  <c r="G2" i="3"/>
  <c r="H2" i="3" s="1"/>
  <c r="H137" i="3" l="1"/>
  <c r="H101" i="3"/>
  <c r="H175" i="3"/>
  <c r="H169" i="3"/>
  <c r="H44" i="3"/>
  <c r="G3" i="1" l="1"/>
  <c r="J83" i="1"/>
  <c r="J339" i="1"/>
  <c r="J382" i="1"/>
  <c r="J438" i="1"/>
  <c r="J486" i="1"/>
  <c r="J514" i="1"/>
  <c r="J550" i="1"/>
  <c r="J554" i="1"/>
  <c r="J582" i="1"/>
  <c r="J586" i="1"/>
  <c r="J614" i="1"/>
  <c r="J618" i="1"/>
  <c r="J646" i="1"/>
  <c r="J650" i="1"/>
  <c r="J678" i="1"/>
  <c r="J682" i="1"/>
  <c r="J710" i="1"/>
  <c r="J714" i="1"/>
  <c r="J742" i="1"/>
  <c r="J746" i="1"/>
  <c r="J1086" i="1"/>
  <c r="J1094" i="1"/>
  <c r="J1102" i="1"/>
  <c r="J1110" i="1"/>
  <c r="J1118" i="1"/>
  <c r="J1126" i="1"/>
  <c r="J1134" i="1"/>
  <c r="J1142" i="1"/>
  <c r="J1150" i="1"/>
  <c r="J1158" i="1"/>
  <c r="J1166" i="1"/>
  <c r="J1174" i="1"/>
  <c r="J1182" i="1"/>
  <c r="J1190" i="1"/>
  <c r="J1198" i="1"/>
  <c r="J1206" i="1"/>
  <c r="J1214" i="1"/>
  <c r="J1222" i="1"/>
  <c r="J1230" i="1"/>
  <c r="J1238" i="1"/>
  <c r="J1246" i="1"/>
  <c r="J1254" i="1"/>
  <c r="J1262" i="1"/>
  <c r="J1270" i="1"/>
  <c r="J1278" i="1"/>
  <c r="J1286" i="1"/>
  <c r="J1294" i="1"/>
  <c r="J1302" i="1"/>
  <c r="J1310" i="1"/>
  <c r="J1318" i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I551" i="1"/>
  <c r="J551" i="1" s="1"/>
  <c r="I552" i="1"/>
  <c r="J552" i="1" s="1"/>
  <c r="I553" i="1"/>
  <c r="J553" i="1" s="1"/>
  <c r="I554" i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I583" i="1"/>
  <c r="J583" i="1" s="1"/>
  <c r="I584" i="1"/>
  <c r="J584" i="1" s="1"/>
  <c r="I585" i="1"/>
  <c r="J585" i="1" s="1"/>
  <c r="I586" i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I615" i="1"/>
  <c r="J615" i="1" s="1"/>
  <c r="I616" i="1"/>
  <c r="J616" i="1" s="1"/>
  <c r="I617" i="1"/>
  <c r="J617" i="1" s="1"/>
  <c r="I618" i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I647" i="1"/>
  <c r="J647" i="1" s="1"/>
  <c r="I648" i="1"/>
  <c r="J648" i="1" s="1"/>
  <c r="I649" i="1"/>
  <c r="J649" i="1" s="1"/>
  <c r="I650" i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I679" i="1"/>
  <c r="J679" i="1" s="1"/>
  <c r="I680" i="1"/>
  <c r="J680" i="1" s="1"/>
  <c r="I681" i="1"/>
  <c r="J681" i="1" s="1"/>
  <c r="I682" i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I711" i="1"/>
  <c r="J711" i="1" s="1"/>
  <c r="I712" i="1"/>
  <c r="J712" i="1" s="1"/>
  <c r="I713" i="1"/>
  <c r="J713" i="1" s="1"/>
  <c r="I714" i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I743" i="1"/>
  <c r="J743" i="1" s="1"/>
  <c r="I744" i="1"/>
  <c r="J744" i="1" s="1"/>
  <c r="I745" i="1"/>
  <c r="J745" i="1" s="1"/>
  <c r="I746" i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I5" i="1"/>
  <c r="J5" i="1" s="1"/>
  <c r="I3" i="1" l="1"/>
  <c r="F3" i="1"/>
  <c r="M3" i="1"/>
  <c r="L3" i="1" l="1"/>
  <c r="E3" i="1" l="1"/>
  <c r="H3" i="1" l="1"/>
  <c r="N3" i="1" l="1"/>
  <c r="J3" i="1"/>
</calcChain>
</file>

<file path=xl/sharedStrings.xml><?xml version="1.0" encoding="utf-8"?>
<sst xmlns="http://schemas.openxmlformats.org/spreadsheetml/2006/main" count="4522" uniqueCount="2461">
  <si>
    <t/>
  </si>
  <si>
    <t>August</t>
  </si>
  <si>
    <t>TOTAL</t>
  </si>
  <si>
    <t>Item Code</t>
  </si>
  <si>
    <t>Item Name</t>
  </si>
  <si>
    <t>Category</t>
  </si>
  <si>
    <t>Packing</t>
  </si>
  <si>
    <t>Production</t>
  </si>
  <si>
    <t>Sale/Out</t>
  </si>
  <si>
    <t>Closing Stock</t>
  </si>
  <si>
    <t>Reserve Sale+(Pi)</t>
  </si>
  <si>
    <t>Net Stock</t>
  </si>
  <si>
    <t>Weight</t>
  </si>
  <si>
    <t>Total weight</t>
  </si>
  <si>
    <t>New MRP</t>
  </si>
  <si>
    <t>Total value</t>
  </si>
  <si>
    <t>PS-1</t>
  </si>
  <si>
    <t>1/2" CPVC SDR 11 CLASS 1</t>
  </si>
  <si>
    <t>CPVC-PIPE</t>
  </si>
  <si>
    <t>PS-2</t>
  </si>
  <si>
    <t>3/4" CPVC SDR 11 CLASS 1</t>
  </si>
  <si>
    <t>PS-3</t>
  </si>
  <si>
    <t>1" CPVC SDR 11 CLASS 1</t>
  </si>
  <si>
    <t>PS-4</t>
  </si>
  <si>
    <t>1-1/4" CPVC SDR 11 CLASS 1</t>
  </si>
  <si>
    <t>PS-5</t>
  </si>
  <si>
    <t>1-1/2" CPVC SDR 11 CLASS 1</t>
  </si>
  <si>
    <t>PS-6</t>
  </si>
  <si>
    <t>2" CPVC SDR 11 CLASS 1</t>
  </si>
  <si>
    <t>PS-7</t>
  </si>
  <si>
    <t>2-1/2" PIPE SCH 80 (3MTR LENGTH)</t>
  </si>
  <si>
    <t>PS-8</t>
  </si>
  <si>
    <t>3" CPVC PIPE SCH 80 (3MTR LENGTH)</t>
  </si>
  <si>
    <t>PS-9</t>
  </si>
  <si>
    <t>4" PIPE SCH 80 (3MTR LENGTH)</t>
  </si>
  <si>
    <t>PS-10</t>
  </si>
  <si>
    <t>6 CPVC PIPE SCH 80 (3MTR)</t>
  </si>
  <si>
    <t>PS-11</t>
  </si>
  <si>
    <t>1/2" CPVC SDR 13.5 CLASS 2</t>
  </si>
  <si>
    <t>PS-12</t>
  </si>
  <si>
    <t>3/4" CPVC SDR 13.5 CLASS 2</t>
  </si>
  <si>
    <t>PS-13</t>
  </si>
  <si>
    <t>1" CPVC SDR 13.5 CLASS 2</t>
  </si>
  <si>
    <t>PS-14</t>
  </si>
  <si>
    <t>1-1/4" CPVC SDR 13.5 CLASS 2</t>
  </si>
  <si>
    <t>PS-15</t>
  </si>
  <si>
    <t>1-1/2" CPVC SDR 13.5 CLASS 2</t>
  </si>
  <si>
    <t>PS-16</t>
  </si>
  <si>
    <t>PS-17</t>
  </si>
  <si>
    <t>2-1/2" PIPE SCH 40 (3MTR LENGTH)</t>
  </si>
  <si>
    <t>PS-18</t>
  </si>
  <si>
    <t>3" PIPE SCH 40 (3MTR LENGTH)</t>
  </si>
  <si>
    <t>PS-19</t>
  </si>
  <si>
    <t>4" PIPE SCH 40(3MTR LENGTH)</t>
  </si>
  <si>
    <t>PS-20</t>
  </si>
  <si>
    <t>6 CPVC PIPE SCH 40 (3MTR)</t>
  </si>
  <si>
    <t>PS-1S</t>
  </si>
  <si>
    <t>PS-2S</t>
  </si>
  <si>
    <t>PS-3S</t>
  </si>
  <si>
    <t>PS-4S</t>
  </si>
  <si>
    <t>PS-5S</t>
  </si>
  <si>
    <t>PS-6S</t>
  </si>
  <si>
    <t>PS-7S</t>
  </si>
  <si>
    <t>2-1/2" PIPE SCH 80 (5MTR LENGTH)</t>
  </si>
  <si>
    <t>PS-8S</t>
  </si>
  <si>
    <t>3" CPVC PIPE SCH 80 (5MTR LENGTH)</t>
  </si>
  <si>
    <t>PS-9S</t>
  </si>
  <si>
    <t>4" PIPE SCH 80 (5MTR LENGTH)</t>
  </si>
  <si>
    <t>PS-10S</t>
  </si>
  <si>
    <t>6" PIPE SCH 80 (5MTR LENGTH)</t>
  </si>
  <si>
    <t>PS-11S</t>
  </si>
  <si>
    <t>PS-12S</t>
  </si>
  <si>
    <t>PS-13S</t>
  </si>
  <si>
    <t>PS-14S</t>
  </si>
  <si>
    <t>PS-15S</t>
  </si>
  <si>
    <t>PS-16S</t>
  </si>
  <si>
    <t>2" CPVC SDR 13.5 CLASS 2</t>
  </si>
  <si>
    <t>PS-17S</t>
  </si>
  <si>
    <t>2-1/2" PIPE SCH 40 (5MTR LENGTH)</t>
  </si>
  <si>
    <t>PS-18S</t>
  </si>
  <si>
    <t>3" PIPE SCH 40 (5MTR LENGTH)</t>
  </si>
  <si>
    <t>PS-19S</t>
  </si>
  <si>
    <t>4" PIPE SCH 40(5MTR LENGTH)</t>
  </si>
  <si>
    <t>PS-20S</t>
  </si>
  <si>
    <t>6 CPVC PIPE SCH 40 (5MTR)</t>
  </si>
  <si>
    <t>C12</t>
  </si>
  <si>
    <t>3/4" CPVC STEP OVER BEND</t>
  </si>
  <si>
    <t>CPVC-FG</t>
  </si>
  <si>
    <t>C13</t>
  </si>
  <si>
    <t>1" CPVC STEP OVER BEND</t>
  </si>
  <si>
    <t>C121</t>
  </si>
  <si>
    <t>1/2" SHORT BEND</t>
  </si>
  <si>
    <t>closed item</t>
  </si>
  <si>
    <t>C122</t>
  </si>
  <si>
    <t>3/4" SHORT BEND</t>
  </si>
  <si>
    <t>C123</t>
  </si>
  <si>
    <t>1" SHORT BEND</t>
  </si>
  <si>
    <t>C124</t>
  </si>
  <si>
    <t>1-1/4" SHORT BEND</t>
  </si>
  <si>
    <t>C125</t>
  </si>
  <si>
    <t>1-1/2" SHORT BEND</t>
  </si>
  <si>
    <t>C126</t>
  </si>
  <si>
    <t>2" SHORT BEND</t>
  </si>
  <si>
    <t>CM21</t>
  </si>
  <si>
    <t>3/4" X 1/2" CPVC BRASS WALL MIXTURE INLET UPPER</t>
  </si>
  <si>
    <t>CM22</t>
  </si>
  <si>
    <t>3/4" X 1/2" CPVC BRASS WALL MIXTURE INLET DOWN</t>
  </si>
  <si>
    <t>CM23</t>
  </si>
  <si>
    <t>3/4" X 1/2" CPVC BRASS WALL MIXTURE (S)</t>
  </si>
  <si>
    <t>CM24</t>
  </si>
  <si>
    <t>3/4" X 1/2" CPVC BRASS WALL MIXTURE (UD)</t>
  </si>
  <si>
    <t>CM25</t>
  </si>
  <si>
    <t>3/4" X 1/2" CPVC BRASS WALL MIXTURE (SD)</t>
  </si>
  <si>
    <t>CM26</t>
  </si>
  <si>
    <t>3/4" X 1/2" CPVC BRASS WALL KITCHEN MIXTURE</t>
  </si>
  <si>
    <t>C22</t>
  </si>
  <si>
    <t>3/4" CPVC CTS BALLVALVE</t>
  </si>
  <si>
    <t>C23</t>
  </si>
  <si>
    <t>1" CPVC CTS BALL VALVE</t>
  </si>
  <si>
    <t>C24</t>
  </si>
  <si>
    <t>1-1/4" CPVC CTS BALL VALVE</t>
  </si>
  <si>
    <t>C25</t>
  </si>
  <si>
    <t>1-1/2" CPVC CTS BALL VALVE</t>
  </si>
  <si>
    <t>C26</t>
  </si>
  <si>
    <t>2" CPVC CTS BALL VALVE</t>
  </si>
  <si>
    <t>C22L</t>
  </si>
  <si>
    <t>3/4" CPVC CTS  BALL VALVE WITH LEVER HANDEL</t>
  </si>
  <si>
    <t>C23L</t>
  </si>
  <si>
    <t>1" CPVC CTS  BALL VALVE WITH LEVER HANDEL</t>
  </si>
  <si>
    <t>C24L</t>
  </si>
  <si>
    <t>1-1/4" CPVC CTS  BALL VALVE WITH LEVER HANDEL</t>
  </si>
  <si>
    <t>C25L</t>
  </si>
  <si>
    <t>1-1/2" CPVC CTS  BALL VALVE WITH LEVER HANDEL</t>
  </si>
  <si>
    <t>C26L</t>
  </si>
  <si>
    <t>2" CPVC CTS  BALL VALVE WITH LEVER HANDEL</t>
  </si>
  <si>
    <t>C32</t>
  </si>
  <si>
    <t>3/4" CPVC UNION</t>
  </si>
  <si>
    <t>C33</t>
  </si>
  <si>
    <t>1" CPVC UNION</t>
  </si>
  <si>
    <t>C34</t>
  </si>
  <si>
    <t>1-1/4" CPVC UNION</t>
  </si>
  <si>
    <t>C35</t>
  </si>
  <si>
    <t>1-1/2" CPVC UNION</t>
  </si>
  <si>
    <t>C36</t>
  </si>
  <si>
    <t>2" CPVC UNION</t>
  </si>
  <si>
    <t>C41</t>
  </si>
  <si>
    <t>1/2" CPVC COUPLING</t>
  </si>
  <si>
    <t>C42</t>
  </si>
  <si>
    <t>3/4" CPVC COUPLING</t>
  </si>
  <si>
    <t>C43</t>
  </si>
  <si>
    <t>1" CPVC COUPLING</t>
  </si>
  <si>
    <t>C44</t>
  </si>
  <si>
    <t>1-1/4" CPVC COUPLING</t>
  </si>
  <si>
    <t>C45</t>
  </si>
  <si>
    <t>1-1/2" CPVC COUPLING</t>
  </si>
  <si>
    <t>C46</t>
  </si>
  <si>
    <t>2" CPVC COUPLING</t>
  </si>
  <si>
    <t>C47</t>
  </si>
  <si>
    <t>2-1/2" CPVC COUPLING</t>
  </si>
  <si>
    <t>C48</t>
  </si>
  <si>
    <t>3" CPVC COUPLING</t>
  </si>
  <si>
    <t>C49</t>
  </si>
  <si>
    <t>4" CPVC COUPLING</t>
  </si>
  <si>
    <t>C50</t>
  </si>
  <si>
    <t>3/4"X1/2" RED.90° ELBOW</t>
  </si>
  <si>
    <t>C51</t>
  </si>
  <si>
    <t>1/2" CPVC 90 DEG ELBOW (NEW)</t>
  </si>
  <si>
    <t>C52</t>
  </si>
  <si>
    <t>3/4" CPVC 90 DEG ELBOW(NEW)</t>
  </si>
  <si>
    <t>C53</t>
  </si>
  <si>
    <t>1" CPVC  90 DEG ELBOW(NEW)</t>
  </si>
  <si>
    <t>C54</t>
  </si>
  <si>
    <t>1-1/4" CPVC 90 DEG ELBOW(NEW)</t>
  </si>
  <si>
    <t>C55</t>
  </si>
  <si>
    <t>1-1/2" CPVC 90 DEG ELBOW(NEW)</t>
  </si>
  <si>
    <t>C56</t>
  </si>
  <si>
    <t>2" CPVC 90 DEG ELBOW(NEW)</t>
  </si>
  <si>
    <t>C57</t>
  </si>
  <si>
    <t>2-1/2" CPVC 90 DEG ELBOW(NEW)</t>
  </si>
  <si>
    <t>C58</t>
  </si>
  <si>
    <t>3" CPVC 90 DEG ELBOW(NEW)</t>
  </si>
  <si>
    <t>C59</t>
  </si>
  <si>
    <t>4" CPVC 90 DEG ELBOW(NEW)</t>
  </si>
  <si>
    <t>C61</t>
  </si>
  <si>
    <t>1/2" CPVC TEE</t>
  </si>
  <si>
    <t>C62</t>
  </si>
  <si>
    <t>3/4" CPVC  TEE</t>
  </si>
  <si>
    <t>C63</t>
  </si>
  <si>
    <t>1" CPVC TEE</t>
  </si>
  <si>
    <t>C64</t>
  </si>
  <si>
    <t>1-1/4" CPVC TEE</t>
  </si>
  <si>
    <t>C65</t>
  </si>
  <si>
    <t>1-1/2" CPVC TEE</t>
  </si>
  <si>
    <t>C66</t>
  </si>
  <si>
    <t>2" CPVC TEE</t>
  </si>
  <si>
    <t>C67</t>
  </si>
  <si>
    <t>2-1/2" CPVC TEE</t>
  </si>
  <si>
    <t>C68</t>
  </si>
  <si>
    <t>3" CPVC TEE</t>
  </si>
  <si>
    <t>C69</t>
  </si>
  <si>
    <t>4" CPVC TEE</t>
  </si>
  <si>
    <t>C71</t>
  </si>
  <si>
    <t>3/4" X 1/2" CPVC MALE ADAPTER BRASS THD</t>
  </si>
  <si>
    <t>C72</t>
  </si>
  <si>
    <t>3/4" CPVC MALE ADAPTER BRASS THD</t>
  </si>
  <si>
    <t>C73</t>
  </si>
  <si>
    <t>1" CPVC MALE ADAPTER BRASS THD</t>
  </si>
  <si>
    <t>C74</t>
  </si>
  <si>
    <t>1-1/4" CPVC MALE ADAPTER BRASS THD</t>
  </si>
  <si>
    <t>C75</t>
  </si>
  <si>
    <t>1-1/2" CPVC MALE ADAPTER BRASS THD</t>
  </si>
  <si>
    <t>C76</t>
  </si>
  <si>
    <t>2" CPVC MALE ADAPTER BRASS THD</t>
  </si>
  <si>
    <t>C82</t>
  </si>
  <si>
    <t>3/4" CPVC FEMALE ADAPTER BRASS THD</t>
  </si>
  <si>
    <t>C83</t>
  </si>
  <si>
    <t>1" CPVC FEMALE ADAPTER BRASS THD</t>
  </si>
  <si>
    <t>C84</t>
  </si>
  <si>
    <t>1-1/4" CPVC FEMALE ADAPTER BRASS THD</t>
  </si>
  <si>
    <t>C85</t>
  </si>
  <si>
    <t>1-1/2" CPVC FEMALE ADAPTER BRASS THD</t>
  </si>
  <si>
    <t>C86</t>
  </si>
  <si>
    <t>2" CPVC FEMALE ADAPTER BRASS THD</t>
  </si>
  <si>
    <t>C90</t>
  </si>
  <si>
    <t>3/4"X1/2" FEMALE ADAPTER PLASTIC THD</t>
  </si>
  <si>
    <t>C91</t>
  </si>
  <si>
    <t>1"X3/4" FEMALE ADAPTER PLASTIC THD</t>
  </si>
  <si>
    <t>C92</t>
  </si>
  <si>
    <t>3/4" CPVC FEMALE ADAPTER PLASTIC THD</t>
  </si>
  <si>
    <t>C93</t>
  </si>
  <si>
    <t>1" CPVC  FEMALE ADAPTER PLASTIC THD</t>
  </si>
  <si>
    <t>C94</t>
  </si>
  <si>
    <t>1-1/4" CPVC FG FEMALE ADAPTER PLASTIC  THD</t>
  </si>
  <si>
    <t>C95</t>
  </si>
  <si>
    <t>1-1/2" CPVC FG FEMALE ADAPTER PLASTIC  THD</t>
  </si>
  <si>
    <t>C96</t>
  </si>
  <si>
    <t>2" CPVC FG FEMALE ADAPTER PLASTIC  THD</t>
  </si>
  <si>
    <t>C97</t>
  </si>
  <si>
    <t>2-1/2" CPVC FG FEMALE ADAPTER PLASTIC  THD</t>
  </si>
  <si>
    <t>C98</t>
  </si>
  <si>
    <t>3" CPVC FG FEMALE ADAPTER PLASTIC  THD</t>
  </si>
  <si>
    <t>C99</t>
  </si>
  <si>
    <t>4" CPVC FG FEMALE ADAPTER PLASTIC  THD</t>
  </si>
  <si>
    <t>C101</t>
  </si>
  <si>
    <t>3/4" X 1/2" CPVC MALE ADAPTER PLASTIC THD</t>
  </si>
  <si>
    <t>C102</t>
  </si>
  <si>
    <t>3/4" CPVC MALE ADAPTER PLASTIC THD</t>
  </si>
  <si>
    <t>C103</t>
  </si>
  <si>
    <t>1" CPVC MALE ADAPTER PLASTIC THD</t>
  </si>
  <si>
    <t>C104</t>
  </si>
  <si>
    <t>1-1/4" CPVC MALE ADAPTER PLASTIC THD (BSPT)</t>
  </si>
  <si>
    <t>C105</t>
  </si>
  <si>
    <t>1-1/2" CPVC MALE ADAPTER PLASTIC THD (BSPT)</t>
  </si>
  <si>
    <t>C106</t>
  </si>
  <si>
    <t>2" CPVC MALE ADAPTER PLASTIC THD (BSPT)</t>
  </si>
  <si>
    <t>C107</t>
  </si>
  <si>
    <t>2-1/2" CPVC MALE ADAPTER PLASTIC THD (BSPT)</t>
  </si>
  <si>
    <t>C108</t>
  </si>
  <si>
    <t>3" CPVC MALE ADAPTER PLASTIC THD (BSPT)</t>
  </si>
  <si>
    <t>C109</t>
  </si>
  <si>
    <t>4" CPVC MALE ADAPTER PLASTIC THD (BSPT)</t>
  </si>
  <si>
    <t>C131</t>
  </si>
  <si>
    <t>1"X1/2" MALE ADAOTER PLASTIC THD (BSPT)</t>
  </si>
  <si>
    <t>C132</t>
  </si>
  <si>
    <t>1"X3/4" MALE ADAOTER PLASTIC THD (BSPT)</t>
  </si>
  <si>
    <t>C221</t>
  </si>
  <si>
    <t>3/4"X1/2" CPVC RED.TEE</t>
  </si>
  <si>
    <t>C230L</t>
  </si>
  <si>
    <t>1/2" CPVC EXPANSION LOOP</t>
  </si>
  <si>
    <t>C231L</t>
  </si>
  <si>
    <t>3/4" CPVC EXPANSION LOOP</t>
  </si>
  <si>
    <t>C232</t>
  </si>
  <si>
    <t>1" X 3/4" CPVC RED. TEE</t>
  </si>
  <si>
    <t>C232L</t>
  </si>
  <si>
    <t>1" CPVC EXPANSION LOOP</t>
  </si>
  <si>
    <t>C233L</t>
  </si>
  <si>
    <t>1-1/4" CPVC EXPANSION LOOP</t>
  </si>
  <si>
    <t>C234L</t>
  </si>
  <si>
    <t>1-1/2" CPVC EXPANSION LOOP</t>
  </si>
  <si>
    <t>C235L</t>
  </si>
  <si>
    <t>2" CPVC EXPANSION LOOP</t>
  </si>
  <si>
    <t>C242</t>
  </si>
  <si>
    <t>1-1/4" X 3/4" CPVC RED. TEE</t>
  </si>
  <si>
    <t>C243</t>
  </si>
  <si>
    <t>1-1/4" X 1"  CPVC RED. TEE</t>
  </si>
  <si>
    <t>C253</t>
  </si>
  <si>
    <t>1-1/2"  X 1" CPVC RED. TEE</t>
  </si>
  <si>
    <t>C272N</t>
  </si>
  <si>
    <t>3/4" CPVC THREDED TANK NIPPLE</t>
  </si>
  <si>
    <t>C273N</t>
  </si>
  <si>
    <t>1" CPVC THREDED TANK NIPPLE</t>
  </si>
  <si>
    <t>C274N</t>
  </si>
  <si>
    <t>1-1/4" CPVC THREDED TANK NIPPLE</t>
  </si>
  <si>
    <t>C275N</t>
  </si>
  <si>
    <t>1-1/2" CPVC THREDED TANK NIPPLE</t>
  </si>
  <si>
    <t>C276N</t>
  </si>
  <si>
    <t>2" CPVC THREDED TANK NIPPLE</t>
  </si>
  <si>
    <t>C272</t>
  </si>
  <si>
    <t>3/4" CPVC TANK NIPPLE</t>
  </si>
  <si>
    <t>C273</t>
  </si>
  <si>
    <t>1" CPVC TANK NIPPLE</t>
  </si>
  <si>
    <t>C274</t>
  </si>
  <si>
    <t>1-1/4" CPVC TANK NIPPLE</t>
  </si>
  <si>
    <t>C275</t>
  </si>
  <si>
    <t>1-1/2" CPVC TANK NIPPLE</t>
  </si>
  <si>
    <t>C276</t>
  </si>
  <si>
    <t>2" CPVC TANK NIPPLE</t>
  </si>
  <si>
    <t>C320</t>
  </si>
  <si>
    <t>3/4" CROSS TEE</t>
  </si>
  <si>
    <t>C321</t>
  </si>
  <si>
    <t>1/2" CPVC BRASS FPT TEE</t>
  </si>
  <si>
    <t>C322</t>
  </si>
  <si>
    <t>3/4" X 1/2" CPVC RED. BRASS FPT TEE</t>
  </si>
  <si>
    <t>C323</t>
  </si>
  <si>
    <t>1" X 1/2" CPVC RED. BRASS FPT TEE</t>
  </si>
  <si>
    <t>C330</t>
  </si>
  <si>
    <t>1" CROSS TEE</t>
  </si>
  <si>
    <t>C333</t>
  </si>
  <si>
    <t>3/4"X3/4" BRASS TEE</t>
  </si>
  <si>
    <t>C342</t>
  </si>
  <si>
    <t>1-1/4"X1/2" BRASS TEE</t>
  </si>
  <si>
    <t>C344</t>
  </si>
  <si>
    <t>1-1/4" BRASS TEE</t>
  </si>
  <si>
    <t>C502</t>
  </si>
  <si>
    <t>3/4" CPVC 45 DEG. ELBOW SOC.(NEW)</t>
  </si>
  <si>
    <t>C503</t>
  </si>
  <si>
    <t>1" CPVC 45 DEG. ELBOW SOC(NEW)</t>
  </si>
  <si>
    <t>C504</t>
  </si>
  <si>
    <t>1-1/4" CPVC 45 DEG. ELBOW SOC(NEW)</t>
  </si>
  <si>
    <t>C505</t>
  </si>
  <si>
    <t>1-1/2" CPVC 45 DEG. ELBOW SOC(NEW)</t>
  </si>
  <si>
    <t>C506</t>
  </si>
  <si>
    <t>2" CPVC 45 DEG. ELBOW SOC(NEW)</t>
  </si>
  <si>
    <t>C521</t>
  </si>
  <si>
    <t>3/4" X 1/2" CPVC BRASS FPT 90 DEG. ELBOW(NEW)</t>
  </si>
  <si>
    <t>C523</t>
  </si>
  <si>
    <t>1"X1/2" CPVC BRASS FPT 90 DEG.ELBOW</t>
  </si>
  <si>
    <t>C524</t>
  </si>
  <si>
    <t>1"X3/4" CPVC BRASS FPT 90 DEG.ELBOW</t>
  </si>
  <si>
    <t>C526</t>
  </si>
  <si>
    <t>1/2" CPVC BRASS FPT 90 DEG.ELBOW</t>
  </si>
  <si>
    <t>C527</t>
  </si>
  <si>
    <t>3/4" CPVC BRASS FPT 90 DEG.ELBOW</t>
  </si>
  <si>
    <t>C528</t>
  </si>
  <si>
    <t>1" CPVC BRASS FPT 90 DEG.ELBOW</t>
  </si>
  <si>
    <t>C529</t>
  </si>
  <si>
    <t>1-1/4" CPVC BRASS FPT 90 DEG.ELBOW</t>
  </si>
  <si>
    <t>C532</t>
  </si>
  <si>
    <t>1"X3/4" RED.90° ELBOW</t>
  </si>
  <si>
    <t>C601</t>
  </si>
  <si>
    <t>1/2" CPVC CAP</t>
  </si>
  <si>
    <t>C602</t>
  </si>
  <si>
    <t>3/4" CPVC CAP</t>
  </si>
  <si>
    <t>C603</t>
  </si>
  <si>
    <t>1" CPVC CAP</t>
  </si>
  <si>
    <t>C604</t>
  </si>
  <si>
    <t>1-1/4" CPVC CAP</t>
  </si>
  <si>
    <t>C605</t>
  </si>
  <si>
    <t>1-1/2" CPVC CAP</t>
  </si>
  <si>
    <t>C606</t>
  </si>
  <si>
    <t>2" CPVC CAP</t>
  </si>
  <si>
    <t>C607</t>
  </si>
  <si>
    <t>2-1/2" CPVC CAP</t>
  </si>
  <si>
    <t>C608</t>
  </si>
  <si>
    <t>3" CPVC CAP</t>
  </si>
  <si>
    <t>C609</t>
  </si>
  <si>
    <t>4" CPVC CAP</t>
  </si>
  <si>
    <t>C702</t>
  </si>
  <si>
    <t>3/4" CPVC TRANSITION BUSHING</t>
  </si>
  <si>
    <t>C703</t>
  </si>
  <si>
    <t>1" CPVC TRANSITION BUSHING</t>
  </si>
  <si>
    <t>C703N</t>
  </si>
  <si>
    <t>1" TRANSION BUSH NEW</t>
  </si>
  <si>
    <t>C704</t>
  </si>
  <si>
    <t>1-1/4" CPVC TRANSITION BUSHING</t>
  </si>
  <si>
    <t>C731</t>
  </si>
  <si>
    <t>1"X1/2" MABT</t>
  </si>
  <si>
    <t>C732</t>
  </si>
  <si>
    <t>1"X3/4" MABT</t>
  </si>
  <si>
    <t>C832</t>
  </si>
  <si>
    <t>1" X 3/4" CPVC RED. BUSHING</t>
  </si>
  <si>
    <t>C841</t>
  </si>
  <si>
    <t>1-1/4" X 1/2" CPVC  RED. BUSHING</t>
  </si>
  <si>
    <t>C842</t>
  </si>
  <si>
    <t>1-1/4" X 3/4" CPVC  RED. BUSHING</t>
  </si>
  <si>
    <t>C843</t>
  </si>
  <si>
    <t>1-1/4" X 1" CPVC  RED. BUSHING</t>
  </si>
  <si>
    <t>C851</t>
  </si>
  <si>
    <t>1-1/2" X 1/2" CPVC  RED. BUSHING</t>
  </si>
  <si>
    <t>C852</t>
  </si>
  <si>
    <t>1-1/2" X 3/4" CPVC  RED. BUSHING</t>
  </si>
  <si>
    <t>C853</t>
  </si>
  <si>
    <t>1-1/2" X 1" CPVC  RED. BUSHING</t>
  </si>
  <si>
    <t>C854</t>
  </si>
  <si>
    <t>1-1/2" X 1-1/4" CPVC  RED. BUSHING</t>
  </si>
  <si>
    <t>C862</t>
  </si>
  <si>
    <t>2" X 3/4" CPVC  RED. BUSHING</t>
  </si>
  <si>
    <t>C863</t>
  </si>
  <si>
    <t>2" X 1" CPVC  RED. BUSHING</t>
  </si>
  <si>
    <t>C864</t>
  </si>
  <si>
    <t>2" X 1-1/4" CPVC  RED. BUSHING</t>
  </si>
  <si>
    <t>C865</t>
  </si>
  <si>
    <t>2" X 1-1/2" CPVC  RED. BUSHING</t>
  </si>
  <si>
    <t>C875</t>
  </si>
  <si>
    <t>2-1/2" X 1-1/2" CPVC  RED. BUSHING</t>
  </si>
  <si>
    <t>C876</t>
  </si>
  <si>
    <t>2-1/2" X 2" CPVC  RED. BUSHING</t>
  </si>
  <si>
    <t>C886</t>
  </si>
  <si>
    <t>3" X 2" CPVC  RED. BUSHING</t>
  </si>
  <si>
    <t>C896</t>
  </si>
  <si>
    <t>4" X 2" CPVC  RED. BUSHING</t>
  </si>
  <si>
    <t>ok</t>
  </si>
  <si>
    <t>C897</t>
  </si>
  <si>
    <t>4" X 3" CPVC  RED. BUSHING</t>
  </si>
  <si>
    <t>C920</t>
  </si>
  <si>
    <t>3/4" X 1/2" CPVC RED. COUPLING BRASS THD</t>
  </si>
  <si>
    <t>C921</t>
  </si>
  <si>
    <t>3/4" X 1/2" CPVC RED. COUPLING</t>
  </si>
  <si>
    <t>C930</t>
  </si>
  <si>
    <t>1" X 1/2" CPVC RED.BRASS COUPLING</t>
  </si>
  <si>
    <t>C932</t>
  </si>
  <si>
    <t>1" X 3/4" CPVC RED. COUPLING</t>
  </si>
  <si>
    <t>C940</t>
  </si>
  <si>
    <t>1" X 3/4" CPVC RED.BRASS COUPLING</t>
  </si>
  <si>
    <t>C943</t>
  </si>
  <si>
    <t>1-1/4" X 1" CPVC RED. COUPLING</t>
  </si>
  <si>
    <t>PC1</t>
  </si>
  <si>
    <t>1/2" ABS PLASTIC CLAMP</t>
  </si>
  <si>
    <t>PC2</t>
  </si>
  <si>
    <t>3/4" ABS PLASTIC CLAMP</t>
  </si>
  <si>
    <t>PC3</t>
  </si>
  <si>
    <t>1" ABS PLASTIC CLAMP</t>
  </si>
  <si>
    <t>PP1</t>
  </si>
  <si>
    <t>1/2" CPVC THREADING END PLUG</t>
  </si>
  <si>
    <t>PP2</t>
  </si>
  <si>
    <t>3/4" CPVC THREADING END PLUG</t>
  </si>
  <si>
    <t>CH72</t>
  </si>
  <si>
    <t>3/4" CPVC TRIANGULAR CONCEALED VALVE</t>
  </si>
  <si>
    <t>CH72F</t>
  </si>
  <si>
    <t>CH72QS</t>
  </si>
  <si>
    <t>CH74</t>
  </si>
  <si>
    <t>3/4" CPVC GREACIA-CONCEALED VALVE</t>
  </si>
  <si>
    <t>CH74F</t>
  </si>
  <si>
    <t>CH74QS</t>
  </si>
  <si>
    <t>3/4" CPVC GREACIA-CONCEALED VALVE(QS)</t>
  </si>
  <si>
    <t>CH76</t>
  </si>
  <si>
    <t>3/4" CPVC MACASA-CONCEALED VALVE</t>
  </si>
  <si>
    <t>CH76F</t>
  </si>
  <si>
    <t>CH76QS</t>
  </si>
  <si>
    <t>3/4" CPVC MACASA-CONCEALED VALVE (QT)</t>
  </si>
  <si>
    <t>CH78</t>
  </si>
  <si>
    <t>3/4" CPVC URBONA-CONCEALED VALVE</t>
  </si>
  <si>
    <t>CH78F</t>
  </si>
  <si>
    <t>CH78QS</t>
  </si>
  <si>
    <t>3/4" CPVC URBONA-CONCEALED VALVE (QT)</t>
  </si>
  <si>
    <t>CH79</t>
  </si>
  <si>
    <t>3/4" CPVC SAGA-CONCEALED VALVE</t>
  </si>
  <si>
    <t>CH79F</t>
  </si>
  <si>
    <t>CH79QS</t>
  </si>
  <si>
    <t>3/4" CPVC SAGA-CONCEALED VALVE (QT)</t>
  </si>
  <si>
    <t>CH80</t>
  </si>
  <si>
    <t>3/4" CPVC VIVA-CONCEALED VALVE</t>
  </si>
  <si>
    <t>CH80F</t>
  </si>
  <si>
    <t>CH80QS</t>
  </si>
  <si>
    <t>C252</t>
  </si>
  <si>
    <t>1-1/2X3/4" RED TEE</t>
  </si>
  <si>
    <t>C254</t>
  </si>
  <si>
    <t>1-1/2X1-1/4" RED TEE</t>
  </si>
  <si>
    <t>C262</t>
  </si>
  <si>
    <t>2X3/4 RED TEE</t>
  </si>
  <si>
    <t>C263</t>
  </si>
  <si>
    <t>2X1" RED TEE</t>
  </si>
  <si>
    <t>C264</t>
  </si>
  <si>
    <t>2X1-1/4" RED TEE</t>
  </si>
  <si>
    <t>C265</t>
  </si>
  <si>
    <t>2X1-1/2" RED TEE</t>
  </si>
  <si>
    <t>C59N</t>
  </si>
  <si>
    <t>6" Elbow</t>
  </si>
  <si>
    <t>C69N</t>
  </si>
  <si>
    <t>6" Tee</t>
  </si>
  <si>
    <t>C942</t>
  </si>
  <si>
    <t>1-1/4X3/4" REDUCER COUPLER</t>
  </si>
  <si>
    <t>C952</t>
  </si>
  <si>
    <t>1-1/2X3/4" REDUCER COUPLER</t>
  </si>
  <si>
    <t>C953</t>
  </si>
  <si>
    <t>1-1/2X1 REDUCER COUPLER</t>
  </si>
  <si>
    <t>C954</t>
  </si>
  <si>
    <t>1-1/2X1-1/4 RED COUPLER</t>
  </si>
  <si>
    <t>C962</t>
  </si>
  <si>
    <t>2X3/4" REDUCER COUPLER</t>
  </si>
  <si>
    <t>C963</t>
  </si>
  <si>
    <t>2X1" RED COUPLER</t>
  </si>
  <si>
    <t>C964</t>
  </si>
  <si>
    <t>2X1-1/4 RED COUPLER</t>
  </si>
  <si>
    <t>C965</t>
  </si>
  <si>
    <t>2X1-1/2" RED COUPLER</t>
  </si>
  <si>
    <t>C14</t>
  </si>
  <si>
    <t>1.1/4 CPVC STEP OVER BEND</t>
  </si>
  <si>
    <t>C39</t>
  </si>
  <si>
    <t>4" CPVC UNION</t>
  </si>
  <si>
    <t>C279N</t>
  </si>
  <si>
    <t>4" CPVC TANK NIPPLE (NEW)</t>
  </si>
  <si>
    <t>CF12</t>
  </si>
  <si>
    <t>2-1/2" CPVC SOCKET FLANGE</t>
  </si>
  <si>
    <t>CF13</t>
  </si>
  <si>
    <t>3" CPVC COCKET FLANGE</t>
  </si>
  <si>
    <t>CF14</t>
  </si>
  <si>
    <t>4" CPVC COCKET FLANGE</t>
  </si>
  <si>
    <t>C15</t>
  </si>
  <si>
    <t>1-1/2"SOB</t>
  </si>
  <si>
    <t>C887</t>
  </si>
  <si>
    <t>3"X2-1/2" RED. BUSH</t>
  </si>
  <si>
    <t>C898</t>
  </si>
  <si>
    <t>4"X2-1/2" RED. BUSH</t>
  </si>
  <si>
    <t>CH22</t>
  </si>
  <si>
    <t>3/4" CPVC BALL VALVE HANDLE</t>
  </si>
  <si>
    <t>CH23</t>
  </si>
  <si>
    <t>1" CPVC BALL VALVE HANDLE</t>
  </si>
  <si>
    <t>CH24</t>
  </si>
  <si>
    <t>1-1/4" CPVC BALL VALVE HANDLE</t>
  </si>
  <si>
    <t>CH25</t>
  </si>
  <si>
    <t>1-1/2" CPVC BALL VALVE HANDLE</t>
  </si>
  <si>
    <t>CH26</t>
  </si>
  <si>
    <t>2" CPVC BALL VALVE HANDLE</t>
  </si>
  <si>
    <t>CM31</t>
  </si>
  <si>
    <t>1"X1/2" BRASS ELBOW MIXER</t>
  </si>
  <si>
    <t>CM32</t>
  </si>
  <si>
    <t>1"X1/2" BRASS ELBOW MIXER (D)</t>
  </si>
  <si>
    <t>CM33</t>
  </si>
  <si>
    <t>1"X1/2" BRASS ELBOW MIXER (S)</t>
  </si>
  <si>
    <t>CM34</t>
  </si>
  <si>
    <t>1"X1/2" BRASS ELBOW MIXER (UD)</t>
  </si>
  <si>
    <t>CM35</t>
  </si>
  <si>
    <t>1"X1/2" BRASS ELBOW MIXER (SD)</t>
  </si>
  <si>
    <t>S1</t>
  </si>
  <si>
    <t>20 ML TUBES</t>
  </si>
  <si>
    <t>CPVC-TRADING</t>
  </si>
  <si>
    <t>S2</t>
  </si>
  <si>
    <t>50 ML TUBES</t>
  </si>
  <si>
    <t>S3</t>
  </si>
  <si>
    <t>CPVC SOLVENT CEMENT 59 ML TIN</t>
  </si>
  <si>
    <t>S4</t>
  </si>
  <si>
    <t>04 OZ/118 ML TINS</t>
  </si>
  <si>
    <t>S5</t>
  </si>
  <si>
    <t>08 OZ/237 ML TINS</t>
  </si>
  <si>
    <t>S6</t>
  </si>
  <si>
    <t>16 OZ/473 ML TINS</t>
  </si>
  <si>
    <t>S7</t>
  </si>
  <si>
    <t>32 OZ/946 ML TINS</t>
  </si>
  <si>
    <t>EWS04</t>
  </si>
  <si>
    <t>CPVC SOLVENT -118ML-TIN (PR)</t>
  </si>
  <si>
    <t>EWS05</t>
  </si>
  <si>
    <t>CPVC SOLVENT -237ML-TIN (PR)</t>
  </si>
  <si>
    <t>PC21</t>
  </si>
  <si>
    <t>1/2" HEAVY SADDLE WITH POWDER COATING</t>
  </si>
  <si>
    <t>PC22</t>
  </si>
  <si>
    <t>3/4" HEAVY SADDLE WITH POWDER COATING</t>
  </si>
  <si>
    <t>PC23</t>
  </si>
  <si>
    <t>1" HEAVY SADDLE WITH POWDER COATING</t>
  </si>
  <si>
    <t>PC24</t>
  </si>
  <si>
    <t>1-1/4" HEAVY SADDLE WITH POWDER COATING</t>
  </si>
  <si>
    <t>PC25</t>
  </si>
  <si>
    <t>1-1/2" HEAVY SADDLE WITH POWDER COATING</t>
  </si>
  <si>
    <t>PC26</t>
  </si>
  <si>
    <t>2" HEAVY SADDLE WITH POWDER COATING</t>
  </si>
  <si>
    <t>PC31</t>
  </si>
  <si>
    <t>1/2" HEAVY SADDLE ZINC PLATED</t>
  </si>
  <si>
    <t>PC32</t>
  </si>
  <si>
    <t>3/4" HEAVY SADDLE ZINC PLATED</t>
  </si>
  <si>
    <t>PC33</t>
  </si>
  <si>
    <t>1" HEAVY SADDLE ZINC PLATED</t>
  </si>
  <si>
    <t>PC34</t>
  </si>
  <si>
    <t>1-1/4" HEAVY SADDLE ZINC PLATED</t>
  </si>
  <si>
    <t>PC35</t>
  </si>
  <si>
    <t>1-1/2" HEAVY SADDLE ZINC PLATED</t>
  </si>
  <si>
    <t>PC36</t>
  </si>
  <si>
    <t>2" HEAVY SADDLE ZINC PLATED</t>
  </si>
  <si>
    <t>PU-1</t>
  </si>
  <si>
    <t>1/2" UPVC PIPE SCH 80</t>
  </si>
  <si>
    <t>UPVC-PIPE</t>
  </si>
  <si>
    <t>PU-2</t>
  </si>
  <si>
    <t>3/4" UPVC PIPE SCH 80</t>
  </si>
  <si>
    <t>PU-3</t>
  </si>
  <si>
    <t>1" UPVC PIPE SCH 80</t>
  </si>
  <si>
    <t>PU-4</t>
  </si>
  <si>
    <t>1-1/4" UPVC PIPE SCH 80</t>
  </si>
  <si>
    <t>PU-5</t>
  </si>
  <si>
    <t>1-1/2" UPVC PIPE SCH 80</t>
  </si>
  <si>
    <t>PU-6</t>
  </si>
  <si>
    <t>2" UPVC PIPE SCH 80</t>
  </si>
  <si>
    <t>PU-7</t>
  </si>
  <si>
    <t>2-1/2" UPVC PIPE SCH 80</t>
  </si>
  <si>
    <t>PU-8</t>
  </si>
  <si>
    <t>3" UPVC PIPE SCH 80</t>
  </si>
  <si>
    <t>PU-9</t>
  </si>
  <si>
    <t>4" UPVC PIPE SCH 80</t>
  </si>
  <si>
    <t>PU-10</t>
  </si>
  <si>
    <t>6 UPVC PIPE SCH 80 (3MTR)</t>
  </si>
  <si>
    <t>PU-11</t>
  </si>
  <si>
    <t>1/2" UPVC PIPE SCH 40</t>
  </si>
  <si>
    <t>PU-12</t>
  </si>
  <si>
    <t>3/4" UPVC PIPE SCH 40</t>
  </si>
  <si>
    <t>PU-13</t>
  </si>
  <si>
    <t>1" UPVC PIPE SCH 40</t>
  </si>
  <si>
    <t>PU-14</t>
  </si>
  <si>
    <t>1-1/4" UPVC PIPE SCH 40</t>
  </si>
  <si>
    <t>PU-15</t>
  </si>
  <si>
    <t>1-1/2" UPVC PIPE SCH 40</t>
  </si>
  <si>
    <t>PU-16</t>
  </si>
  <si>
    <t>2" UPVC PIPE SCH 40</t>
  </si>
  <si>
    <t>PU-17</t>
  </si>
  <si>
    <t>2-1/2" UPVC PIPE SCH 40</t>
  </si>
  <si>
    <t>PU-18</t>
  </si>
  <si>
    <t>3" UPVC PIPE SCH 40</t>
  </si>
  <si>
    <t>PU-19</t>
  </si>
  <si>
    <t>4" UPVC PIPE SCH 40</t>
  </si>
  <si>
    <t>PU-20</t>
  </si>
  <si>
    <t>6 UPVC PIPE SCH 40 (3MTR)</t>
  </si>
  <si>
    <t>PU-1S</t>
  </si>
  <si>
    <t>PU-2S</t>
  </si>
  <si>
    <t>PU-3S</t>
  </si>
  <si>
    <t>PU-4S</t>
  </si>
  <si>
    <t>PU-5S</t>
  </si>
  <si>
    <t>PU-6S</t>
  </si>
  <si>
    <t>PU-7S</t>
  </si>
  <si>
    <t>PU-8S</t>
  </si>
  <si>
    <t>PU-9S</t>
  </si>
  <si>
    <t>PU-10S</t>
  </si>
  <si>
    <t>6 UPVC PIPE SCH 80 (6MTR)</t>
  </si>
  <si>
    <t>PU-11S</t>
  </si>
  <si>
    <t>PU-12S</t>
  </si>
  <si>
    <t>PU-13S</t>
  </si>
  <si>
    <t>PU-14S</t>
  </si>
  <si>
    <t>PU-15S</t>
  </si>
  <si>
    <t>PU-16S</t>
  </si>
  <si>
    <t>PU-17S</t>
  </si>
  <si>
    <t>PU-18S</t>
  </si>
  <si>
    <t>PU-19S</t>
  </si>
  <si>
    <t>PU-20S</t>
  </si>
  <si>
    <t>6 UPVC PIPE SCH 40 (6MTR)</t>
  </si>
  <si>
    <t>PU-1TS</t>
  </si>
  <si>
    <t>1/2" UPVC THREADED PIPE SCH 80 6 MTR</t>
  </si>
  <si>
    <t>PU-2TS</t>
  </si>
  <si>
    <t>3/4" UPVC THREADED PIPE SCH 80 6 MTR</t>
  </si>
  <si>
    <t>PU-3TS</t>
  </si>
  <si>
    <t>1" UPVC THREADEDPIPE SCH 80 6 MTR</t>
  </si>
  <si>
    <t>PU-4TS</t>
  </si>
  <si>
    <t>1-1/4" UPVC THREADED PIPE SCH 80 6 MTR</t>
  </si>
  <si>
    <t>PU-5TS</t>
  </si>
  <si>
    <t>1-1/2" UPVC THREADED PIPE SCH 80 6 MTR</t>
  </si>
  <si>
    <t>PU-6TS</t>
  </si>
  <si>
    <t>2" UPVC THREADED PIPE SCH 80 6 MTR</t>
  </si>
  <si>
    <t>PU-1T</t>
  </si>
  <si>
    <t>1/2" UPVC THREADED PIPE SCH 80 3 MTR</t>
  </si>
  <si>
    <t>PU-2T</t>
  </si>
  <si>
    <t>3/4" UPVC THREADED PIPE SCH 80 3 MTR</t>
  </si>
  <si>
    <t>PU-3T</t>
  </si>
  <si>
    <t>1" UPVC THREADEDPIPE SCH 80 3 MTR</t>
  </si>
  <si>
    <t>PU-4T</t>
  </si>
  <si>
    <t>1-1/4" UPVC THREADED PIPE SCH 80 3 MTR</t>
  </si>
  <si>
    <t>PU-5T</t>
  </si>
  <si>
    <t>1-1/2" UPVC THREADED PIPE SCH 80 3 MTR</t>
  </si>
  <si>
    <t>PU-6T</t>
  </si>
  <si>
    <t>2" UPVC THREADED PIPE SCH 80 3 MTR</t>
  </si>
  <si>
    <t>U11</t>
  </si>
  <si>
    <t>1/2" UPVC STEP OVER BEND</t>
  </si>
  <si>
    <t>UPVC-FG</t>
  </si>
  <si>
    <t>U12</t>
  </si>
  <si>
    <t>3/4" UPVC STEP OVER BEND</t>
  </si>
  <si>
    <t>U13</t>
  </si>
  <si>
    <t>1" UPVC STEP OVER BEND</t>
  </si>
  <si>
    <t>U121</t>
  </si>
  <si>
    <t>U122</t>
  </si>
  <si>
    <t>U123</t>
  </si>
  <si>
    <t>U124</t>
  </si>
  <si>
    <t>U125</t>
  </si>
  <si>
    <t>U126</t>
  </si>
  <si>
    <t>U21</t>
  </si>
  <si>
    <t>1/2" UPVC  BALL VALVE</t>
  </si>
  <si>
    <t>U22</t>
  </si>
  <si>
    <t>3/4" UPVC  BALL VALVE</t>
  </si>
  <si>
    <t>U23</t>
  </si>
  <si>
    <t>1" UPVC  BALL VALVE</t>
  </si>
  <si>
    <t>U24</t>
  </si>
  <si>
    <t>1-1/4" UPVC BALL VALVE</t>
  </si>
  <si>
    <t>U25</t>
  </si>
  <si>
    <t>1-1/2" UPVC BALL VALVE</t>
  </si>
  <si>
    <t>U26</t>
  </si>
  <si>
    <t>2" UPVC BALL VALVE</t>
  </si>
  <si>
    <t>U21-L</t>
  </si>
  <si>
    <t>1/2" UPVC  BALL VALVE WITH LEVER HANDEL</t>
  </si>
  <si>
    <t>U22-L</t>
  </si>
  <si>
    <t>3/4" UPVC  BALL VALVE WITH LEVER HANDEL</t>
  </si>
  <si>
    <t>U23-L</t>
  </si>
  <si>
    <t>1" UPVC  BALL VALVE WITH LEVER HANDEL</t>
  </si>
  <si>
    <t>U24-L</t>
  </si>
  <si>
    <t>1-1/4"UPVC  BALL VALVE WITH LEVER HANDEL</t>
  </si>
  <si>
    <t>U25-L</t>
  </si>
  <si>
    <t>1-1/2" UPVC  BALL VALVE WITH LEVER HANDEL</t>
  </si>
  <si>
    <t>U26-L</t>
  </si>
  <si>
    <t>2" UPVC  BALL VALVE WITH LEVER HANDEL</t>
  </si>
  <si>
    <t>U21T</t>
  </si>
  <si>
    <t>1/2" UPVC  BALL VALVE BOTH SIDE THD.</t>
  </si>
  <si>
    <t>U22T</t>
  </si>
  <si>
    <t>3/4" UPVC  BALL VALVE BOTH SIDE THD.</t>
  </si>
  <si>
    <t>+111</t>
  </si>
  <si>
    <t>U23T</t>
  </si>
  <si>
    <t>1" UPVC  BALL VALVE BOTH SIDE THD.</t>
  </si>
  <si>
    <t>U24T</t>
  </si>
  <si>
    <t>1-1/4"UPVC  BALL VALVE BOTH SIDE THD.</t>
  </si>
  <si>
    <t>CLOSED ITEM</t>
  </si>
  <si>
    <t>U25T</t>
  </si>
  <si>
    <t>1-1/2" UPVC  BALL VALVE BOTH SIDE THD.</t>
  </si>
  <si>
    <t>U26T</t>
  </si>
  <si>
    <t>2" UPVC  BALL VALVE BOTH SIDE THD.</t>
  </si>
  <si>
    <t>U21T L</t>
  </si>
  <si>
    <t>1/2" THREAD BALL VALVE 20MM (LONG LEVER)</t>
  </si>
  <si>
    <t>U22TL</t>
  </si>
  <si>
    <t>3/4"THREAD BALL VALVE 25MM (LONG LEVER)</t>
  </si>
  <si>
    <t>U23TL</t>
  </si>
  <si>
    <t>1" THREAD BALL VALVE 32MM (LONG LEVER)</t>
  </si>
  <si>
    <t>U22N</t>
  </si>
  <si>
    <t>U23N</t>
  </si>
  <si>
    <t>U24N</t>
  </si>
  <si>
    <t>U25N</t>
  </si>
  <si>
    <t>+19</t>
  </si>
  <si>
    <t>U26N</t>
  </si>
  <si>
    <t>U22NL</t>
  </si>
  <si>
    <t>U23NL</t>
  </si>
  <si>
    <t>U24NL</t>
  </si>
  <si>
    <t>U25NL</t>
  </si>
  <si>
    <t>U26NL</t>
  </si>
  <si>
    <t>U31</t>
  </si>
  <si>
    <t>1/2" UPVC UNION</t>
  </si>
  <si>
    <t>U32</t>
  </si>
  <si>
    <t>3/4" UPVC UNION</t>
  </si>
  <si>
    <t>U33</t>
  </si>
  <si>
    <t>1" UPVC UNION</t>
  </si>
  <si>
    <t>U34</t>
  </si>
  <si>
    <t>1-1/4" UPVC UNION</t>
  </si>
  <si>
    <t>U35</t>
  </si>
  <si>
    <t>1-1/2" UPVC UNION</t>
  </si>
  <si>
    <t>U36</t>
  </si>
  <si>
    <t>2" UPVC UNION</t>
  </si>
  <si>
    <t>U41</t>
  </si>
  <si>
    <t>1/2" UPVC COUPLING</t>
  </si>
  <si>
    <t>U42</t>
  </si>
  <si>
    <t>3/4" UPVC COUPLING</t>
  </si>
  <si>
    <t>U43</t>
  </si>
  <si>
    <t>1" UPVC COUPLING</t>
  </si>
  <si>
    <t>U44</t>
  </si>
  <si>
    <t>1-1/4" UPVC COUPLING</t>
  </si>
  <si>
    <t>U45</t>
  </si>
  <si>
    <t>1-1/2" UPVC COUPLING</t>
  </si>
  <si>
    <t>U46</t>
  </si>
  <si>
    <t>2" UPVC COUPLING</t>
  </si>
  <si>
    <t>U47</t>
  </si>
  <si>
    <t>2-1/2" UPVC COUPLING</t>
  </si>
  <si>
    <t>U48</t>
  </si>
  <si>
    <t>3" UPVC COUPLING</t>
  </si>
  <si>
    <t>U49</t>
  </si>
  <si>
    <t>4" UPVC COUPLING</t>
  </si>
  <si>
    <t>U50</t>
  </si>
  <si>
    <t>3/4" X 1/2" UPVC RED.90 DEG ELBOW (NEW)</t>
  </si>
  <si>
    <t>U51</t>
  </si>
  <si>
    <t>1/2" UPVC 90 DEG ELBOW (NEW)</t>
  </si>
  <si>
    <t>U52</t>
  </si>
  <si>
    <t>3/4" UPVC 90 DEG ELBOW(NEW)</t>
  </si>
  <si>
    <t>U53</t>
  </si>
  <si>
    <t>1" UPVC  90 DEG ELBOW(NEW)</t>
  </si>
  <si>
    <t>U54</t>
  </si>
  <si>
    <t>1-1/4" UPVC 90 DEG ELBOW(NEW)</t>
  </si>
  <si>
    <t>U55</t>
  </si>
  <si>
    <t>1-1/2" UPVC 90 DEG ELBOW(NEW)</t>
  </si>
  <si>
    <t>U56</t>
  </si>
  <si>
    <t>2" UPVC 90 DEG ELBOW(NEW)</t>
  </si>
  <si>
    <t>U57</t>
  </si>
  <si>
    <t>2-1/2" UPVC 90 DEG ELBOW(NEW)</t>
  </si>
  <si>
    <t>U58</t>
  </si>
  <si>
    <t>3" UPVC 90 DEG ELBOW(NEW)</t>
  </si>
  <si>
    <t>U59</t>
  </si>
  <si>
    <t>4" UPVC 90 DEG ELBOW(NEW)</t>
  </si>
  <si>
    <t>U61</t>
  </si>
  <si>
    <t>1/2" UPVC TEE</t>
  </si>
  <si>
    <t>U62</t>
  </si>
  <si>
    <t>3/4" UPVC  TEE</t>
  </si>
  <si>
    <t>U63</t>
  </si>
  <si>
    <t>1" UPVC TEE</t>
  </si>
  <si>
    <t>U64</t>
  </si>
  <si>
    <t>1-1/4" UPVC TEE</t>
  </si>
  <si>
    <t>U65</t>
  </si>
  <si>
    <t>1-1/2" UPVC TEE</t>
  </si>
  <si>
    <t>U66</t>
  </si>
  <si>
    <t>2" UPVC TEE</t>
  </si>
  <si>
    <t>U67</t>
  </si>
  <si>
    <t>2-1/2" UPVC TEE</t>
  </si>
  <si>
    <t>U68</t>
  </si>
  <si>
    <t>3" UPVC TEE</t>
  </si>
  <si>
    <t>U69</t>
  </si>
  <si>
    <t>4" UPVC TEE</t>
  </si>
  <si>
    <t>U70</t>
  </si>
  <si>
    <t>3/4" X 1/2" UPVC MALE ADAPTER BRASS THD</t>
  </si>
  <si>
    <t>U71</t>
  </si>
  <si>
    <t>1/2" UPVC MALE ADAPTER BRASS THD</t>
  </si>
  <si>
    <t>U72</t>
  </si>
  <si>
    <t>3/4" UPVC MALE ADAPTER BRASS THD</t>
  </si>
  <si>
    <t>U73</t>
  </si>
  <si>
    <t>1" UPVC MALE ADAPTER BRASS THD</t>
  </si>
  <si>
    <t>U74</t>
  </si>
  <si>
    <t>1-1/4" UPVC MALE ADAPTER BRASS THD</t>
  </si>
  <si>
    <t>U75</t>
  </si>
  <si>
    <t>1-1/2" UPVC MALE ADAPTER BRASS THD</t>
  </si>
  <si>
    <t>U76</t>
  </si>
  <si>
    <t>2" UPVC MALE ADAPTER BRASS THD</t>
  </si>
  <si>
    <t>U81</t>
  </si>
  <si>
    <t>1/2" UPVC FEMALE ADAPTER BRASS THD</t>
  </si>
  <si>
    <t>U82</t>
  </si>
  <si>
    <t>3/4" UPVC FEMALE ADAPTER BRASS THD</t>
  </si>
  <si>
    <t>U83</t>
  </si>
  <si>
    <t>1" UPVC FEMALE ADAPTER BRASS THD</t>
  </si>
  <si>
    <t>U84</t>
  </si>
  <si>
    <t>1-1/4" UPVC FEMALE ADAPTER BRASS THD</t>
  </si>
  <si>
    <t>U85</t>
  </si>
  <si>
    <t>1-1/2" UPVC FEMALE ADAPTER BRASS THD</t>
  </si>
  <si>
    <t>U86</t>
  </si>
  <si>
    <t>2" UPVC FEMALE ADAPTER BRASS THD</t>
  </si>
  <si>
    <t>U89</t>
  </si>
  <si>
    <t>3/4"X1/2" FAPT</t>
  </si>
  <si>
    <t>U90</t>
  </si>
  <si>
    <t>1"X1/2" FAPT</t>
  </si>
  <si>
    <t>U91</t>
  </si>
  <si>
    <t>1/2" UPVC FEMALE ADAPTER PLASTIC THD</t>
  </si>
  <si>
    <t>U92</t>
  </si>
  <si>
    <t>3/4" UPVC FEMALE ADAPTER PLASTIC THD</t>
  </si>
  <si>
    <t>U93</t>
  </si>
  <si>
    <t>1" UPVC  FEMALE ADAPTER PLASTIC THD</t>
  </si>
  <si>
    <t>U94</t>
  </si>
  <si>
    <t>1-1/4" UPVC  FEMALE ADAPTER PLASTIC  THD</t>
  </si>
  <si>
    <t>U95</t>
  </si>
  <si>
    <t>1-1/2" UPVC  FEMALE ADAPTER PLASTIC  THD</t>
  </si>
  <si>
    <t>U96</t>
  </si>
  <si>
    <t>2" UPVC  FEMALE ADAPTER PLASTIC  THD</t>
  </si>
  <si>
    <t>U97</t>
  </si>
  <si>
    <t>2-1/2" UPVC  FEMALE ADAPTER PLASTIC  THD</t>
  </si>
  <si>
    <t>U98</t>
  </si>
  <si>
    <t>3" UPVC  FEMALE ADAPTER PLASTIC  THD</t>
  </si>
  <si>
    <t>U99</t>
  </si>
  <si>
    <t>4" UPVC  FEMALE ADAPTER PLASTIC  THD</t>
  </si>
  <si>
    <t>U101</t>
  </si>
  <si>
    <t>1/2" UPVC MALE ADAPTER PLASTIC THD</t>
  </si>
  <si>
    <t>U102</t>
  </si>
  <si>
    <t>3/4" UPVC MALE ADAPTER PLASTIC THD</t>
  </si>
  <si>
    <t>U103</t>
  </si>
  <si>
    <t>1" UPVC MALE ADAPTER PLASTIC THD</t>
  </si>
  <si>
    <t>U104</t>
  </si>
  <si>
    <t>1-1/4" UPVC MALE ADAPTER PLASTIC THD</t>
  </si>
  <si>
    <t>U105</t>
  </si>
  <si>
    <t>1-1/2" UPVC MALE ADAPTER PLASTIC THD</t>
  </si>
  <si>
    <t>U106</t>
  </si>
  <si>
    <t>2" UPVC MALE ADAPTER PLASTIC THD</t>
  </si>
  <si>
    <t>U107</t>
  </si>
  <si>
    <t>2-1/2" UPVC MALE ADAPTER PLASTIC THD</t>
  </si>
  <si>
    <t>U108</t>
  </si>
  <si>
    <t>3" UPVC MALE ADAPTER PLASTIC THD</t>
  </si>
  <si>
    <t>U109</t>
  </si>
  <si>
    <t>4" UPVC MALE ADAPTER PLASTIC THD</t>
  </si>
  <si>
    <t>U221</t>
  </si>
  <si>
    <t>3/4"X1/2" UPVC RED.TEE</t>
  </si>
  <si>
    <t>U231</t>
  </si>
  <si>
    <t>1" X 1/2" UPVC RED. TEE</t>
  </si>
  <si>
    <t>U232</t>
  </si>
  <si>
    <t>1" X 3/4" UPVC RED. TEE</t>
  </si>
  <si>
    <t>U241</t>
  </si>
  <si>
    <t>1-1/4" X 1/2" UPVC RED. TEE</t>
  </si>
  <si>
    <t>U242</t>
  </si>
  <si>
    <t>1-1/4" X 3/4" UPVC RED. TEE</t>
  </si>
  <si>
    <t>U251</t>
  </si>
  <si>
    <t>1-1/2" X 1/2" UPVC RED.TEE</t>
  </si>
  <si>
    <t>U253</t>
  </si>
  <si>
    <t>1-1/2" X 1" UPVC RED.TEE</t>
  </si>
  <si>
    <t>U261</t>
  </si>
  <si>
    <t>2" X 1/2" UPVC RED.TEE</t>
  </si>
  <si>
    <t>U265</t>
  </si>
  <si>
    <t>2" X 1-1/2" UPVC RED.TEE</t>
  </si>
  <si>
    <t>U272</t>
  </si>
  <si>
    <t>3/4" UPVC THREDED TANK NIPPLE</t>
  </si>
  <si>
    <t>U273</t>
  </si>
  <si>
    <t>1" UPVC TANK NIPPLE</t>
  </si>
  <si>
    <t>U274</t>
  </si>
  <si>
    <t>1-1/4" UPVC TANK NIPPLE</t>
  </si>
  <si>
    <t>U275</t>
  </si>
  <si>
    <t>1-1/2" UPVC TANK NIPPLE</t>
  </si>
  <si>
    <t>U276</t>
  </si>
  <si>
    <t>2" UPVC TANK NIPPLE</t>
  </si>
  <si>
    <t>U273N</t>
  </si>
  <si>
    <t>1" UPVC THREDED TANK NIPPLE</t>
  </si>
  <si>
    <t>U274N</t>
  </si>
  <si>
    <t>1-1/4" UPVC THREDED TANK NIPPLE</t>
  </si>
  <si>
    <t>U275N</t>
  </si>
  <si>
    <t>1-1/2" UPVC THREDED TANK NIPPLE</t>
  </si>
  <si>
    <t>U276N</t>
  </si>
  <si>
    <t>2" UPVC THREDED TANK NIPPLE</t>
  </si>
  <si>
    <t>U310</t>
  </si>
  <si>
    <t>1/2" CROSS TEE</t>
  </si>
  <si>
    <t>U320</t>
  </si>
  <si>
    <t>U330</t>
  </si>
  <si>
    <t>U321</t>
  </si>
  <si>
    <t>1/2" UPVC BRASS FPT TEE</t>
  </si>
  <si>
    <t>U322</t>
  </si>
  <si>
    <t>3/4" X 1/2" UPVC RED. BRASS FPT TEE</t>
  </si>
  <si>
    <t>U323</t>
  </si>
  <si>
    <t>1" X 1/2" UPVC RED. BRASS FPT TEE</t>
  </si>
  <si>
    <t>U324</t>
  </si>
  <si>
    <t>1" X 3/4" UPVC RED. BRASS FPT TEE</t>
  </si>
  <si>
    <t>U502</t>
  </si>
  <si>
    <t>3/4" 45° ELBW</t>
  </si>
  <si>
    <t>U503</t>
  </si>
  <si>
    <t>1" 45° ELBW</t>
  </si>
  <si>
    <t>U521</t>
  </si>
  <si>
    <t>3/4" X 1/2" UPVC BRASS FPT 90 DEG. ELBOW</t>
  </si>
  <si>
    <t>U523</t>
  </si>
  <si>
    <t>1" X 1/2" UPVC BRASS FPT 90 DEG. ELBOW</t>
  </si>
  <si>
    <t>U524</t>
  </si>
  <si>
    <t>1" X 3/4" UPVC BRASS FPT 90 DEG. ELBOW</t>
  </si>
  <si>
    <t>U526</t>
  </si>
  <si>
    <t>1/2" UPVC BRASS FPT 90 DEG.ELBOW</t>
  </si>
  <si>
    <t>U527</t>
  </si>
  <si>
    <t>3/4" UPVC BRASS FPT 90 DEG.ELBOW</t>
  </si>
  <si>
    <t>U531</t>
  </si>
  <si>
    <t>1" X 1/2" UPVC RED.90 DEG ELBOW (NEW)</t>
  </si>
  <si>
    <t>U532</t>
  </si>
  <si>
    <t>1" X 3/4" UPVC RED.90 DEG ELBOW (NEW)</t>
  </si>
  <si>
    <t>U601</t>
  </si>
  <si>
    <t>1/2" UPVC CAP</t>
  </si>
  <si>
    <t>U602</t>
  </si>
  <si>
    <t>3/4" UPVC CAP</t>
  </si>
  <si>
    <t>U603</t>
  </si>
  <si>
    <t>1" UPVC CAP</t>
  </si>
  <si>
    <t>U604</t>
  </si>
  <si>
    <t>1-1/4" UPVC CAP</t>
  </si>
  <si>
    <t>U605</t>
  </si>
  <si>
    <t>1-1/2" UPVC CAP</t>
  </si>
  <si>
    <t>U606</t>
  </si>
  <si>
    <t>2" UPVC CAP</t>
  </si>
  <si>
    <t>U607</t>
  </si>
  <si>
    <t>2-1/2" UPVC CAP</t>
  </si>
  <si>
    <t>U608</t>
  </si>
  <si>
    <t>3" UPVC CAP</t>
  </si>
  <si>
    <t>U609</t>
  </si>
  <si>
    <t>4" UPVC CAP</t>
  </si>
  <si>
    <t>U731</t>
  </si>
  <si>
    <t>1"X1/2" MTA</t>
  </si>
  <si>
    <t>U821</t>
  </si>
  <si>
    <t>3/4" X 1/2" UPVC RED. BUSHING</t>
  </si>
  <si>
    <t>U831</t>
  </si>
  <si>
    <t>1" X 1/2" UPVC RED. BUSHING</t>
  </si>
  <si>
    <t>U832</t>
  </si>
  <si>
    <t>1" X 3/4" UPVC RED. BUSHING</t>
  </si>
  <si>
    <t>U841</t>
  </si>
  <si>
    <t>1-1/4" X 1/2" UPVC  RED. BUSHING</t>
  </si>
  <si>
    <t>U842</t>
  </si>
  <si>
    <t>1-1/4" X 3/4" UPVC  RED. BUSHING</t>
  </si>
  <si>
    <t>U843</t>
  </si>
  <si>
    <t>1-1/4" X 1" UPVC  RED. BUSHING</t>
  </si>
  <si>
    <t>U851</t>
  </si>
  <si>
    <t>1-1/2" X 1/2" UPVC  RED. BUSHING</t>
  </si>
  <si>
    <t>U853</t>
  </si>
  <si>
    <t>1-1/2" X 1" UPVC  RED. BUSHING</t>
  </si>
  <si>
    <t>U861</t>
  </si>
  <si>
    <t>2" X 1/2" UPVC  RED. BUSHING</t>
  </si>
  <si>
    <t>U862</t>
  </si>
  <si>
    <t>2" X 3/4" UPVC  RED. BUSHING</t>
  </si>
  <si>
    <t>U863</t>
  </si>
  <si>
    <t>2" X 1" UPVC  RED. BUSHING</t>
  </si>
  <si>
    <t>U864</t>
  </si>
  <si>
    <t>2" X 1-1/4" UPVC  RED. BUSHING</t>
  </si>
  <si>
    <t>U865</t>
  </si>
  <si>
    <t>2" X 1-1/2" UPVC  RED. BUSHING</t>
  </si>
  <si>
    <t>U875</t>
  </si>
  <si>
    <t>2-1/2" X 1-1/2" UPVC  RED. BUSHING</t>
  </si>
  <si>
    <t>U876</t>
  </si>
  <si>
    <t>2-1/2" X 2" UPVC  RED. BUSHING</t>
  </si>
  <si>
    <t>U886</t>
  </si>
  <si>
    <t>3" X 2" UPVC  RED. BUSHING</t>
  </si>
  <si>
    <t>U896</t>
  </si>
  <si>
    <t>4" X 2" UPVC  RED. BUSHING</t>
  </si>
  <si>
    <t>U897</t>
  </si>
  <si>
    <t>4" X 3" UPVC  RED. BUSHING</t>
  </si>
  <si>
    <t>U920</t>
  </si>
  <si>
    <t>3/4" X 1/2" UPVC FTA</t>
  </si>
  <si>
    <t>U921</t>
  </si>
  <si>
    <t>3/4" X 1/2" UPVC RED. COUPLING</t>
  </si>
  <si>
    <t>U930</t>
  </si>
  <si>
    <t>1"X1/2" FTA</t>
  </si>
  <si>
    <t>U931</t>
  </si>
  <si>
    <t>1" X 1/2" UPVC RED. COUPLING</t>
  </si>
  <si>
    <t>U932</t>
  </si>
  <si>
    <t>1" X 3/4" UPVC RED. COUPLING</t>
  </si>
  <si>
    <t>U941</t>
  </si>
  <si>
    <t>1-1/4" X 1/2" UPVC RED. COUPLING</t>
  </si>
  <si>
    <t>U942</t>
  </si>
  <si>
    <t>1-1/4" X 3/4" UPVC RED. COUPLING</t>
  </si>
  <si>
    <t>U943</t>
  </si>
  <si>
    <t>1-1/4" X 1" UPVC RED. COUPLING</t>
  </si>
  <si>
    <t>U952</t>
  </si>
  <si>
    <t>1-1/2" X 3/4" UPVC RED. COUPLING</t>
  </si>
  <si>
    <t>U953</t>
  </si>
  <si>
    <t>1-1/2" X 1" UPVC RED. COUPLING</t>
  </si>
  <si>
    <t>UH72</t>
  </si>
  <si>
    <t>3/4" UPVC  TRIANGULAR CONCEALED VALVE Q/</t>
  </si>
  <si>
    <t>UH72-S</t>
  </si>
  <si>
    <t>3/4" UPVC  TRIANGULAR CONCEALED VALVE</t>
  </si>
  <si>
    <t>UH-74</t>
  </si>
  <si>
    <t>3/4" UPVC  GREACIA-CONCEALED VALVE Q/T</t>
  </si>
  <si>
    <t>UH74-S</t>
  </si>
  <si>
    <t>3/4" UPVC  GREACIA-CONCEALED VALVE</t>
  </si>
  <si>
    <t>UH76</t>
  </si>
  <si>
    <t>3/4" UPVC  MACASA-CONCEALED VALVE Q/T</t>
  </si>
  <si>
    <t>UH76-S</t>
  </si>
  <si>
    <t>3/4" UPVC  MACASA-CONCEALED VALVE</t>
  </si>
  <si>
    <t>UH-78</t>
  </si>
  <si>
    <t>3/4" UPVC  URBONA-CONCEALED VALVE Q/T</t>
  </si>
  <si>
    <t>UH78-S</t>
  </si>
  <si>
    <t>3/4" UPVC  URBONA-CONCEALED VALVE</t>
  </si>
  <si>
    <t>UH-79</t>
  </si>
  <si>
    <t>3/4" UPVC  SPA-CONCEALED VALVE Q/T</t>
  </si>
  <si>
    <t>UH79-S</t>
  </si>
  <si>
    <t>3/4" UPVC  SPA-CONCEALED VALVE</t>
  </si>
  <si>
    <t>UH-80</t>
  </si>
  <si>
    <t>3/4" UPVC  VIVA-CONCEALED VALVE Q/T</t>
  </si>
  <si>
    <t>UH80-S</t>
  </si>
  <si>
    <t>3/4" UPVC  VIVA-CONCEALED VALVE</t>
  </si>
  <si>
    <t>UH82</t>
  </si>
  <si>
    <t>1/2" UPVC TRIANGULAR CONCEALED VALVE Q/T</t>
  </si>
  <si>
    <t>UH82-S</t>
  </si>
  <si>
    <t>1/2" UPVC TRIANGULAR CONCEALED VALVE</t>
  </si>
  <si>
    <t>UH84</t>
  </si>
  <si>
    <t>1/2" UPVC  GREACIA-CONCEALED VALVE Q/T</t>
  </si>
  <si>
    <t>UH84-S</t>
  </si>
  <si>
    <t>1/2" UPVC  GREACIA-CONCEALED VALVE</t>
  </si>
  <si>
    <t>UH86</t>
  </si>
  <si>
    <t>1/2" UPVC  MACASA-CONCEALED VALVE Q/T</t>
  </si>
  <si>
    <t>UH86-S</t>
  </si>
  <si>
    <t>1/2" UPVC  MACASA-CONCEALED VALVE</t>
  </si>
  <si>
    <t>UH88</t>
  </si>
  <si>
    <t>1/2" UPVC  URBONA-CONCEALED VALVE Q/T</t>
  </si>
  <si>
    <t>UH88-S</t>
  </si>
  <si>
    <t>1/2" UPVC  URBONA-CONCEALED VALVE</t>
  </si>
  <si>
    <t>UH89</t>
  </si>
  <si>
    <t>1/2" UPVC  SPA-CONCEALED VALVE Q/T</t>
  </si>
  <si>
    <t>UH89-S</t>
  </si>
  <si>
    <t>1/2" UPVC  SPA-CONCEALED VALVE</t>
  </si>
  <si>
    <t>UH90</t>
  </si>
  <si>
    <t>1/2" UPVC  VIVA-CONCEALED VALVE Q/T</t>
  </si>
  <si>
    <t>UH90-S</t>
  </si>
  <si>
    <t>1/2" UPVC  VIVA-CONCEALED VALVE</t>
  </si>
  <si>
    <t>UC21</t>
  </si>
  <si>
    <t>1/2" UPVC PIPE CLAMP</t>
  </si>
  <si>
    <t>UC22</t>
  </si>
  <si>
    <t>3/4" UPVC PIPE CLAMP</t>
  </si>
  <si>
    <t>UC23</t>
  </si>
  <si>
    <t>1" UPVC PIPE CLAMP</t>
  </si>
  <si>
    <t>U49N</t>
  </si>
  <si>
    <t>6" COUPLER</t>
  </si>
  <si>
    <t>U852</t>
  </si>
  <si>
    <t>1-1/2" X 3/4" UPVC  RED. BUSHING</t>
  </si>
  <si>
    <t>U854</t>
  </si>
  <si>
    <t>1-1/2" X 1-1/4" UPVC  RED. BUSHING</t>
  </si>
  <si>
    <t>U59N</t>
  </si>
  <si>
    <t>6" 90 DEG ELBOW SCH 40</t>
  </si>
  <si>
    <t>U14</t>
  </si>
  <si>
    <t>1-1/4" STEP OVER BEND</t>
  </si>
  <si>
    <t>U252</t>
  </si>
  <si>
    <t>1-1/2"X3/4" REDUCER TEE</t>
  </si>
  <si>
    <t>U262</t>
  </si>
  <si>
    <t>2"X3/4" REDUCER TEE</t>
  </si>
  <si>
    <t>U954</t>
  </si>
  <si>
    <t>1-1/2"X1-1/4" REDUCER COUPLER</t>
  </si>
  <si>
    <t>U965</t>
  </si>
  <si>
    <t>2"X1-1/2" REDUCER COUPLER</t>
  </si>
  <si>
    <t>U504</t>
  </si>
  <si>
    <t>1-1/4" 45 DEG ELBOW</t>
  </si>
  <si>
    <t>U39</t>
  </si>
  <si>
    <t>4" UPVC UNION</t>
  </si>
  <si>
    <t>U279N</t>
  </si>
  <si>
    <t>4" UPVC TANK NIPPLE (NEW)</t>
  </si>
  <si>
    <t>U263</t>
  </si>
  <si>
    <t>2" X 1" REDUCER TEE</t>
  </si>
  <si>
    <t>UF12</t>
  </si>
  <si>
    <t>2-1/2" UPVC SOCKET FLANGE</t>
  </si>
  <si>
    <t>UF13</t>
  </si>
  <si>
    <t>3" UPVC SOCKET FLANGE</t>
  </si>
  <si>
    <t>UF14</t>
  </si>
  <si>
    <t>4" UPVC SOCKET FLANGE</t>
  </si>
  <si>
    <t>U278N</t>
  </si>
  <si>
    <t>3" TANK NIPPLE (NEW)</t>
  </si>
  <si>
    <t>U533</t>
  </si>
  <si>
    <t>1-1/4" X 1/2" UPVC RED.90 DEG ELBOW (NEW)</t>
  </si>
  <si>
    <t>U534</t>
  </si>
  <si>
    <t>1-1/4" X 3/4" UPVC RED.90 DEG ELBOW (NEW)</t>
  </si>
  <si>
    <t>U277N</t>
  </si>
  <si>
    <t>2-1/2" TANK NIPPLE (NEW)</t>
  </si>
  <si>
    <t>U38</t>
  </si>
  <si>
    <t>3" UPVC UNION</t>
  </si>
  <si>
    <t>U243</t>
  </si>
  <si>
    <t>REDUCER TEE 1*1/4*1</t>
  </si>
  <si>
    <t>U964</t>
  </si>
  <si>
    <t>2"X1-1/4" RED. COUPLING</t>
  </si>
  <si>
    <t>U37</t>
  </si>
  <si>
    <t>2-1/2" UNION</t>
  </si>
  <si>
    <t>U69N</t>
  </si>
  <si>
    <t>6" UPVC TEE</t>
  </si>
  <si>
    <t>U254</t>
  </si>
  <si>
    <t>1-1/2" X 1-1/4" UPVC RED.TEE</t>
  </si>
  <si>
    <t>U272N</t>
  </si>
  <si>
    <t>3/4" TANK NIPPLE NEW</t>
  </si>
  <si>
    <t>U535</t>
  </si>
  <si>
    <t>1-1/4"X1" RED. 90° ELBOW</t>
  </si>
  <si>
    <t>U536</t>
  </si>
  <si>
    <t>1-1/2''x1/2" RED. 90° ELBOW</t>
  </si>
  <si>
    <t>U537</t>
  </si>
  <si>
    <t>1-1/2''x3/4" RED. 90° ELBOW</t>
  </si>
  <si>
    <t>U538</t>
  </si>
  <si>
    <t>1-1/2"X1" RED. 90° ELBOW</t>
  </si>
  <si>
    <t>U539</t>
  </si>
  <si>
    <t>1-1/2"X1-1/4" RED. 90° ELBOW</t>
  </si>
  <si>
    <t>U505</t>
  </si>
  <si>
    <t>1-1/2" 45° ELBOW</t>
  </si>
  <si>
    <t>U506</t>
  </si>
  <si>
    <t>2" 45° ELBOW</t>
  </si>
  <si>
    <t>U15</t>
  </si>
  <si>
    <t>1-1/2" SOB</t>
  </si>
  <si>
    <t>U340</t>
  </si>
  <si>
    <t>1-1/4" CROSS TEE</t>
  </si>
  <si>
    <t>U887</t>
  </si>
  <si>
    <t>U898</t>
  </si>
  <si>
    <t>U27 L</t>
  </si>
  <si>
    <t>2-1/2" UPVC BALL VAVLE (Long Handle)</t>
  </si>
  <si>
    <t>U28L</t>
  </si>
  <si>
    <t>3" UPVC BALL VAVLE (Long Handle)</t>
  </si>
  <si>
    <t>U264</t>
  </si>
  <si>
    <t>2"X1-1/4" RED. TEE</t>
  </si>
  <si>
    <t>U961</t>
  </si>
  <si>
    <t>2"X1/2" RED. COUPLING</t>
  </si>
  <si>
    <t>U962</t>
  </si>
  <si>
    <t>2"X3/4" RED. COUPLING</t>
  </si>
  <si>
    <t>U963</t>
  </si>
  <si>
    <t>2"X1" RED. COUPLING</t>
  </si>
  <si>
    <t>S11</t>
  </si>
  <si>
    <t>UPVC SOLVENT AQUA-CLEAR 20 ML TUBE</t>
  </si>
  <si>
    <t>UPVC-TRADING</t>
  </si>
  <si>
    <t>S12</t>
  </si>
  <si>
    <t>S13</t>
  </si>
  <si>
    <t>UPVC SOLVENT CEMENT 59 ML TIN</t>
  </si>
  <si>
    <t>S14</t>
  </si>
  <si>
    <t>S15</t>
  </si>
  <si>
    <t>S16</t>
  </si>
  <si>
    <t>S17</t>
  </si>
  <si>
    <t>UC1</t>
  </si>
  <si>
    <t>UC2</t>
  </si>
  <si>
    <t>UC3</t>
  </si>
  <si>
    <t>UC4</t>
  </si>
  <si>
    <t>UC5</t>
  </si>
  <si>
    <t>UC6</t>
  </si>
  <si>
    <t>UC11</t>
  </si>
  <si>
    <t>UC12</t>
  </si>
  <si>
    <t>UC13</t>
  </si>
  <si>
    <t>UC14</t>
  </si>
  <si>
    <t>UC15</t>
  </si>
  <si>
    <t>UC16</t>
  </si>
  <si>
    <t>PW11</t>
  </si>
  <si>
    <t>SWR PIPE S/S  110 MM (3 METER-A)</t>
  </si>
  <si>
    <t>SWR-PIPE</t>
  </si>
  <si>
    <t>PW12</t>
  </si>
  <si>
    <t>SWR PIPE D/S  110 MM (3 METER-A)</t>
  </si>
  <si>
    <t>PW13</t>
  </si>
  <si>
    <t>SWR PIPE S/S  110 MM (6 METER-A)</t>
  </si>
  <si>
    <t>PW14</t>
  </si>
  <si>
    <t>SWR PIPE D/S  110 MM (6 METER-A)</t>
  </si>
  <si>
    <t>PW15</t>
  </si>
  <si>
    <t>SWR PIPE D/S  110 MM (2 FEET-A)</t>
  </si>
  <si>
    <t>PW16</t>
  </si>
  <si>
    <t>SWR PIPE D/S  110 MM (3 FEET-A)</t>
  </si>
  <si>
    <t>PW17</t>
  </si>
  <si>
    <t>SWR PIPE D/S  110 MM (4 FEET-A)</t>
  </si>
  <si>
    <t>PW18</t>
  </si>
  <si>
    <t>SWR PIPE D/S  110 MM (6 FEET-A)</t>
  </si>
  <si>
    <t>PW19</t>
  </si>
  <si>
    <t>SWR PIPE S/S  110 MM (6 FEET-A)</t>
  </si>
  <si>
    <t>PW21</t>
  </si>
  <si>
    <t>SWR PIPE S/S  110 MM (3 METER-B)</t>
  </si>
  <si>
    <t>PW22</t>
  </si>
  <si>
    <t>SWR PIPE D/S  110 MM (3 METER-B)</t>
  </si>
  <si>
    <t>PW23</t>
  </si>
  <si>
    <t>SWR PIPE S/S  110 MM (6 METER-B)</t>
  </si>
  <si>
    <t>PW24</t>
  </si>
  <si>
    <t>SWR PIPE D/S  110 MM (6 METER-B)</t>
  </si>
  <si>
    <t>PW25</t>
  </si>
  <si>
    <t>PW26</t>
  </si>
  <si>
    <t>SWR PIPE D/S  110 MM (3 FEET-B)</t>
  </si>
  <si>
    <t>PW27</t>
  </si>
  <si>
    <t>SWR PIPE D/S  110 MM (4 FEET-B)</t>
  </si>
  <si>
    <t>PW28</t>
  </si>
  <si>
    <t>SWR PIPE D/S  110 MM (6 FEET-B)</t>
  </si>
  <si>
    <t>PW29</t>
  </si>
  <si>
    <t>SWR PIPE S/S  110 MM (6 FEET-B)</t>
  </si>
  <si>
    <t>PW31</t>
  </si>
  <si>
    <t>SWR PIPE S/S  75 MM (3 METER-B)</t>
  </si>
  <si>
    <t>PW32</t>
  </si>
  <si>
    <t>SWR PIPE D/S  75 MM (3 METER-B)</t>
  </si>
  <si>
    <t>PW33</t>
  </si>
  <si>
    <t>SWR PIPE S/S  75 MM (6 METER-B)</t>
  </si>
  <si>
    <t>PW34</t>
  </si>
  <si>
    <t>SWR PIPE D/S  75 MM (6 METER-B)</t>
  </si>
  <si>
    <t>PW35</t>
  </si>
  <si>
    <t>SWR PIPE D/S  75 MM (2 FEET-B)</t>
  </si>
  <si>
    <t>PW36</t>
  </si>
  <si>
    <t>SWR PIPE D/S  75 MM (3 FEET-B)</t>
  </si>
  <si>
    <t>PW37</t>
  </si>
  <si>
    <t>SWR PIPE D/S  75 MM (4 FEET-B)</t>
  </si>
  <si>
    <t>PW38</t>
  </si>
  <si>
    <t>SWR PIPE D/S  75 MM (6 FEET-B)</t>
  </si>
  <si>
    <t>PW39</t>
  </si>
  <si>
    <t>SWR PIPE S/S  75 MM (6 FEET-B)</t>
  </si>
  <si>
    <t>PW51</t>
  </si>
  <si>
    <t>SWR PIPE S/S  160 MM (3 METER-B)</t>
  </si>
  <si>
    <t>PW52</t>
  </si>
  <si>
    <t>SWR PIPE D/S  160 MM (3 METER-B)</t>
  </si>
  <si>
    <t>PW53</t>
  </si>
  <si>
    <t>SWR PIPE S/S  160 MM (6 METER-B)</t>
  </si>
  <si>
    <t>PW54</t>
  </si>
  <si>
    <t>SWR PIPE D/S  160 MM (6 METER-B)</t>
  </si>
  <si>
    <t>PW55</t>
  </si>
  <si>
    <t>SWR PIPE D/S  160 MM (2 FEET-B)</t>
  </si>
  <si>
    <t>PW56</t>
  </si>
  <si>
    <t>SWR PIPE D/S  160 MM (3 FEET-B)</t>
  </si>
  <si>
    <t>PW57</t>
  </si>
  <si>
    <t>SWR PIPE D/S  160 MM (4 FEET-B)</t>
  </si>
  <si>
    <t>PW58</t>
  </si>
  <si>
    <t>SWR PIPE D/S  160 MM (6 FEET-B)</t>
  </si>
  <si>
    <t>PW59</t>
  </si>
  <si>
    <t>SWR PIPE S/S  160 MM (6 FEET-B)</t>
  </si>
  <si>
    <t>PW61</t>
  </si>
  <si>
    <t>SWR PIPE S/S  160 MM (3 METER-A)</t>
  </si>
  <si>
    <t>PW62</t>
  </si>
  <si>
    <t>SWR PIPE D/S  160 MM (3 METER-A)</t>
  </si>
  <si>
    <t>PW63</t>
  </si>
  <si>
    <t>SWR PIPE S/S  160 MM (6 METER-A)</t>
  </si>
  <si>
    <t>PW64</t>
  </si>
  <si>
    <t>SWR PIPE D/S  160 MM (6 METER-A)</t>
  </si>
  <si>
    <t>PW65</t>
  </si>
  <si>
    <t>SWR PIPE D/S  160 MM (2 FEET-A)</t>
  </si>
  <si>
    <t>PW66</t>
  </si>
  <si>
    <t>SWR PIPE D/S  160 MM (3 FEET-A)</t>
  </si>
  <si>
    <t>PW67</t>
  </si>
  <si>
    <t>SWR PIPE D/S  160 MM (4 FEET-A)</t>
  </si>
  <si>
    <t>PW68</t>
  </si>
  <si>
    <t>SWR PIPE D/S  160 MM (6 FEET-A)</t>
  </si>
  <si>
    <t>PW69</t>
  </si>
  <si>
    <t>SWR PIPE S/S  160 MM (6 FEET-A)</t>
  </si>
  <si>
    <t>PW71</t>
  </si>
  <si>
    <t>SWR PIPE S/S  75 MM (3 METER-A)</t>
  </si>
  <si>
    <t>PW72</t>
  </si>
  <si>
    <t>SWR PIPE D/S  75 MM (3 METER-A)</t>
  </si>
  <si>
    <t>PW73</t>
  </si>
  <si>
    <t>SWR PIPE S/S  75 MM (6 METER-A)</t>
  </si>
  <si>
    <t>PW74</t>
  </si>
  <si>
    <t>SWR PIPE D/S  75 MM (6 METER-A)</t>
  </si>
  <si>
    <t>PW75</t>
  </si>
  <si>
    <t>SWR PIPE D/S  75 MM (2 FEET-A)</t>
  </si>
  <si>
    <t>PW76</t>
  </si>
  <si>
    <t>SWR PIPE D/S  75 MM (3 FEET-A)</t>
  </si>
  <si>
    <t>PW77</t>
  </si>
  <si>
    <t>SWR PIPE D/S  75 MM (4 FEET-A)</t>
  </si>
  <si>
    <t>PW78</t>
  </si>
  <si>
    <t>SWR PIPE D/S  75 MM (6 FEET-A)</t>
  </si>
  <si>
    <t>PW79</t>
  </si>
  <si>
    <t>SWR PIPE S/S  75 MM (6 FEET-A)</t>
  </si>
  <si>
    <t>PW81</t>
  </si>
  <si>
    <t>SWR PIPE S/S  90 MM (3 METER-B)</t>
  </si>
  <si>
    <t>PW82</t>
  </si>
  <si>
    <t>SWR PIPE D/S  90 MM (3 METER-B)</t>
  </si>
  <si>
    <t>PW83</t>
  </si>
  <si>
    <t>SWR PIPE S/S  90 MM (6 METER-B)</t>
  </si>
  <si>
    <t>PW84</t>
  </si>
  <si>
    <t>SWR PIPE D/S  90 MM (6 METER-B)</t>
  </si>
  <si>
    <t>PW85</t>
  </si>
  <si>
    <t>SWR PIPE D/S  90 MM (2 FEET-B)</t>
  </si>
  <si>
    <t>PW86</t>
  </si>
  <si>
    <t>SWR PIPE D/S  90 MM (3 FEET-B)</t>
  </si>
  <si>
    <t>PW87</t>
  </si>
  <si>
    <t>SWR PIPE D/S  90 MM (4 FEET-B)</t>
  </si>
  <si>
    <t>PW88</t>
  </si>
  <si>
    <t>SWR PIPE D/S  90 MM (6 FEET-B)</t>
  </si>
  <si>
    <t>PW89</t>
  </si>
  <si>
    <t>SWR PIPE S/S  90 MM (6 FEET-B)</t>
  </si>
  <si>
    <t>PW91</t>
  </si>
  <si>
    <t>SWR PIPE S/S  90 MM (3 METER-A)</t>
  </si>
  <si>
    <t>PW92</t>
  </si>
  <si>
    <t>SWR PIPE D/S  90 MM (3 METER-A)</t>
  </si>
  <si>
    <t>PW93</t>
  </si>
  <si>
    <t>SWR PIPE S/S  90 MM (6 METER-A)</t>
  </si>
  <si>
    <t>PW94</t>
  </si>
  <si>
    <t>SWR PIPE D/S  90 MM (6 METER-A)</t>
  </si>
  <si>
    <t>PW95</t>
  </si>
  <si>
    <t>SWR PIPE D/S  90 MM (2 FEET-A)</t>
  </si>
  <si>
    <t>PW96</t>
  </si>
  <si>
    <t>SWR PIPE D/S  90 MM (3 FEET-A)</t>
  </si>
  <si>
    <t>PW97</t>
  </si>
  <si>
    <t>SWR PIPE D/S  90 MM (4 FEET-A)</t>
  </si>
  <si>
    <t>PW98</t>
  </si>
  <si>
    <t>SWR PIPE D/S  90 MM (6 FEET-A)</t>
  </si>
  <si>
    <t>PW99</t>
  </si>
  <si>
    <t>SWR PIPE S/S  90 MM (6 FEET-A)</t>
  </si>
  <si>
    <t>PW100S</t>
  </si>
  <si>
    <t>SWR PIPE TYPE A-SELF FIT 90 MM S/S 4 FT</t>
  </si>
  <si>
    <t>PW11S</t>
  </si>
  <si>
    <t>SWR PIPE TYPE A-SELF FIT 110MM S/S 3 MTR</t>
  </si>
  <si>
    <t>PW12S</t>
  </si>
  <si>
    <t>SWR PIPE TYPE A-SELF FIT 110MM D/S 3 MTR</t>
  </si>
  <si>
    <t>PW13S</t>
  </si>
  <si>
    <t>SWR PIPE TYPE A-SELF FIT 110MM S/S 6 MTR</t>
  </si>
  <si>
    <t>PW14S</t>
  </si>
  <si>
    <t>SWR PIPE TYPE A-SELF FIT 110MM D/S 6 MTR</t>
  </si>
  <si>
    <t>PW15S</t>
  </si>
  <si>
    <t>SWR PIPE TYPE A-SELF FIT 110MM D/S 2 FT</t>
  </si>
  <si>
    <t>PW16S</t>
  </si>
  <si>
    <t>SWR PIPE TYPE A-SELF FIT 110MM D/S 3 FT</t>
  </si>
  <si>
    <t>PW17S</t>
  </si>
  <si>
    <t>SWR PIPE TYPE A-SELF FIT 110MM D/S 4 FT</t>
  </si>
  <si>
    <t>PW18S</t>
  </si>
  <si>
    <t>SWR PIPE TYPE A-SELF FIT 110MM D/S 6 FT</t>
  </si>
  <si>
    <t>PW19S</t>
  </si>
  <si>
    <t>SWR PIPE TYPE A-SELF FIT 110MM S/S 6 FT</t>
  </si>
  <si>
    <t>PW20S</t>
  </si>
  <si>
    <t>SWR PIPE TYPE A-SELF FIT 110MM S/S 4 FT</t>
  </si>
  <si>
    <t>PW21S</t>
  </si>
  <si>
    <t>SWR PIPE TYPE B SELF FIT 110MM S/S 3 MTR</t>
  </si>
  <si>
    <t>PW22S</t>
  </si>
  <si>
    <t>SWR PIPE TYPE B SELF FIT 110MM D/S 3 MTR</t>
  </si>
  <si>
    <t>PW23S</t>
  </si>
  <si>
    <t>SWR PIPE TYPE B SELF FIT 110MM S/S 6 MTR</t>
  </si>
  <si>
    <t>PW24S</t>
  </si>
  <si>
    <t>SWR PIPE TYPE B SELF FIT 110MM D/S 6 MTR</t>
  </si>
  <si>
    <t>PW25S</t>
  </si>
  <si>
    <t>SWR PIPE TYPE B SELF FIT 110MM D/S 2 FT</t>
  </si>
  <si>
    <t>PW26S</t>
  </si>
  <si>
    <t>SWR PIPE TYPE B SELF FIT 110MM D/S 3 FT</t>
  </si>
  <si>
    <t>PW27S</t>
  </si>
  <si>
    <t>SWR PIPE TYPE B SELF FIT 110MM D/S 4 FT</t>
  </si>
  <si>
    <t>PW28S</t>
  </si>
  <si>
    <t>SWR PIPE TYPE B SELF FIT 110MM D/S 6 FT</t>
  </si>
  <si>
    <t>PW29S</t>
  </si>
  <si>
    <t>SWR PIPE TYPE B SELF FIT 110MM S/S 6 FT</t>
  </si>
  <si>
    <t>PW30S</t>
  </si>
  <si>
    <t>SWR PIPE TYPE B SELF FIT 110MM S/S 4 FT</t>
  </si>
  <si>
    <t>PW31S</t>
  </si>
  <si>
    <t>SWR PIPE TYPE B SELF FIT 75MM S/S 3 MTR</t>
  </si>
  <si>
    <t>PW32S</t>
  </si>
  <si>
    <t>SWR PIPE TYPE B SELF FIT 75MM D/S 3 MTR</t>
  </si>
  <si>
    <t>PW33S</t>
  </si>
  <si>
    <t>SWR PIPE TYPE B SELF FIT 75MM S/S 6 MTR</t>
  </si>
  <si>
    <t>PW34S</t>
  </si>
  <si>
    <t>SWR PIPE TYPE B SELF FIT 75MM D/S 6 MTR</t>
  </si>
  <si>
    <t>PW35S</t>
  </si>
  <si>
    <t>SWR PIPE TYPE B SELF FIT 75 MM D/S 2 FT</t>
  </si>
  <si>
    <t>PW36S</t>
  </si>
  <si>
    <t>SWR PIPE TYPE B SELF FIT 75 MM D/S 3 FT</t>
  </si>
  <si>
    <t>PW37S</t>
  </si>
  <si>
    <t>SWR PIPE TYPE B SELF FIT 75 MM D/S 4 FT</t>
  </si>
  <si>
    <t>PW38S</t>
  </si>
  <si>
    <t>SWR PIPE TYPE B SELF FIT 75 MM D/S 6 FT</t>
  </si>
  <si>
    <t>PW39S</t>
  </si>
  <si>
    <t>SWR PIPE TYPE B SELF FIT 75 MM S/S 6 FT</t>
  </si>
  <si>
    <t>PW40S</t>
  </si>
  <si>
    <t>SWR PIPE TYPE B SELF FIT 75 MM S/S 4 FT</t>
  </si>
  <si>
    <t>PW51S</t>
  </si>
  <si>
    <t>SWR PIPE TYPE B SELF FIT 160MM S/S 3 MTR</t>
  </si>
  <si>
    <t>PW52S</t>
  </si>
  <si>
    <t>SWR PIPE TYPE B SELF FIT 160MM D/S 3 MTR</t>
  </si>
  <si>
    <t>PW53S</t>
  </si>
  <si>
    <t>SWR PIPE TYPE B SELF FIT 160MM S/S 6 MTR</t>
  </si>
  <si>
    <t>PW54S</t>
  </si>
  <si>
    <t>SWR PIPE TYPE B SELF FIT 160MM D/S 6 MTR</t>
  </si>
  <si>
    <t>PW55S</t>
  </si>
  <si>
    <t>SWR PIPE TYPE B SELF FIT 160MM D/S 2 FT</t>
  </si>
  <si>
    <t>PW56S</t>
  </si>
  <si>
    <t>SWR PIPE TYPE B SELF FIT 160MM D/S 3 FT</t>
  </si>
  <si>
    <t>PW57S</t>
  </si>
  <si>
    <t>SWR PIPE TYPE B SELF FIT 160MM D/S 4 FT</t>
  </si>
  <si>
    <t>PW58S</t>
  </si>
  <si>
    <t>SWR PIPE TYPE B SELF FIT 160MM D/S 6 FT</t>
  </si>
  <si>
    <t>PW59S</t>
  </si>
  <si>
    <t>SWR PIPE TYPE B SELF FIT 160MM S/S 6 FT</t>
  </si>
  <si>
    <t>PW60S</t>
  </si>
  <si>
    <t>SWR PIPE TYPE B SELF FIT 160MM S/S 4 FT</t>
  </si>
  <si>
    <t>PW61S</t>
  </si>
  <si>
    <t>SWR PIPE TYPE A-SELF FIT 160MM S/S 3 MTR</t>
  </si>
  <si>
    <t>PW62S</t>
  </si>
  <si>
    <t>SWR PIPE TYPE A-SELF FIT 160MM D/S 3 MTR</t>
  </si>
  <si>
    <t>PW63S</t>
  </si>
  <si>
    <t>SWR PIPE TYPE A-SELF FIT 160MM S/S 6 MTR</t>
  </si>
  <si>
    <t>PW64S</t>
  </si>
  <si>
    <t>SWR PIPE TYPE A-SELF FIT 160MM D/S 6 MTR</t>
  </si>
  <si>
    <t>PW65S</t>
  </si>
  <si>
    <t>SWR PIPE TYPE A-SELF FIT 160MM D/S 2 FT</t>
  </si>
  <si>
    <t>PW66S</t>
  </si>
  <si>
    <t>SWR PIPE TYPE A-SELF FIT 160MM D/S 3 FT</t>
  </si>
  <si>
    <t>PW67S</t>
  </si>
  <si>
    <t>SWR PIPE TYPE A-SELF FIT 160MM D/S 4 FT</t>
  </si>
  <si>
    <t>PW68S</t>
  </si>
  <si>
    <t>SWR PIPE TYPE A-SELF FIT 160MM D/S 6 FT</t>
  </si>
  <si>
    <t>PW69S</t>
  </si>
  <si>
    <t>SWR PIPE TYPE A-SELF FIT 160MM S/S 6 FT</t>
  </si>
  <si>
    <t>PW70S</t>
  </si>
  <si>
    <t>SWR PIPE TYPE A-SELF FIT 160MM S/S 4 FT</t>
  </si>
  <si>
    <t>PW71S</t>
  </si>
  <si>
    <t>SWR PIPE TYPE-A-SELF FIT 75MM S/S 3 MTR</t>
  </si>
  <si>
    <t>PW72S</t>
  </si>
  <si>
    <t>SWR PIPE TYPE A-SELF FIT 75MM D/S 3 MTR</t>
  </si>
  <si>
    <t>PW73S</t>
  </si>
  <si>
    <t>SWR PIPE TYPE A-SELF FIT 75MM S/S 6 MTR</t>
  </si>
  <si>
    <t>PW74S</t>
  </si>
  <si>
    <t>SWR PIPE TYPE A-SELF FIT 75MM D/S 6 MTR</t>
  </si>
  <si>
    <t>PW75S</t>
  </si>
  <si>
    <t>SWR PIPE TYPE A-SELF FIT 75 MM D/S 2 FT</t>
  </si>
  <si>
    <t>PW76S</t>
  </si>
  <si>
    <t>SWR PIPE TYPE A-SELF FIT 75 MM D/S 3 FT</t>
  </si>
  <si>
    <t>PW77S</t>
  </si>
  <si>
    <t>SWR PIPE TYPE A-SELF FIT 75 MM D/S 4 FT</t>
  </si>
  <si>
    <t>PW78S</t>
  </si>
  <si>
    <t>SWR PIPE TYPE A-SELF FIT 75 MM D/S 6 FT</t>
  </si>
  <si>
    <t>PW79S</t>
  </si>
  <si>
    <t>SWR PIPE TYPE A-SELF FIT 75 MM S/S 6 FT</t>
  </si>
  <si>
    <t>PW80S</t>
  </si>
  <si>
    <t>SWR PIPE TYPE A-SELF FIT 75 MM S/S 4 FT</t>
  </si>
  <si>
    <t>PW81S</t>
  </si>
  <si>
    <t>SWR PIPE TYPE B SELF FIT 90MM S/S 3 MTR</t>
  </si>
  <si>
    <t>PW82S</t>
  </si>
  <si>
    <t>SWR PIPE TYPE B SELF FIT 90MM D/S 3 MTR</t>
  </si>
  <si>
    <t>PW83S</t>
  </si>
  <si>
    <t>SWR PIPE TYPE B SELF FIT 90MM S/S 6 MTR</t>
  </si>
  <si>
    <t>PW84S</t>
  </si>
  <si>
    <t>SWR PIPE TYPE B SELF FIT 90MM D/S 6 MTR</t>
  </si>
  <si>
    <t>PW85S</t>
  </si>
  <si>
    <t>SWR PIPE TYPE B SELF FIT 90 MM D/S 2 FT</t>
  </si>
  <si>
    <t>PW86S</t>
  </si>
  <si>
    <t>SWR PIPE TYPE B SELF FIT 90 MM D/S 3 FT</t>
  </si>
  <si>
    <t>PW87S</t>
  </si>
  <si>
    <t>SWR PIPE TYPE B SELF FIT 90 MM D/S 4 FT</t>
  </si>
  <si>
    <t>PW88S</t>
  </si>
  <si>
    <t>SWR PIPE TYPE B SELF FIT 90 MM D/S 6 FT</t>
  </si>
  <si>
    <t>PW89S</t>
  </si>
  <si>
    <t>SWR PIPE TYPE B SELF FIT 90 MM S/S 6 FT</t>
  </si>
  <si>
    <t>PW90S</t>
  </si>
  <si>
    <t>SWR PIPE TYPE B SELF FIT 90 MM S/S 4 FT</t>
  </si>
  <si>
    <t>PW91S</t>
  </si>
  <si>
    <t>SWR PIPE TYPE A-SELF FIT 90MM S/S 3 MTR</t>
  </si>
  <si>
    <t>PW92S</t>
  </si>
  <si>
    <t>SWR PIPE TYPE A-SELF FIT 90MM D/S 3 MTR</t>
  </si>
  <si>
    <t>PW93S</t>
  </si>
  <si>
    <t>SWR PIPE TYPE A-SELF FIT 90MM S/S 6 MTR</t>
  </si>
  <si>
    <t>PW94S</t>
  </si>
  <si>
    <t>SWR PIPE TYPE A-SELF FIT 90MM D/S 6 MTR</t>
  </si>
  <si>
    <t>PW95S</t>
  </si>
  <si>
    <t>SWR PIPE TYPE A-SELF FIT 90 MM D/S 2 FT</t>
  </si>
  <si>
    <t>PW96S</t>
  </si>
  <si>
    <t>SWR PIPE TYPE A-SELF FIT 90 MM D/S 3 FT</t>
  </si>
  <si>
    <t>PW97S</t>
  </si>
  <si>
    <t>SWR PIPE TYPE A-SELF FIT 90 MM D/S 4 FT</t>
  </si>
  <si>
    <t>PW98S</t>
  </si>
  <si>
    <t>SWR PIPE TYPE A-SELF FIT 90 MM D/S 6 FT</t>
  </si>
  <si>
    <t>PW99S</t>
  </si>
  <si>
    <t>SWR PIPE TYPE A-SELF FIT 90 MM S/S 6 FT</t>
  </si>
  <si>
    <t>5110S</t>
  </si>
  <si>
    <t>110 MM 45 BEND</t>
  </si>
  <si>
    <t>SWR-FG</t>
  </si>
  <si>
    <t>5111S</t>
  </si>
  <si>
    <t>110 MM BEND</t>
  </si>
  <si>
    <t>5121S</t>
  </si>
  <si>
    <t>110 MM COUPLER</t>
  </si>
  <si>
    <t>5133S</t>
  </si>
  <si>
    <t>110 MM TEE</t>
  </si>
  <si>
    <t>5141S</t>
  </si>
  <si>
    <t>110 MM SINGLE Y</t>
  </si>
  <si>
    <t>5911S</t>
  </si>
  <si>
    <t>90 MM BEND</t>
  </si>
  <si>
    <t>5112S</t>
  </si>
  <si>
    <t>110 MM BEND WITH DOOR</t>
  </si>
  <si>
    <t>5122S</t>
  </si>
  <si>
    <t>110 MM REPAIER COUPLER</t>
  </si>
  <si>
    <t>5134S</t>
  </si>
  <si>
    <t>110 MM TEE WITH DOOR</t>
  </si>
  <si>
    <t>5142S</t>
  </si>
  <si>
    <t>110 MM SINGLE Y WITH DOOR</t>
  </si>
  <si>
    <t>5610S</t>
  </si>
  <si>
    <t>160 MM 45 BEND</t>
  </si>
  <si>
    <t>5611S</t>
  </si>
  <si>
    <t>160 MM BEND</t>
  </si>
  <si>
    <t>5612S</t>
  </si>
  <si>
    <t>160 MM BEND WITH DOOR</t>
  </si>
  <si>
    <t>5621S</t>
  </si>
  <si>
    <t>160 MM COUPLER</t>
  </si>
  <si>
    <t>5622S</t>
  </si>
  <si>
    <t>160MM REPAIER COUPLER</t>
  </si>
  <si>
    <t>5633S</t>
  </si>
  <si>
    <t>160 MM TEE</t>
  </si>
  <si>
    <t>5634S</t>
  </si>
  <si>
    <t>160 MM TEE WITH DOOR</t>
  </si>
  <si>
    <t>5641S</t>
  </si>
  <si>
    <t>160 MM SINGLE Y</t>
  </si>
  <si>
    <t>5642S</t>
  </si>
  <si>
    <t>160 MM SINGLE Y WITH DOOR</t>
  </si>
  <si>
    <t>5710S</t>
  </si>
  <si>
    <t>75 MM 45 BEND</t>
  </si>
  <si>
    <t>5711S</t>
  </si>
  <si>
    <t>75 MM BEND</t>
  </si>
  <si>
    <t>5712S</t>
  </si>
  <si>
    <t>75 MM BEND WITH DOOR</t>
  </si>
  <si>
    <t>5721S</t>
  </si>
  <si>
    <t>75 MM COUPLER</t>
  </si>
  <si>
    <t>5722S</t>
  </si>
  <si>
    <t>75 MM REPAIER COUPLER</t>
  </si>
  <si>
    <t>5733S</t>
  </si>
  <si>
    <t>75 MM TEE</t>
  </si>
  <si>
    <t>5734S</t>
  </si>
  <si>
    <t>75 MM TEE WITH DOOR</t>
  </si>
  <si>
    <t>5741S</t>
  </si>
  <si>
    <t>75 MM SINGLE Y</t>
  </si>
  <si>
    <t>5742S</t>
  </si>
  <si>
    <t>75 MM SINGLE Y WITH DOOR</t>
  </si>
  <si>
    <t>5910S</t>
  </si>
  <si>
    <t>90 MM 45 BEND</t>
  </si>
  <si>
    <t>5912S</t>
  </si>
  <si>
    <t>90MM BEND WITH DOOR</t>
  </si>
  <si>
    <t>5921S</t>
  </si>
  <si>
    <t>90 MM COUPLER</t>
  </si>
  <si>
    <t>5922S</t>
  </si>
  <si>
    <t>90 MM REPAIER COUPLER</t>
  </si>
  <si>
    <t>5933S</t>
  </si>
  <si>
    <t>90 MM TEE</t>
  </si>
  <si>
    <t>5934S</t>
  </si>
  <si>
    <t>90 MM TEE WITH DOOR</t>
  </si>
  <si>
    <t>5941S</t>
  </si>
  <si>
    <t>90 MM SINGLE Y</t>
  </si>
  <si>
    <t>5942S</t>
  </si>
  <si>
    <t>90 MM SINGLE Y WITH DOOR</t>
  </si>
  <si>
    <t>75MM YELLOW SEAL O RING</t>
  </si>
  <si>
    <t>90MM YELLOW SEAL O RING</t>
  </si>
  <si>
    <t>160MM YELLOW SEAL O RING</t>
  </si>
  <si>
    <t>SWR  FITTING BEND 45* (110 MM)</t>
  </si>
  <si>
    <t>SWR  FITTING BEND 87.5* (110 MM)</t>
  </si>
  <si>
    <t>SWR  FITTING BEND 87.5* (110 MM) WD</t>
  </si>
  <si>
    <t>SWR  FITTING BEND 87.5* (110 MM) WLD</t>
  </si>
  <si>
    <t>SWR  FITTING BEND 87.5* (110 MM) WRD</t>
  </si>
  <si>
    <t>SWR  FITTING COUPLER (110 MM)</t>
  </si>
  <si>
    <t>SWR  FITTING  REPAIR COUPLER (110 MM)</t>
  </si>
  <si>
    <t>SWR  FITTING CROSS TEE  (110 MM)</t>
  </si>
  <si>
    <t>SWR  FITTING CROSS TWD  (110 MM)</t>
  </si>
  <si>
    <t>SWR  FITTING SINGLE TEE (110 MM)</t>
  </si>
  <si>
    <t>SWR  FITTING SINGLE TWD  (110 MM)</t>
  </si>
  <si>
    <t>SWR  FITTING SINGLE Y (110 MM)</t>
  </si>
  <si>
    <t>SWR  FITTING SINGLE Y WH (110 MM)</t>
  </si>
  <si>
    <t>SWR  FITTING INVERT Y 45* (110 MM)</t>
  </si>
  <si>
    <t>SWR  FITTING DOUBLE  Y (110 MM)</t>
  </si>
  <si>
    <t>SWR  FITTING DOUBLE  Y WD (110 MM)</t>
  </si>
  <si>
    <t>SWR  FITTING REDUCING TEE (110 X75 MM)</t>
  </si>
  <si>
    <t>SWR  FITTING REDUCING TWD (110 X75 MM)</t>
  </si>
  <si>
    <t>SWR  FITTING REDUCER Y (110X75MM)</t>
  </si>
  <si>
    <t>SWR  FITTING REDUCER Y WD (110X75MM)</t>
  </si>
  <si>
    <t>SWR  FITTING REDUCER (110X75MM)</t>
  </si>
  <si>
    <t>SWR  FITTING CLEANSING PIPE (110 MM)</t>
  </si>
  <si>
    <t>SWR  FITTING VENT COWL (110 MM)</t>
  </si>
  <si>
    <t>SWR  FITTING PIPE CLIP (110 MM)</t>
  </si>
  <si>
    <t>SWR  FITTING NAHANI TRAP &amp; JALI (110 MM)</t>
  </si>
  <si>
    <t>5163-W</t>
  </si>
  <si>
    <t>NAHANI TRAP WITHOUT ROUND JALI</t>
  </si>
  <si>
    <t>SWR FITTING DOOR CAP (110MM)</t>
  </si>
  <si>
    <t>SWR  FITTING P TRAP &amp; JALI (110 MM)</t>
  </si>
  <si>
    <t>Q TRAP (110X110MM)</t>
  </si>
  <si>
    <t>SWR  FITTING S TRAP (110 X110MM)</t>
  </si>
  <si>
    <t>SWR  FITTING BEND 45* (75 MM)</t>
  </si>
  <si>
    <t>SWR  FITTING BEND 87.5* (75 MM)</t>
  </si>
  <si>
    <t>SWR  FITTING BEND 87.5* (75 MM) WD</t>
  </si>
  <si>
    <t>SWR  FITTING BEND 87.5* (75 MM) WLD</t>
  </si>
  <si>
    <t>SWR  FITTING BEND 87.5* (75 MM) WRD</t>
  </si>
  <si>
    <t>SWR  FITTING COUPLER (75 MM)</t>
  </si>
  <si>
    <t>SWR  FITTING  REPAIR COUPLER (75 MM)</t>
  </si>
  <si>
    <t>SWR  FITTING CROSS TEE (75 MM)</t>
  </si>
  <si>
    <t>SWR  FITTING CROSS TWD (75 MM)</t>
  </si>
  <si>
    <t>SWR  FITTING SINGLE TEE (75 MM)</t>
  </si>
  <si>
    <t>SWR  FITTING SINGLE TWD (75 MM)</t>
  </si>
  <si>
    <t>SWR  FITTING SINGLE Y (75 MM)</t>
  </si>
  <si>
    <t>SWR  FITTING SINGLE Y WH (75 MM)</t>
  </si>
  <si>
    <t>SWR  FITTING INVERT Y 45* (75 MM)</t>
  </si>
  <si>
    <t>SWR  FITTING DOUBLE  Y (75 MM)</t>
  </si>
  <si>
    <t>SWR  FITTING DOUBLE  Y WD (75 MM)</t>
  </si>
  <si>
    <t>SWR FITTING REVERS Y 45° 75MM W/D</t>
  </si>
  <si>
    <t>SWR  FITTING REDUCING TEE (75 MM)</t>
  </si>
  <si>
    <t>SWR  FITTING REDUCING TWD (75 MM)</t>
  </si>
  <si>
    <t>SWR  FITTING CLEANSING PIPE (75 MM)</t>
  </si>
  <si>
    <t>SWR  FITTING VENT COWL (75 MM)</t>
  </si>
  <si>
    <t>SWR  FITTING PIPE CLIP (75 MM)</t>
  </si>
  <si>
    <t>SWR  FITTING NAHANI TRAP &amp; JALI (75 MM)</t>
  </si>
  <si>
    <t>5763-W</t>
  </si>
  <si>
    <t>SWR FITTING DOOR CAP (75MM)</t>
  </si>
  <si>
    <t>SWR FITTING ROUND JALI (110MM)</t>
  </si>
  <si>
    <t>SWR  FITTING P TRAP (125X110MM)</t>
  </si>
  <si>
    <t>SWR  FITTING Q TRAP (125X110MM)</t>
  </si>
  <si>
    <t>SWR  FITTING S TRAP (125X110 MM)</t>
  </si>
  <si>
    <t>SWR  FITTING FLOOR TRAP (110X75 MM)</t>
  </si>
  <si>
    <t>5771-W</t>
  </si>
  <si>
    <t>SWR FITTING P TRAP W/Gasket (125X110MM)</t>
  </si>
  <si>
    <t>SWR FITTING BEND 87.5*(160MM)</t>
  </si>
  <si>
    <t>160X110 MM REDUCING TEE</t>
  </si>
  <si>
    <t>160 MM SWR COUPLER</t>
  </si>
  <si>
    <t>SWR REDUCER COUPLER 160X110 MM</t>
  </si>
  <si>
    <t>160 MM SWR REPAIR COUPLER</t>
  </si>
  <si>
    <t>SWR  FITTING VENT COWL (160 MM)</t>
  </si>
  <si>
    <t>SWR  FITTING PIPE CLIP (160 MM)</t>
  </si>
  <si>
    <t>SWR  FITTING COUPLER (90 MM)</t>
  </si>
  <si>
    <t>SWR REDUCER COUPLER 110X90 MM</t>
  </si>
  <si>
    <t>SWR FITTING REPAIR COUPLER 90 MM</t>
  </si>
  <si>
    <t>SWR  FITTING BEND 87.5* (90 MM) WD</t>
  </si>
  <si>
    <t>SWR  FITTING SINGLE TWD  (90 MM)</t>
  </si>
  <si>
    <t>SWR FITTING DOOR CAP (90MM)</t>
  </si>
  <si>
    <t>SWR  FITTING VENT COWL (90 MM)</t>
  </si>
  <si>
    <t>SWR FITTING SINGLE Y WD (90 MM)</t>
  </si>
  <si>
    <t>SWR 160MM DOOR CAP</t>
  </si>
  <si>
    <t>SWR FITTING BEND 87.5* (160 MM) WD</t>
  </si>
  <si>
    <t>SWR FITTING PIPE CLIP (90 MM)</t>
  </si>
  <si>
    <t>SWR  FITTING REDUCING TEE (90 X75 MM)</t>
  </si>
  <si>
    <t>SWR FITTING SINGLE T WD (160 MM)</t>
  </si>
  <si>
    <t>SWR FITTING VENT COWL (63MM</t>
  </si>
  <si>
    <t>5963-W</t>
  </si>
  <si>
    <t xml:space="preserve">NAHANI TRAP 90MM WITHOUT ROUND JALI </t>
  </si>
  <si>
    <t xml:space="preserve">NAHANI TRAP 90MM WITH ROUND JALI </t>
  </si>
  <si>
    <t>SWR FITTING REDUCING T WD (160X110 MM)</t>
  </si>
  <si>
    <t>RL-2</t>
  </si>
  <si>
    <t>RUBBER LUBRICANT 100g</t>
  </si>
  <si>
    <t>SWR-TRADING</t>
  </si>
  <si>
    <t>RL-3</t>
  </si>
  <si>
    <t>RUBBER LUBRICANT 250g</t>
  </si>
  <si>
    <t>RL-4</t>
  </si>
  <si>
    <t>RUBBER LUBRICANT 500g</t>
  </si>
  <si>
    <t>A-44C</t>
  </si>
  <si>
    <t>40 MM 6 KG AGRI PIPE</t>
  </si>
  <si>
    <t>Agri-Pipe</t>
  </si>
  <si>
    <t>A-45C</t>
  </si>
  <si>
    <t>50 MM 6 KG AGRI PIPE</t>
  </si>
  <si>
    <t>A-46C</t>
  </si>
  <si>
    <t>63 MM 6 KG AGRI PIPE</t>
  </si>
  <si>
    <t>A-47C</t>
  </si>
  <si>
    <t>75 MM 6 KG AGRI PIPE</t>
  </si>
  <si>
    <t>A-44A</t>
  </si>
  <si>
    <t>AGRI PIPE 3 METRE-6.00 KG/40MM</t>
  </si>
  <si>
    <t>A-45A</t>
  </si>
  <si>
    <t>AGRI PIPE 3 METRE-6.00 KG/50MM</t>
  </si>
  <si>
    <t>A-12A</t>
  </si>
  <si>
    <t>AGRI PIPE 3 METRE-2.5 KG/160MM</t>
  </si>
  <si>
    <t>A-52C</t>
  </si>
  <si>
    <t>160 MM 6KG AGRI PIPE</t>
  </si>
  <si>
    <t>A-49C</t>
  </si>
  <si>
    <t>110 MM 6KG AGRI PIPE</t>
  </si>
  <si>
    <t>A-51C</t>
  </si>
  <si>
    <t>140 MM 6KG AGRI PIPE</t>
  </si>
  <si>
    <t>A-12C</t>
  </si>
  <si>
    <t xml:space="preserve">160MM 2.5KG AGRI PIPE (6 MTR) </t>
  </si>
  <si>
    <t>A-13C</t>
  </si>
  <si>
    <t xml:space="preserve">180MM 2.5KG AGRI PIPE (6 MTR) </t>
  </si>
  <si>
    <t>A-26C</t>
  </si>
  <si>
    <t xml:space="preserve">63MM 4KG AGRI PIPE (6 METERS) </t>
  </si>
  <si>
    <t>A-27C</t>
  </si>
  <si>
    <t xml:space="preserve">75MM 4KG AGRI PIPE (6 MTR) </t>
  </si>
  <si>
    <t>A-28C</t>
  </si>
  <si>
    <t xml:space="preserve">90MM 4KG AGRI PIPE (6 METERS) </t>
  </si>
  <si>
    <t>A-29C</t>
  </si>
  <si>
    <t xml:space="preserve">110MM 4KG AGRI PIPE (6 METERS) </t>
  </si>
  <si>
    <t>A-32C</t>
  </si>
  <si>
    <t xml:space="preserve">160MM 4KG AGRI PIPE (6 METERS) </t>
  </si>
  <si>
    <t>A-48C</t>
  </si>
  <si>
    <t>90MM 6KG AGRI PIPE (6 METERS)</t>
  </si>
  <si>
    <t>A-50C</t>
  </si>
  <si>
    <t xml:space="preserve">125MM 6KG AGRI PIPE (6 MTR) </t>
  </si>
  <si>
    <t>A-11C</t>
  </si>
  <si>
    <t>140MM 2.5 KG AGRI PIPE(6MTR)</t>
  </si>
  <si>
    <t>A-31C</t>
  </si>
  <si>
    <t>140MM 4 KG AGRI PIPE(6MTR)</t>
  </si>
  <si>
    <t>A-46A</t>
  </si>
  <si>
    <t>AGRI PIPE 3 METRE-6.00 KG/63MM</t>
  </si>
  <si>
    <t>A-34C</t>
  </si>
  <si>
    <t>200MM 4KG AGRI PIPE (6 METERS)</t>
  </si>
  <si>
    <t>A-8C</t>
  </si>
  <si>
    <t>90MM 2.5KG AGRI PIPE (6 METERS )</t>
  </si>
  <si>
    <t>A-9C</t>
  </si>
  <si>
    <t>110MM 2.5KG AGRI PIPE (6 METERS )</t>
  </si>
  <si>
    <t>A-54C</t>
  </si>
  <si>
    <t>200MM 6KG AGRI PIPE (6 METERS)</t>
  </si>
  <si>
    <t>A-88C</t>
  </si>
  <si>
    <t>90MM 10KG AGRI PIPE (6 METERS)</t>
  </si>
  <si>
    <t>A-89C</t>
  </si>
  <si>
    <t>110MM 10KG AGRI PIPE (6 METERS)</t>
  </si>
  <si>
    <t>A-82A</t>
  </si>
  <si>
    <t>AGRI PIPE 10KG/cm2 6MTR 25MM</t>
  </si>
  <si>
    <t>A-83A</t>
  </si>
  <si>
    <t>AGRI PIPE 10KG/cm2 6MTR 32MM</t>
  </si>
  <si>
    <t>A-92C</t>
  </si>
  <si>
    <t>AGRI PIPE 10KG/cm2 6MTR 160MM</t>
  </si>
  <si>
    <t>A-14C</t>
  </si>
  <si>
    <t>AGRI PIPE 2.5KG/cm2 6MTR 200MM</t>
  </si>
  <si>
    <t>A-53C</t>
  </si>
  <si>
    <t>180MM 6KG AGRI PIPE (6 METERS)</t>
  </si>
  <si>
    <t>A-47A</t>
  </si>
  <si>
    <t>75 MM 6 KG AGRI PIPE  (3Mtr.)</t>
  </si>
  <si>
    <t>A-49A</t>
  </si>
  <si>
    <t>110MM 6 Kg AGRI PIPE  (3Mtr.)</t>
  </si>
  <si>
    <t>A-9A</t>
  </si>
  <si>
    <t>AGRI PIPE 3 METRE-2.50 KG/110MM</t>
  </si>
  <si>
    <t>A-48A</t>
  </si>
  <si>
    <t>90MM 6KG AGRI PIPE (3 METERS)</t>
  </si>
  <si>
    <t>A-81A</t>
  </si>
  <si>
    <t>AGRI PIPE 10KG/cm2 3MTR 20MM</t>
  </si>
  <si>
    <t>A-45B</t>
  </si>
  <si>
    <t>50 MM 6 KG/cm2 AGRI PIPE (5 Mtr)</t>
  </si>
  <si>
    <t>A-242</t>
  </si>
  <si>
    <t>160MM COUPLER4 KG/CM2</t>
  </si>
  <si>
    <t>AGRI-FG</t>
  </si>
  <si>
    <t>A-246</t>
  </si>
  <si>
    <t>63MM COUPLER4 KG/CM2</t>
  </si>
  <si>
    <t>A-247</t>
  </si>
  <si>
    <t>75MM COUPLER4 KG/CM2</t>
  </si>
  <si>
    <t>A-248</t>
  </si>
  <si>
    <t>90MM COUPLER4 KG/CM2</t>
  </si>
  <si>
    <t>A-249</t>
  </si>
  <si>
    <t>110MM COUPLER4 KG/CM2</t>
  </si>
  <si>
    <t>A-264</t>
  </si>
  <si>
    <t>COUPLING 40 MM</t>
  </si>
  <si>
    <t>A-265</t>
  </si>
  <si>
    <t>COUPLING 50 MM</t>
  </si>
  <si>
    <t>A-266</t>
  </si>
  <si>
    <t>COUPLING 63 MM</t>
  </si>
  <si>
    <t>A-267</t>
  </si>
  <si>
    <t>COUPLING 75 MM</t>
  </si>
  <si>
    <t>A-268</t>
  </si>
  <si>
    <t>COUPLING 90 MM</t>
  </si>
  <si>
    <t>A-269</t>
  </si>
  <si>
    <t>COUPLING 110 MM</t>
  </si>
  <si>
    <t>A-270</t>
  </si>
  <si>
    <t>COUPLING 125MM</t>
  </si>
  <si>
    <t>A-271</t>
  </si>
  <si>
    <t>COUPLING 140 MM</t>
  </si>
  <si>
    <t>A-272</t>
  </si>
  <si>
    <t>COUPLING 160 MM</t>
  </si>
  <si>
    <t>A-342</t>
  </si>
  <si>
    <t>160MM EQUAL TEE4 KG/CM2</t>
  </si>
  <si>
    <t>A-346</t>
  </si>
  <si>
    <t>63MM EQUAL TEE4 KG/CM2</t>
  </si>
  <si>
    <t>A-347</t>
  </si>
  <si>
    <t>75MM EQUAL TEE4 KG/CM2</t>
  </si>
  <si>
    <t>A-348</t>
  </si>
  <si>
    <t>90MM EQUAL TEE4 KG/CM2</t>
  </si>
  <si>
    <t>A-349</t>
  </si>
  <si>
    <t>110MM EQUAL TEE4 KG/CM2</t>
  </si>
  <si>
    <t>A-364</t>
  </si>
  <si>
    <t>TEE 40 MM</t>
  </si>
  <si>
    <t>A-365</t>
  </si>
  <si>
    <t>TEE 50 MM</t>
  </si>
  <si>
    <t>A-366</t>
  </si>
  <si>
    <t>TEE 63 MM</t>
  </si>
  <si>
    <t>A-367</t>
  </si>
  <si>
    <t>TEE 75 MM</t>
  </si>
  <si>
    <t>A-368</t>
  </si>
  <si>
    <t>TEE  90 MM</t>
  </si>
  <si>
    <t>A-369</t>
  </si>
  <si>
    <t>TEE 110 MM</t>
  </si>
  <si>
    <t>A-370</t>
  </si>
  <si>
    <t>TEE 125 MM</t>
  </si>
  <si>
    <t>A-371</t>
  </si>
  <si>
    <t>TEE 140 MM</t>
  </si>
  <si>
    <t>A-372</t>
  </si>
  <si>
    <t>TEE 160 MM</t>
  </si>
  <si>
    <t>A-442</t>
  </si>
  <si>
    <t>160MM ELBOW 4 KG/CM2</t>
  </si>
  <si>
    <t>A-446</t>
  </si>
  <si>
    <t>63MM ELBOW 4 KG/CM2</t>
  </si>
  <si>
    <t>A-447</t>
  </si>
  <si>
    <t>75MM ELBOW 4 KG/CM2</t>
  </si>
  <si>
    <t>A-448</t>
  </si>
  <si>
    <t>90MM ELBOW 4 KG/CM2</t>
  </si>
  <si>
    <t>A-449</t>
  </si>
  <si>
    <t>110MM ELBOW 4 KG/CM2</t>
  </si>
  <si>
    <t>A-464</t>
  </si>
  <si>
    <t>ELBOW 40 MM</t>
  </si>
  <si>
    <t>A-465</t>
  </si>
  <si>
    <t>ELBOW 50 MM</t>
  </si>
  <si>
    <t>A-466</t>
  </si>
  <si>
    <t>ELBOW 63 MM</t>
  </si>
  <si>
    <t>A-467</t>
  </si>
  <si>
    <t>ELBOW 75 MM</t>
  </si>
  <si>
    <t>A-468</t>
  </si>
  <si>
    <t>ELBOW 90 MM</t>
  </si>
  <si>
    <t>A-469</t>
  </si>
  <si>
    <t>ELBOW 110 MM</t>
  </si>
  <si>
    <t>A-470</t>
  </si>
  <si>
    <t>ELBOW 125 MM</t>
  </si>
  <si>
    <t>A-471</t>
  </si>
  <si>
    <t>ELBOW 140 MM</t>
  </si>
  <si>
    <t>A-472</t>
  </si>
  <si>
    <t>ELBOW 160 MM</t>
  </si>
  <si>
    <t>A-542</t>
  </si>
  <si>
    <t>160MM END CAP4 KG/CM2</t>
  </si>
  <si>
    <t>A-546</t>
  </si>
  <si>
    <t>63MM END CAP4 KG/CM2</t>
  </si>
  <si>
    <t>A-547</t>
  </si>
  <si>
    <t>75MM END CAP4 KG/CM2</t>
  </si>
  <si>
    <t>A-548</t>
  </si>
  <si>
    <t>90MM END CAP4 KG/CM2</t>
  </si>
  <si>
    <t>A-549</t>
  </si>
  <si>
    <t>110MM END CAP4 KG/CM2</t>
  </si>
  <si>
    <t>A-564</t>
  </si>
  <si>
    <t>END CAP 40 MM</t>
  </si>
  <si>
    <t>A-565</t>
  </si>
  <si>
    <t>END CAP 50 MM</t>
  </si>
  <si>
    <t>A-566</t>
  </si>
  <si>
    <t>END CAP 63 MM</t>
  </si>
  <si>
    <t>A-567</t>
  </si>
  <si>
    <t>END CAP 75 MM</t>
  </si>
  <si>
    <t>A-568</t>
  </si>
  <si>
    <t>END CAP 90 MM</t>
  </si>
  <si>
    <t>A-569</t>
  </si>
  <si>
    <t>END CAP 110 MM</t>
  </si>
  <si>
    <t>A-570</t>
  </si>
  <si>
    <t>END CAP 125 MM</t>
  </si>
  <si>
    <t>A-571</t>
  </si>
  <si>
    <t>END CAP 140 MM</t>
  </si>
  <si>
    <t>A-572</t>
  </si>
  <si>
    <t>END CAP 160 MM</t>
  </si>
  <si>
    <t>A-661</t>
  </si>
  <si>
    <t>REDUCER TEE 75X50 MM</t>
  </si>
  <si>
    <t>A-662</t>
  </si>
  <si>
    <t>REDUCER TEE 75X63 MM</t>
  </si>
  <si>
    <t>A-663</t>
  </si>
  <si>
    <t>REDUCER TEE  90X63 MM</t>
  </si>
  <si>
    <t>A-664</t>
  </si>
  <si>
    <t>REDUCER TEE 90X75 MM</t>
  </si>
  <si>
    <t>A-665</t>
  </si>
  <si>
    <t>REDUCER TEE 110X63 MM</t>
  </si>
  <si>
    <t>A-666</t>
  </si>
  <si>
    <t>REDUCER TEE 110X75 MM</t>
  </si>
  <si>
    <t>A-667</t>
  </si>
  <si>
    <t>REDUCER TEE110X90 MM</t>
  </si>
  <si>
    <t>A-668</t>
  </si>
  <si>
    <t>REDUCER TEE 140X75 MM</t>
  </si>
  <si>
    <t>A-669</t>
  </si>
  <si>
    <t>REDUCER TEE 140X90 MM</t>
  </si>
  <si>
    <t>A-670</t>
  </si>
  <si>
    <t>REDUCER TEE 160X75 MM</t>
  </si>
  <si>
    <t>A-671</t>
  </si>
  <si>
    <t>REDUCER TEE 160X90 MM</t>
  </si>
  <si>
    <t>A-672</t>
  </si>
  <si>
    <t>REDUCER TEE 160X110 MM</t>
  </si>
  <si>
    <t>A-761</t>
  </si>
  <si>
    <t>REDUCER COUPLER 75X50</t>
  </si>
  <si>
    <t>A-762</t>
  </si>
  <si>
    <t>REDUCERCOUPLER 75X63</t>
  </si>
  <si>
    <t>A-763</t>
  </si>
  <si>
    <t>REDUCER COUPLER 90X50</t>
  </si>
  <si>
    <t>A-764</t>
  </si>
  <si>
    <t>REDUCER COUPLER 90X63</t>
  </si>
  <si>
    <t>A-765</t>
  </si>
  <si>
    <t>REDUCER COUPLER 90X75</t>
  </si>
  <si>
    <t>A-766</t>
  </si>
  <si>
    <t>REDUCER COUPLER 110X63</t>
  </si>
  <si>
    <t>A-767</t>
  </si>
  <si>
    <t>REDUCER COUPLER 110X75</t>
  </si>
  <si>
    <t>A-768</t>
  </si>
  <si>
    <t>REDUCER COUPLER 110X90</t>
  </si>
  <si>
    <t>A-769</t>
  </si>
  <si>
    <t>REDUCER COUPLER 140X90</t>
  </si>
  <si>
    <t>A-770</t>
  </si>
  <si>
    <t>REDUCER COUPLER  160X110</t>
  </si>
  <si>
    <t>A-243</t>
  </si>
  <si>
    <t>200MM COUPLER (4KG)</t>
  </si>
  <si>
    <t>A-343</t>
  </si>
  <si>
    <t>200MM EQUAL TEE (4 KG)</t>
  </si>
  <si>
    <t>A-443</t>
  </si>
  <si>
    <t>200MM ELBOW (4 KG)</t>
  </si>
  <si>
    <t>A-543</t>
  </si>
  <si>
    <t>200MM END CAP 4KG/CM2</t>
  </si>
  <si>
    <t>S45</t>
  </si>
  <si>
    <t>250 ML TIN PVC SOLVENT CEMENT</t>
  </si>
  <si>
    <t>Agri-Trading</t>
  </si>
  <si>
    <t>S46</t>
  </si>
  <si>
    <t>500 ML TIN PVC SOLVENT CEMENT</t>
  </si>
  <si>
    <t>S47</t>
  </si>
  <si>
    <t>1000 ML TIN PVC SOLVENT CEMENT</t>
  </si>
  <si>
    <t>WT-001</t>
  </si>
  <si>
    <t>PLASTIC LIDS HEAVY.</t>
  </si>
  <si>
    <t>WATER TANK</t>
  </si>
  <si>
    <t>WT-002</t>
  </si>
  <si>
    <t>PLASTIC LIDS LIGHT.</t>
  </si>
  <si>
    <t>WT-3LL-05</t>
  </si>
  <si>
    <t>Water Tank 3 layer Light 500 Ltr.</t>
  </si>
  <si>
    <t>WT-3LL-07</t>
  </si>
  <si>
    <t>Water Tank 3 layer Light 750 Ltr.</t>
  </si>
  <si>
    <t>WT-3LL-10</t>
  </si>
  <si>
    <t>Water Tank 3 layer Light 1000 Ltr.</t>
  </si>
  <si>
    <t>WT-3LL-15</t>
  </si>
  <si>
    <t>Water Tank 3 layer Light 1500 Ltr.</t>
  </si>
  <si>
    <t>WT-3LL-20</t>
  </si>
  <si>
    <t>Water Tank 3 layer Light 2000 Ltr.</t>
  </si>
  <si>
    <t>WT-3LL-30</t>
  </si>
  <si>
    <t>Water Tank 3 layer Light 3000 Ltr.</t>
  </si>
  <si>
    <t>WT-3LL-50</t>
  </si>
  <si>
    <t>Water Tank 3 layer Light 5000 Ltr.</t>
  </si>
  <si>
    <t>WT-3LH-05</t>
  </si>
  <si>
    <t>Water Tank 3 layer heavy  500 Ltr.</t>
  </si>
  <si>
    <t>WT-3LH-07</t>
  </si>
  <si>
    <t>Water Tank 3 layer heavy  750 Ltr.</t>
  </si>
  <si>
    <t>WT-3LH-10</t>
  </si>
  <si>
    <t>Water Tank 3 layer heavy  1000 Ltr.</t>
  </si>
  <si>
    <t>WT-3LH-15</t>
  </si>
  <si>
    <t>Water Tank 3 layer heavy  1500 Ltr.</t>
  </si>
  <si>
    <t>WT-3LH-20</t>
  </si>
  <si>
    <t>Water Tank 3 layer heavy  2000 Ltr.</t>
  </si>
  <si>
    <t>WT-3LH-30</t>
  </si>
  <si>
    <t>Water Tank 3 layer heavy  3000 Ltr.</t>
  </si>
  <si>
    <t>WT-3LH-50</t>
  </si>
  <si>
    <t>Water Tank 3 layer heavy  5000 Ltr.</t>
  </si>
  <si>
    <t>WT-4LL-05</t>
  </si>
  <si>
    <t>Water Tank 4 layer Light 500 Ltr.</t>
  </si>
  <si>
    <t>WT-4LL-07</t>
  </si>
  <si>
    <t>Water Tank 4 layer Light 750 Ltr.</t>
  </si>
  <si>
    <t>WT-4LL-10</t>
  </si>
  <si>
    <t>Water Tank 4 layer Light 1000 Ltr.</t>
  </si>
  <si>
    <t>WT-4LL-15</t>
  </si>
  <si>
    <t>Water Tank 4 layer Light 1500 Ltr.</t>
  </si>
  <si>
    <t>WT-4LL-20</t>
  </si>
  <si>
    <t>Water Tank 4 layer Light 2000 Ltr.</t>
  </si>
  <si>
    <t>WT-4LL-30</t>
  </si>
  <si>
    <t>Water Tank 4 layer Light 3000 Ltr.</t>
  </si>
  <si>
    <t>WT-4LL-50</t>
  </si>
  <si>
    <t>Water Tank 4 layer Light 5000 Ltr.</t>
  </si>
  <si>
    <t>WT-4LH-05</t>
  </si>
  <si>
    <t>Water Tank 4 layer heavy  500 Ltr.</t>
  </si>
  <si>
    <t>WT-4LH-07</t>
  </si>
  <si>
    <t>Water Tank 4 layer heavy  750 Ltr.</t>
  </si>
  <si>
    <t>WT-4LH-10</t>
  </si>
  <si>
    <t>Water Tank 4 layer heavy  1000 Ltr.</t>
  </si>
  <si>
    <t>WT-4LH-15</t>
  </si>
  <si>
    <t>Water Tank 4 layer heavy  1500 Ltr.</t>
  </si>
  <si>
    <t>WT-4LH-20</t>
  </si>
  <si>
    <t>Water Tank 4 layer heavy  2000 Ltr.</t>
  </si>
  <si>
    <t>WT-4LH-30</t>
  </si>
  <si>
    <t>Water Tank 4 layer heavy  3000 Ltr.</t>
  </si>
  <si>
    <t>WT-4LH-50</t>
  </si>
  <si>
    <t>Water Tank 4 layer heavy  5000 Ltr.</t>
  </si>
  <si>
    <t>WT-ISI-05</t>
  </si>
  <si>
    <t>Water Tank 2 layer ISI  500 Ltr.</t>
  </si>
  <si>
    <t>WT-ISI-07</t>
  </si>
  <si>
    <t>Water Tank 2 layer ISI  700 Ltr.</t>
  </si>
  <si>
    <t>WT-ISI-10</t>
  </si>
  <si>
    <t>Water Tank 2 layer ISI  1000 Ltr.</t>
  </si>
  <si>
    <t>WT-ISI-20</t>
  </si>
  <si>
    <t>Water Tank 2 layer ISI  2000 Ltr.</t>
  </si>
  <si>
    <t>WT-ISI-30</t>
  </si>
  <si>
    <t>Water Tank 2 layer ISI  3000 Ltr.</t>
  </si>
  <si>
    <t>WT-ISI-50</t>
  </si>
  <si>
    <t>Water Tank 2 layer ISI  5000 Ltr.</t>
  </si>
  <si>
    <t>A-52A</t>
  </si>
  <si>
    <t>A-26A</t>
  </si>
  <si>
    <t xml:space="preserve">63MM 4KG AGRI PIPE (3 METERS) </t>
  </si>
  <si>
    <t>A-28B</t>
  </si>
  <si>
    <t>90MM 4KG AGRI PIPE (5METER)</t>
  </si>
  <si>
    <t>A-81B</t>
  </si>
  <si>
    <t>20MM 10KG AGRI PIPE (5METER)</t>
  </si>
  <si>
    <t>A-82B</t>
  </si>
  <si>
    <t>25MM 10KG AGRI PIPE (5METER)</t>
  </si>
  <si>
    <t>A-83B</t>
  </si>
  <si>
    <t>32MM 10KG AGRI PIPE (5METER)</t>
  </si>
  <si>
    <t>A-44B</t>
  </si>
  <si>
    <t>40MM 6KG AGRI PIPE (5METER)</t>
  </si>
  <si>
    <t>A-46B</t>
  </si>
  <si>
    <t>63MM 6KG AGRI PIPE (5METER)</t>
  </si>
  <si>
    <t>A-47B</t>
  </si>
  <si>
    <t>75MM 6KG AGRI PIPE (5METER)</t>
  </si>
  <si>
    <t>A-48B</t>
  </si>
  <si>
    <t>90MM 6KG AGRI PIPE (5METER)</t>
  </si>
  <si>
    <t>A-29B</t>
  </si>
  <si>
    <t>110MM 4KG AGRI PIPE (5METER)</t>
  </si>
  <si>
    <t>A-9B</t>
  </si>
  <si>
    <t>110MM 2.5KG AGRI PIPE (5METER)</t>
  </si>
  <si>
    <t>A-26B</t>
  </si>
  <si>
    <t>63MM 4KG AGRI PIPE (5 METERS)</t>
  </si>
  <si>
    <t>A-27B</t>
  </si>
  <si>
    <t>75MM 4KG AGRI PIPE (5MTR)</t>
  </si>
  <si>
    <t>A-28A</t>
  </si>
  <si>
    <t xml:space="preserve">90MM 4KG AGRI PIPE (3 METERS) </t>
  </si>
  <si>
    <t>A-29A</t>
  </si>
  <si>
    <t xml:space="preserve">110MM 4KG AGRI PIPE (3 METERS) </t>
  </si>
  <si>
    <t>PW91C</t>
  </si>
  <si>
    <t>SWR PIPE TYPE A-SS 90MM 3"/12FT</t>
  </si>
  <si>
    <t>PW11C</t>
  </si>
  <si>
    <t>A-27A</t>
  </si>
  <si>
    <t>75MM 4KG AGRI PIPE (3MTR)</t>
  </si>
  <si>
    <t>C277N</t>
  </si>
  <si>
    <t>2-1/2" CPVC TANK NIPPLE (NEW)</t>
  </si>
  <si>
    <t>C38</t>
  </si>
  <si>
    <t>3" CPVC UNION</t>
  </si>
  <si>
    <t>A-34A</t>
  </si>
  <si>
    <t>200MM 4KG AGRI PIPE (3MTR)</t>
  </si>
  <si>
    <t>A-32A</t>
  </si>
  <si>
    <t>AGRI PIPE 3 METER 4 KG/160 MM</t>
  </si>
  <si>
    <t>C37</t>
  </si>
  <si>
    <t>2-1/2" CPVC UNION</t>
  </si>
  <si>
    <t>A-8A</t>
  </si>
  <si>
    <t>90MM 2.5KG AGRI PIPE (3MTR)</t>
  </si>
  <si>
    <t>A-84C</t>
  </si>
  <si>
    <t>AGRI PIPE 6 METER 10 KG/40 MM</t>
  </si>
  <si>
    <t>C49N</t>
  </si>
  <si>
    <t>6" COUPLING</t>
  </si>
  <si>
    <t>A-83C</t>
  </si>
  <si>
    <t>A-82C</t>
  </si>
  <si>
    <t>C278N</t>
  </si>
  <si>
    <t>A-81C</t>
  </si>
  <si>
    <t>AGRI PIPE 10KG/cm2 6MTR 20MM</t>
  </si>
  <si>
    <t>A-14A</t>
  </si>
  <si>
    <t>AGRI PIPE 2.5KG/cm2 3MTR 200MM</t>
  </si>
  <si>
    <t>A-504</t>
  </si>
  <si>
    <t>ELBOW 45- 6 KG, 63MM AGRI</t>
  </si>
  <si>
    <t>A-503</t>
  </si>
  <si>
    <t>ELBOW 45- 6 KG, 50MM AGRI</t>
  </si>
  <si>
    <t>A-505</t>
  </si>
  <si>
    <t>ELBOW 45- 6 KG, 75MM AGRI</t>
  </si>
  <si>
    <t>U951</t>
  </si>
  <si>
    <t>1-1/2"x1/2" RED. COUPLING</t>
  </si>
  <si>
    <t>A-228</t>
  </si>
  <si>
    <t>coupler- 2.5 KG, 90MM AGRI</t>
  </si>
  <si>
    <t>A-428</t>
  </si>
  <si>
    <t>AGRI EQUAL ELBOW 90 (2.5 Kg</t>
  </si>
  <si>
    <t>A-328</t>
  </si>
  <si>
    <t>AGRI EQUAL TEE 90 (2.5 Kg</t>
  </si>
  <si>
    <t>A-229</t>
  </si>
  <si>
    <t>coupler- 2.5 KG, 10MM AGRI</t>
  </si>
  <si>
    <t>A-327</t>
  </si>
  <si>
    <t>EQUAL TEE 2.5 KG, 75MM AGRI</t>
  </si>
  <si>
    <t>A-227</t>
  </si>
  <si>
    <t>COUPLER 2.5 KG, 75MM AGRI</t>
  </si>
  <si>
    <t>A-427</t>
  </si>
  <si>
    <t>AGRI EQUAL ELBOW 75 (2.5 Kg</t>
  </si>
  <si>
    <t>A-702</t>
  </si>
  <si>
    <t>BUSH 4KG, 50X40MM, AGRI</t>
  </si>
  <si>
    <t>A-704</t>
  </si>
  <si>
    <t>BUSH 4KG, 75X110MM, AGRI</t>
  </si>
  <si>
    <t>A-703</t>
  </si>
  <si>
    <t>BUSH 4KG, 75X50MM, AGRI</t>
  </si>
  <si>
    <t>A-329</t>
  </si>
  <si>
    <t>EQUAL TEE 2.5 KG, 110MM AGRI</t>
  </si>
  <si>
    <t>CH88</t>
  </si>
  <si>
    <t>25MM CANCELLED VALVE QUARTER TURN.WITH URBONA-HANDLE</t>
  </si>
  <si>
    <t>CH86</t>
  </si>
  <si>
    <t>25MM CANCELLED VALVE QUARTER TURN.WITH MACASA-HANDLE</t>
  </si>
  <si>
    <t>A-429</t>
  </si>
  <si>
    <t>AGRI EQUAL ELBOW 110 (2.5 Kg</t>
  </si>
  <si>
    <t>CH84</t>
  </si>
  <si>
    <t>25MM CANCELLED VALVE QUARTER TURN.WITH GREACIA-HANDLE</t>
  </si>
  <si>
    <t>CH82</t>
  </si>
  <si>
    <t>25MM CANCELLED VALVE QUARTER TURN.WITH TRIANGLE HANDLE</t>
  </si>
  <si>
    <t>WT-ISI-15</t>
  </si>
  <si>
    <t>Water Tank 2 layer ISI  1500 Ltr.</t>
  </si>
  <si>
    <t xml:space="preserve">WATER TANK </t>
  </si>
  <si>
    <t>AS-329</t>
  </si>
  <si>
    <t>AGRI EQUAL TEE 110</t>
  </si>
  <si>
    <t>AS-429</t>
  </si>
  <si>
    <t>AGRI EQUAL ELBOW 110</t>
  </si>
  <si>
    <t>AS-328</t>
  </si>
  <si>
    <t>AGRI EQUAL TEE 90</t>
  </si>
  <si>
    <t>AS-428</t>
  </si>
  <si>
    <t xml:space="preserve">AGRI EQUAL ELBOW 90 </t>
  </si>
  <si>
    <t>AS-229</t>
  </si>
  <si>
    <t>AGRI COUPLER PN-7110</t>
  </si>
  <si>
    <t>AS-327</t>
  </si>
  <si>
    <t>AGRI EQUAL TEE 75</t>
  </si>
  <si>
    <t>MULTIFLOOR TRAPE 110X75X50 MM</t>
  </si>
  <si>
    <t>PW80</t>
  </si>
  <si>
    <t>SWR PIPE S/S  75 MM (4 FEET-A)</t>
  </si>
  <si>
    <t>PW20</t>
  </si>
  <si>
    <t>SWR PIPE S/S  110 MM (4 FEET-A)</t>
  </si>
  <si>
    <t>AS-227</t>
  </si>
  <si>
    <t>AGRI COUPLER PN-575</t>
  </si>
  <si>
    <t>C324</t>
  </si>
  <si>
    <t>BRASS TEA-25X25X25</t>
  </si>
  <si>
    <t>AS-427</t>
  </si>
  <si>
    <t xml:space="preserve">AGRI EQUAL ELBOW 75 </t>
  </si>
  <si>
    <t>AS-228</t>
  </si>
  <si>
    <t>AGRI COUPLER PN-690</t>
  </si>
  <si>
    <t>A-54A</t>
  </si>
  <si>
    <t>200MM 6 Kg AGRI PIPE  (6 Mtr.)</t>
  </si>
  <si>
    <t>CH89</t>
  </si>
  <si>
    <t>25MM CANCELLED VALVE QUARTER TURN.WITH SPA-HANDLE</t>
  </si>
  <si>
    <t>CH82F</t>
  </si>
  <si>
    <t>3/4" CPVC TRIANGLE CONCEALED VALVE</t>
  </si>
  <si>
    <t>CHA-72F2</t>
  </si>
  <si>
    <t>20 MM CONCEALED ACCESSORIES(HANDLE +SLEEVE+FLANGE)</t>
  </si>
  <si>
    <t>A-31B</t>
  </si>
  <si>
    <t>PIPE 5 MTRS LENGTH 4 KG 140MM</t>
  </si>
  <si>
    <t>A-8B</t>
  </si>
  <si>
    <t>90MM 2.5 Kg AGRI PIPE  (5 Mtr.)</t>
  </si>
  <si>
    <t>A-50A</t>
  </si>
  <si>
    <t>125MM 6 Kg AGRI PIPE  (3 Mtr.)</t>
  </si>
  <si>
    <t>PU-4TB</t>
  </si>
  <si>
    <t>THREADED PIPE SCH 80 32 MM</t>
  </si>
  <si>
    <t>AS-449</t>
  </si>
  <si>
    <t>AGRI ELBOW 90⁰ 110</t>
  </si>
  <si>
    <t>AS-446</t>
  </si>
  <si>
    <t>AGRI ELBOW 90⁰ 63</t>
  </si>
  <si>
    <t>AS-448</t>
  </si>
  <si>
    <t>AGRI ELBOW 90⁰ 90</t>
  </si>
  <si>
    <t>AS-447</t>
  </si>
  <si>
    <t>AGRI ELBOW 90⁰ 75</t>
  </si>
  <si>
    <t>AS-346</t>
  </si>
  <si>
    <t>AGRI EQUAL TEE 63</t>
  </si>
  <si>
    <t>AS-349</t>
  </si>
  <si>
    <t>AS-347</t>
  </si>
  <si>
    <t>PU-5TB</t>
  </si>
  <si>
    <t>THREADED PIPE SCH 80 40 MM</t>
  </si>
  <si>
    <t>CH88F</t>
  </si>
  <si>
    <t>25 MM FULL TURN CONCEALED VALVE URBONA</t>
  </si>
  <si>
    <t>CH90F</t>
  </si>
  <si>
    <t>25 MM FULL TURN CONCEALED VALVE VIVA</t>
  </si>
  <si>
    <t>AS-249</t>
  </si>
  <si>
    <t>AS-348</t>
  </si>
  <si>
    <t xml:space="preserve">AGRI EQUAL TEE 90 </t>
  </si>
  <si>
    <t>MHC-10</t>
  </si>
  <si>
    <t>MANHOLE COVER 770 X 770</t>
  </si>
  <si>
    <t xml:space="preserve">Trading </t>
  </si>
  <si>
    <t>MHC-09</t>
  </si>
  <si>
    <t>MANHOLE COVER 720 X 720</t>
  </si>
  <si>
    <t>MHC-08</t>
  </si>
  <si>
    <t>MANHOLE COVER 600 X 600</t>
  </si>
  <si>
    <t>MHC-07</t>
  </si>
  <si>
    <t>MANHOLE COVER 535 X 535</t>
  </si>
  <si>
    <t>MHC-06</t>
  </si>
  <si>
    <t>MANHOLE COVER 450 X 600</t>
  </si>
  <si>
    <t>MHC-05</t>
  </si>
  <si>
    <t>MANHOLE COVER 450 X 450</t>
  </si>
  <si>
    <t>MHC-04</t>
  </si>
  <si>
    <t>MANHOLE COVER 300 X 450</t>
  </si>
  <si>
    <t>MHC-03</t>
  </si>
  <si>
    <t>MANHOLE COVER 380 X 380</t>
  </si>
  <si>
    <t>MHC-02</t>
  </si>
  <si>
    <t>MANHOLE COVER 300 X 300</t>
  </si>
  <si>
    <t>MHC-01</t>
  </si>
  <si>
    <t>MANHOLE COVER 250 X 250</t>
  </si>
  <si>
    <t>AS-248</t>
  </si>
  <si>
    <t>PB125</t>
  </si>
  <si>
    <t>COLUMN PIPE 25 MM 10 KG/CM2</t>
  </si>
  <si>
    <t>Colum Pipe</t>
  </si>
  <si>
    <t>PB225</t>
  </si>
  <si>
    <t>COLUMN PIPE 25 MM 12.5 KG/CM2</t>
  </si>
  <si>
    <t>PB325</t>
  </si>
  <si>
    <t>COLUMN PIPE 25 MM 15 KG/CM2</t>
  </si>
  <si>
    <t>PB132</t>
  </si>
  <si>
    <t>COLUMN PIPE 32 MM 10 KG/CM3</t>
  </si>
  <si>
    <t>PB232</t>
  </si>
  <si>
    <t>COLUMN PIPE 32 MM 12.5 KG/CM3</t>
  </si>
  <si>
    <t>PB332</t>
  </si>
  <si>
    <t>COLUMN PIPE 32 MM 15 KG/CM3</t>
  </si>
  <si>
    <t>PB432</t>
  </si>
  <si>
    <t>COLUMN PIPE 40 MM 10 KG/CM4</t>
  </si>
  <si>
    <t>PB240</t>
  </si>
  <si>
    <t>COLUMN PIPE 40 MM 12.5 KG/CM4</t>
  </si>
  <si>
    <t>PB340</t>
  </si>
  <si>
    <t>COLUMN PIPE 40 MM 15 KG/CM4</t>
  </si>
  <si>
    <t>PB440</t>
  </si>
  <si>
    <t>COLUMN PIPE 40 MM 20 KG/CM4</t>
  </si>
  <si>
    <t>PB350</t>
  </si>
  <si>
    <t>COLUMN PIPE 50 MM 15 KG/CM5</t>
  </si>
  <si>
    <t>PB450</t>
  </si>
  <si>
    <t>COLUMN PIPE 50 MM 20 KG/CM5</t>
  </si>
  <si>
    <t>PB550</t>
  </si>
  <si>
    <t>COLUMN PIPE 50 MM 25 KG/CM5</t>
  </si>
  <si>
    <t>PB365</t>
  </si>
  <si>
    <t>COLUMN PIPE 65 MM 15 KG/CM6</t>
  </si>
  <si>
    <t>PB465</t>
  </si>
  <si>
    <t>COLUMN PIPE 65 MM 20 KG/CM6</t>
  </si>
  <si>
    <t>PB565</t>
  </si>
  <si>
    <t>COLUMN PIPE 65 MM 25 KG/CM6</t>
  </si>
  <si>
    <t>PB380</t>
  </si>
  <si>
    <t>COLUMN PIPE 80 MM 15 KG/CM8</t>
  </si>
  <si>
    <t>PB480</t>
  </si>
  <si>
    <t>COLUMN PIPE 80 MM 20 KG/CM8</t>
  </si>
  <si>
    <t>PB580</t>
  </si>
  <si>
    <t>COLUMN PIPE 80 MM 25 KG/CM8</t>
  </si>
  <si>
    <t>PB3100</t>
  </si>
  <si>
    <t>COLUMN PIPE 100 MM 15 KG/CM1</t>
  </si>
  <si>
    <t>PB4100</t>
  </si>
  <si>
    <t>COLUMN PIPE 100 MM 20 KG/CM1</t>
  </si>
  <si>
    <t>PB5100</t>
  </si>
  <si>
    <t>COLUMN PIPE 100 MM 25 KG/CM1</t>
  </si>
  <si>
    <t>MULTIFLOOR TRAPE 110X75X50 MM WITH COVER</t>
  </si>
  <si>
    <t>PN28C</t>
  </si>
  <si>
    <t>90MM AGRI PIPE NON ISI PN4</t>
  </si>
  <si>
    <t>PN48C</t>
  </si>
  <si>
    <t>90MM AGRI PIPE NON ISI PN6</t>
  </si>
  <si>
    <t>PN29C</t>
  </si>
  <si>
    <t>110MM AGRI PIPE NON ISI PN4</t>
  </si>
  <si>
    <t>PN49C</t>
  </si>
  <si>
    <t>110MM AGRI PIPE NON ISI PN6</t>
  </si>
  <si>
    <t>PN32C</t>
  </si>
  <si>
    <t>160MM AGRI PIPE NON ISI PN4</t>
  </si>
  <si>
    <t>PN89C</t>
  </si>
  <si>
    <t>110MM AGRI PIPE NON ISI PN10</t>
  </si>
  <si>
    <t>CH86F</t>
  </si>
  <si>
    <t>25 MM FULL TURN CONCEALED VALVE MACASA</t>
  </si>
  <si>
    <t>PB125B</t>
  </si>
  <si>
    <t>COLUMN BILLING PIPE 25 MM 10 KG/CM2</t>
  </si>
  <si>
    <t>PB225B</t>
  </si>
  <si>
    <t>COLUMN BILLING PIPE 25 MM 12.5 KG/CM2</t>
  </si>
  <si>
    <t>PB132B</t>
  </si>
  <si>
    <t>COLUMN BILLING PIPE 32 MM 10 KG/CM3</t>
  </si>
  <si>
    <t>PB232B</t>
  </si>
  <si>
    <t>COLUMN BILLING PIPE 32 MM 12.5 KG/CM3</t>
  </si>
  <si>
    <t>AS-442</t>
  </si>
  <si>
    <t>AGRI ELBOW 90? 160</t>
  </si>
  <si>
    <t>AS-246</t>
  </si>
  <si>
    <t>AGRI COUPLER PN-6 63</t>
  </si>
  <si>
    <t>AS-549</t>
  </si>
  <si>
    <t>AGRI END CAP 110</t>
  </si>
  <si>
    <t>AS-242</t>
  </si>
  <si>
    <t>AGRI COUPLER PN-10160</t>
  </si>
  <si>
    <t>PN52C</t>
  </si>
  <si>
    <t>160MM AGRI PIPE NON ISI PN6</t>
  </si>
  <si>
    <t>AS-443</t>
  </si>
  <si>
    <t>AGRI ELBOW 90? 200</t>
  </si>
  <si>
    <t>75MM SOCKET PLUG</t>
  </si>
  <si>
    <t>110MM SOCKET PLUG</t>
  </si>
  <si>
    <t>160MM SOCKET PLUG</t>
  </si>
  <si>
    <t>AS-342</t>
  </si>
  <si>
    <t>160MM EQUAL TEE4 KG/CM2(PN-6)</t>
  </si>
  <si>
    <t>CH90</t>
  </si>
  <si>
    <t>25 MM Q/T TURN CONCEALED VALVE VIVA</t>
  </si>
  <si>
    <t>U29 L</t>
  </si>
  <si>
    <t>4" BALL VALVE (long handle)</t>
  </si>
  <si>
    <t>UH88F</t>
  </si>
  <si>
    <t>1''CANCELLED VALVE FULL TURN URBONA</t>
  </si>
  <si>
    <t>UH84F</t>
  </si>
  <si>
    <t>1"CANCELLED VALVE FULL TURN CRACIA</t>
  </si>
  <si>
    <t>UH90F</t>
  </si>
  <si>
    <t>1"CANCELLED VALVE FULL TURN VIVA</t>
  </si>
  <si>
    <t>UH86F</t>
  </si>
  <si>
    <t>1"CANCELLED VALVE FULL TURN MACASA</t>
  </si>
  <si>
    <t>UH82F</t>
  </si>
  <si>
    <t>1"CANCELLED VALVE FULL TURN TRINNGULAR</t>
  </si>
  <si>
    <t>UH89F</t>
  </si>
  <si>
    <t>1"CANCELLED VALVE FULL TURN SAGA</t>
  </si>
  <si>
    <t>UH88Q</t>
  </si>
  <si>
    <t>1''CANCELLED VALVE QUARTER TURN URBONA</t>
  </si>
  <si>
    <t>UH84Q</t>
  </si>
  <si>
    <t>1"CANCELLED VALVE QUARTER TURN CRACIA</t>
  </si>
  <si>
    <t>UH90Q</t>
  </si>
  <si>
    <t>1"CANCELLED VALVE QUARTER TURN VIVA</t>
  </si>
  <si>
    <t>UH86Q</t>
  </si>
  <si>
    <t>1"CANCELLED VALVE QUARTER TURN MACASA</t>
  </si>
  <si>
    <t>UH82Q</t>
  </si>
  <si>
    <t>1"CANCELLED VALVE QUARTER TURN TRINNGULAR</t>
  </si>
  <si>
    <t>UH89Q</t>
  </si>
  <si>
    <t>1"CANCELLED VALVE QUARTER TURN SAGA</t>
  </si>
  <si>
    <t xml:space="preserve">110X63 MMNAHANI TRAP WITH JALI </t>
  </si>
  <si>
    <t xml:space="preserve">63 MM BACK FLOW VALVE  </t>
  </si>
  <si>
    <t xml:space="preserve">75 MM BACK FLOW VALVE  </t>
  </si>
  <si>
    <t xml:space="preserve">90 MM BACK FLOW VALVE </t>
  </si>
  <si>
    <t xml:space="preserve">110 MM BACK FLOW VALVE </t>
  </si>
  <si>
    <t xml:space="preserve">160 MM BACK FLOW VALVE </t>
  </si>
  <si>
    <t>A-213</t>
  </si>
  <si>
    <t xml:space="preserve">32 MM COUPLER 10 KG/CM2 </t>
  </si>
  <si>
    <t>A-214</t>
  </si>
  <si>
    <t xml:space="preserve">40 MM COUPLER 10 KG/CM2 </t>
  </si>
  <si>
    <t>A-411</t>
  </si>
  <si>
    <t xml:space="preserve">20 MM ELBOW 10 KG/CM2 </t>
  </si>
  <si>
    <t>A-413</t>
  </si>
  <si>
    <t xml:space="preserve">32 MM ELBOW 10 KG/CM2 </t>
  </si>
  <si>
    <t>A-313</t>
  </si>
  <si>
    <t xml:space="preserve">32 MMTEE 10 KG/CM2 </t>
  </si>
  <si>
    <t>A-513</t>
  </si>
  <si>
    <t xml:space="preserve">32 MM 45* ELBOW 10 KG/CM2 </t>
  </si>
  <si>
    <t>A-711</t>
  </si>
  <si>
    <t xml:space="preserve">20X25 MM REDUCER BUSH 4 KG/CM2 </t>
  </si>
  <si>
    <t>A-712</t>
  </si>
  <si>
    <t xml:space="preserve">20X32 MMREDUCER BUSH 4 KG/CM2 </t>
  </si>
  <si>
    <t>A-713</t>
  </si>
  <si>
    <t xml:space="preserve">20X40 MMREDUCER BUSH 4 KG/CM2 </t>
  </si>
  <si>
    <t>A-714</t>
  </si>
  <si>
    <t xml:space="preserve">20X50 MMREDUCER BUSH 4 KG/CM2 </t>
  </si>
  <si>
    <t>A-715</t>
  </si>
  <si>
    <t xml:space="preserve">25X32 MMREDUCER BUSH 4 KG/CM2 </t>
  </si>
  <si>
    <t>A-716</t>
  </si>
  <si>
    <t xml:space="preserve">25X40 MMREDUCER BUSH 4 KG/CM2 </t>
  </si>
  <si>
    <t>A-717</t>
  </si>
  <si>
    <t xml:space="preserve">25X50 MMREDUCER BUSH 4 KG/CM2 </t>
  </si>
  <si>
    <t>A-719</t>
  </si>
  <si>
    <t xml:space="preserve">32X50 MMREDUCER BUSH 4 KG/CM2 </t>
  </si>
  <si>
    <t>A-721</t>
  </si>
  <si>
    <t xml:space="preserve">50X63 MMREDUCER BUSH 4 KG/CM2 </t>
  </si>
  <si>
    <t>4763W</t>
  </si>
  <si>
    <t xml:space="preserve">110X63 MMNAHANI TRAP WITHOUT JALI </t>
  </si>
  <si>
    <t>A-419</t>
  </si>
  <si>
    <t>REDUCER ELBOW 4KG 110X90</t>
  </si>
  <si>
    <t>A-509</t>
  </si>
  <si>
    <t>ELBOW 45- 4 KG 90MM AGRI</t>
  </si>
  <si>
    <t>A-510</t>
  </si>
  <si>
    <t>ELBOW 45- 4 KG 110MM AGRI</t>
  </si>
  <si>
    <t>A-771</t>
  </si>
  <si>
    <t>REDUCER COUPLER  110X 50 MM</t>
  </si>
  <si>
    <t>A-311</t>
  </si>
  <si>
    <t>20 MM EQUAL TEE  AGRI-(10 KG)</t>
  </si>
  <si>
    <t>A-211</t>
  </si>
  <si>
    <t>20 MM COUPLER AGRI-(10 KG)</t>
  </si>
  <si>
    <t>A-412</t>
  </si>
  <si>
    <t>25 MM ELBOW 90 AGRI-(10 KG)</t>
  </si>
  <si>
    <t>A-312</t>
  </si>
  <si>
    <t>25 MM EQUAL TEE  AGRI-(10 KG)</t>
  </si>
  <si>
    <t>A-511</t>
  </si>
  <si>
    <t>20 MM ELBOW 45  AGRI-(10 KG)</t>
  </si>
  <si>
    <t>A-512</t>
  </si>
  <si>
    <t>45° ELBOW 10kg/cm² 25MM</t>
  </si>
  <si>
    <t>A-720</t>
  </si>
  <si>
    <t>32X40 MM AGRI REDUCER BUSH 4 KG/CM2</t>
  </si>
  <si>
    <t>A-718</t>
  </si>
  <si>
    <t>A-212</t>
  </si>
  <si>
    <t>25 MM COUPLER AGRI-(10 KG)</t>
  </si>
  <si>
    <t>A-30A</t>
  </si>
  <si>
    <t>PIPE 3 MTRS Length 4 KG 125MM</t>
  </si>
  <si>
    <t>A-514</t>
  </si>
  <si>
    <t>45° ELBOW 10kg/cm² 40MM</t>
  </si>
  <si>
    <t>A-515</t>
  </si>
  <si>
    <t>50° ELBOW 10kg/cm² 40MM</t>
  </si>
  <si>
    <t>OPVC22</t>
  </si>
  <si>
    <t>110MM OPVC PIPE 16KG/CM2</t>
  </si>
  <si>
    <t>OPVC PIPE</t>
  </si>
  <si>
    <t>C134</t>
  </si>
  <si>
    <t>32 mm Non Return Valve</t>
  </si>
  <si>
    <t>UH88-L</t>
  </si>
  <si>
    <t>1" UPVC  URBONA CONCEALED VALVE Q/T</t>
  </si>
  <si>
    <t>A-417</t>
  </si>
  <si>
    <t xml:space="preserve">110X75 MM Red. ELBOW 10 KG/CM2 </t>
  </si>
  <si>
    <t>AS-247</t>
  </si>
  <si>
    <t>AGRI COUPLER PN-6 75</t>
  </si>
  <si>
    <t>A-51A</t>
  </si>
  <si>
    <t>140MM 6 Kg AGRI PIPE  (3 Mtr.)</t>
  </si>
  <si>
    <t>CHB-72F</t>
  </si>
  <si>
    <t>20 MM CONCEALED ACCESSORIES(HANDLE + Fitting)</t>
  </si>
  <si>
    <t>PP42</t>
  </si>
  <si>
    <t>Coupler 20 MM PPR FITTINGS (White Single Layer)</t>
  </si>
  <si>
    <t>PPR Fittimg</t>
  </si>
  <si>
    <t>PP54</t>
  </si>
  <si>
    <t>Elbow 90 32 MM PPR FITTINGS (White Single Layer)</t>
  </si>
  <si>
    <t>PP44</t>
  </si>
  <si>
    <t>Coupler 32 MM PPR FITTINGS (White Single Layer)</t>
  </si>
  <si>
    <t>PP64</t>
  </si>
  <si>
    <t>Equal Tee 32 MM PPR FITTINGS (White Single Layer)</t>
  </si>
  <si>
    <t>PP43</t>
  </si>
  <si>
    <t>Coupler 25 MM PPR FITTINGS (White Single Layer)</t>
  </si>
  <si>
    <t>PP63</t>
  </si>
  <si>
    <t>Equal Tee 25 MM PPR FITTINGS (White Single Layer)</t>
  </si>
  <si>
    <t>PP53</t>
  </si>
  <si>
    <t>Elbow 90 25 MM PPR FITTINGS (White Single Layer)</t>
  </si>
  <si>
    <t>PP323</t>
  </si>
  <si>
    <t>Brass Tee 25x15 MM PPR FITTINGS (White Single Layer)</t>
  </si>
  <si>
    <t>PP303</t>
  </si>
  <si>
    <t>25x15mm male  brass tee</t>
  </si>
  <si>
    <t>WT-3LC-05 R</t>
  </si>
  <si>
    <t>Water Tank 3 layer Colour 500 Ltr.</t>
  </si>
  <si>
    <t>WT-3LC-05 G</t>
  </si>
  <si>
    <t>WT-3LC-07 G</t>
  </si>
  <si>
    <t>Water Tank 3 layer Colour  750 Ltr.</t>
  </si>
  <si>
    <t>WT-3LC-10 G</t>
  </si>
  <si>
    <t>Water Tank 3 layer Colour  1000 Ltr.</t>
  </si>
  <si>
    <t>WT-3LC-15 G</t>
  </si>
  <si>
    <t>Water Tank 3 layer Colour  1500 Ltr.</t>
  </si>
  <si>
    <t>WT-3LC-05 B</t>
  </si>
  <si>
    <t>WT-3LC-15 B</t>
  </si>
  <si>
    <t>WT-3LC-05 LB</t>
  </si>
  <si>
    <t>WT-3LC-05 O</t>
  </si>
  <si>
    <t>WT-3LC-10 O</t>
  </si>
  <si>
    <t>WT-4LC-05 Y</t>
  </si>
  <si>
    <t>Water Tank 4 layer Colour 500 Ltr.</t>
  </si>
  <si>
    <t>WT-4LC-07 Y</t>
  </si>
  <si>
    <t>Water Tank 4 layer Colour  750 Ltr.</t>
  </si>
  <si>
    <t>WCT-3LL-05</t>
  </si>
  <si>
    <t>WATER COOL TANK 3 LAYER LIGHT 500 LTR.</t>
  </si>
  <si>
    <t>WCT-3LL-07</t>
  </si>
  <si>
    <t>WATER COOL TANK 3 LAYER LIGHT 750 LTR.</t>
  </si>
  <si>
    <t>WCT-3LL-10</t>
  </si>
  <si>
    <t>WATER COOL TANK 3 LAYER LIGHT 1000 LTR.</t>
  </si>
  <si>
    <t>C521S</t>
  </si>
  <si>
    <t>3/4"x1/2" 90⁰ BRASS ELBOW (New)</t>
  </si>
  <si>
    <t>WCT-3LL-05 B</t>
  </si>
  <si>
    <t>WCT-3LL-07 B</t>
  </si>
  <si>
    <t>WCT-3LL-10 B</t>
  </si>
  <si>
    <t>WCT-3LL-05 Y</t>
  </si>
  <si>
    <t>WCT-3LL-07 Y</t>
  </si>
  <si>
    <t>WCT-3LL-10 Y</t>
  </si>
  <si>
    <t>PU13T</t>
  </si>
  <si>
    <t>1" UPVC PIPE ( SCH 40 ) Thr.</t>
  </si>
  <si>
    <t>C135</t>
  </si>
  <si>
    <t>40 MM Non Return Valve</t>
  </si>
  <si>
    <t>WCT-3LL-05 G</t>
  </si>
  <si>
    <t>WCT-3LL-07 G</t>
  </si>
  <si>
    <t>WCT-3LL-10 G</t>
  </si>
  <si>
    <t>WCT-3LL-05 GD</t>
  </si>
  <si>
    <t>WCT-3LL-07 GD</t>
  </si>
  <si>
    <t>WCT-3LL-10 GD</t>
  </si>
  <si>
    <t>WCT-3LL-05 PG</t>
  </si>
  <si>
    <t>WCT-3LL-07 PG</t>
  </si>
  <si>
    <t>WCT-3LL-10 PG</t>
  </si>
  <si>
    <t>WCT-3LL-05 P</t>
  </si>
  <si>
    <t>WCT-3LL-07 P</t>
  </si>
  <si>
    <t>WCT-3LL-10 P</t>
  </si>
  <si>
    <t>PP523</t>
  </si>
  <si>
    <t>Brass Elbow 90 25x15 MM PPR FITTINGS (White Single Layer)</t>
  </si>
  <si>
    <t>PP513</t>
  </si>
  <si>
    <t>Male Brass Elbow 90 25x15 MM PPR FITTINGS (White Single Layer)</t>
  </si>
  <si>
    <t>PP413</t>
  </si>
  <si>
    <t>25"x1/2" Female brass coupling</t>
  </si>
  <si>
    <t>PP403</t>
  </si>
  <si>
    <t>25"x1/2" Male brass coupling</t>
  </si>
  <si>
    <t>PP33</t>
  </si>
  <si>
    <t>Union 25 MM PPR FITTINGS (White Single Layer)</t>
  </si>
  <si>
    <t>WT-4LWP-10</t>
  </si>
  <si>
    <t>Water Tank 4 layer Light 1000 Ltr. WP</t>
  </si>
  <si>
    <t>PP62</t>
  </si>
  <si>
    <t>Equal Tee 20 MM PPR FITTINGS (White Single Layer)</t>
  </si>
  <si>
    <t>PP52</t>
  </si>
  <si>
    <t>Elbow 90 20 MM PPR FITTINGS (White Single Layer)</t>
  </si>
  <si>
    <t>PP942</t>
  </si>
  <si>
    <t>Reducer Bush 32x20 PPR FITTINGS (White Single Layer)</t>
  </si>
  <si>
    <t>PP943</t>
  </si>
  <si>
    <t>Reducer Bush 32x25 PPR FITTINGS (White Single Layer)</t>
  </si>
  <si>
    <t>PP952</t>
  </si>
  <si>
    <t>Reducer Coupler 40x20 PPR FITTINGS (White Single Layer)</t>
  </si>
  <si>
    <t>PP953</t>
  </si>
  <si>
    <t>Reducer Coupler 40x25 PPR FITTINGS (White Single Layer)</t>
  </si>
  <si>
    <t>PP954</t>
  </si>
  <si>
    <t>Reducer Coupler 40x32 PPR FITTINGS (White Single Layer)</t>
  </si>
  <si>
    <t>PP932</t>
  </si>
  <si>
    <t>Reducer Coupler 25x20 PPR FITTINGS (White Single Layer)</t>
  </si>
  <si>
    <t>Weight / Pcs</t>
  </si>
  <si>
    <t>Cpvc Fitting</t>
  </si>
  <si>
    <t>Upvc Fitting</t>
  </si>
  <si>
    <t>Swr Fitting</t>
  </si>
  <si>
    <t>Agri Fitting</t>
  </si>
  <si>
    <t>cpvc pipe</t>
  </si>
  <si>
    <t>upvc pipe</t>
  </si>
  <si>
    <t>swr pipe</t>
  </si>
  <si>
    <t>agri  pipe</t>
  </si>
  <si>
    <t>Column  pipe</t>
  </si>
  <si>
    <t>Water Tank</t>
  </si>
  <si>
    <t>Total</t>
  </si>
  <si>
    <t>21 Tone</t>
  </si>
  <si>
    <t>82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</si>
</sst>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-yyyy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D9D2E9"/>
      </patternFill>
    </fill>
    <fill>
      <patternFill patternType="solid">
        <fgColor theme="0" tint="-0.14999847407452621"/>
        <bgColor rgb="FF93C47D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82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49" fontId="7" fillId="2" borderId="0" xfId="1" quotePrefix="1" applyNumberFormat="1" applyFont="1" applyFill="1" applyAlignment="1">
      <alignment horizontal="left"/>
    </xf>
    <xf numFmtId="0" fontId="1" fillId="2" borderId="0" xfId="1" applyFont="1" applyFill="1"/>
    <xf numFmtId="0" fontId="1" fillId="2" borderId="0" xfId="1" applyFont="1" applyFill="1" applyAlignment="1">
      <alignment horizontal="right"/>
    </xf>
    <xf numFmtId="164" fontId="2" fillId="3" borderId="1" xfId="1" applyNumberFormat="1" applyFont="1" applyFill="1" applyBorder="1" applyAlignment="1">
      <alignment horizontal="center"/>
    </xf>
    <xf numFmtId="164" fontId="2" fillId="3" borderId="2" xfId="1" applyNumberFormat="1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164" fontId="2" fillId="4" borderId="4" xfId="1" applyNumberFormat="1" applyFont="1" applyFill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8" fillId="5" borderId="5" xfId="1" applyFont="1" applyFill="1" applyBorder="1" applyAlignment="1">
      <alignment horizontal="left" vertical="center"/>
    </xf>
    <xf numFmtId="0" fontId="9" fillId="5" borderId="6" xfId="1" applyFont="1" applyFill="1" applyBorder="1" applyAlignment="1">
      <alignment horizontal="center" vertical="center"/>
    </xf>
    <xf numFmtId="0" fontId="9" fillId="5" borderId="7" xfId="1" applyFont="1" applyFill="1" applyBorder="1" applyAlignment="1">
      <alignment horizontal="center" vertical="center"/>
    </xf>
    <xf numFmtId="0" fontId="9" fillId="5" borderId="8" xfId="1" applyFont="1" applyFill="1" applyBorder="1" applyAlignment="1">
      <alignment horizontal="center" vertical="center"/>
    </xf>
    <xf numFmtId="0" fontId="9" fillId="5" borderId="9" xfId="1" applyFont="1" applyFill="1" applyBorder="1" applyAlignment="1">
      <alignment horizontal="center" vertical="center"/>
    </xf>
    <xf numFmtId="2" fontId="9" fillId="5" borderId="8" xfId="1" applyNumberFormat="1" applyFont="1" applyFill="1" applyBorder="1" applyAlignment="1">
      <alignment horizontal="center" vertical="center"/>
    </xf>
    <xf numFmtId="49" fontId="8" fillId="6" borderId="8" xfId="1" applyNumberFormat="1" applyFont="1" applyFill="1" applyBorder="1" applyAlignment="1" applyProtection="1">
      <alignment horizontal="left" vertical="center" wrapText="1"/>
      <protection locked="0" hidden="1"/>
    </xf>
    <xf numFmtId="0" fontId="9" fillId="6" borderId="8" xfId="1" applyFont="1" applyFill="1" applyBorder="1" applyAlignment="1" applyProtection="1">
      <alignment vertical="center" wrapText="1"/>
      <protection locked="0" hidden="1"/>
    </xf>
    <xf numFmtId="0" fontId="10" fillId="6" borderId="8" xfId="1" applyFont="1" applyFill="1" applyBorder="1" applyAlignment="1" applyProtection="1">
      <alignment vertical="center" wrapText="1"/>
      <protection locked="0" hidden="1"/>
    </xf>
    <xf numFmtId="3" fontId="10" fillId="6" borderId="8" xfId="1" applyNumberFormat="1" applyFont="1" applyFill="1" applyBorder="1" applyAlignment="1" applyProtection="1">
      <alignment horizontal="center" vertical="center" wrapText="1"/>
      <protection locked="0" hidden="1"/>
    </xf>
    <xf numFmtId="0" fontId="9" fillId="6" borderId="8" xfId="1" applyFont="1" applyFill="1" applyBorder="1" applyAlignment="1" applyProtection="1">
      <alignment horizontal="center" vertical="center" wrapText="1"/>
      <protection locked="0" hidden="1"/>
    </xf>
    <xf numFmtId="0" fontId="10" fillId="6" borderId="8" xfId="1" applyFont="1" applyFill="1" applyBorder="1" applyAlignment="1" applyProtection="1">
      <alignment horizontal="center" vertical="center" wrapText="1"/>
      <protection locked="0" hidden="1"/>
    </xf>
    <xf numFmtId="0" fontId="5" fillId="0" borderId="8" xfId="0" applyFont="1" applyBorder="1" applyAlignment="1">
      <alignment horizontal="left"/>
    </xf>
    <xf numFmtId="0" fontId="5" fillId="0" borderId="8" xfId="0" applyFont="1" applyBorder="1"/>
    <xf numFmtId="0" fontId="5" fillId="0" borderId="8" xfId="0" applyFont="1" applyBorder="1" applyAlignment="1">
      <alignment horizontal="right"/>
    </xf>
    <xf numFmtId="165" fontId="5" fillId="0" borderId="8" xfId="0" applyNumberFormat="1" applyFont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7" borderId="8" xfId="0" applyFont="1" applyFill="1" applyBorder="1" applyAlignment="1">
      <alignment horizontal="left"/>
    </xf>
    <xf numFmtId="0" fontId="5" fillId="7" borderId="8" xfId="0" applyFont="1" applyFill="1" applyBorder="1"/>
    <xf numFmtId="0" fontId="5" fillId="7" borderId="8" xfId="0" applyFont="1" applyFill="1" applyBorder="1" applyAlignment="1">
      <alignment horizontal="right"/>
    </xf>
    <xf numFmtId="165" fontId="5" fillId="7" borderId="8" xfId="0" applyNumberFormat="1" applyFont="1" applyFill="1" applyBorder="1"/>
    <xf numFmtId="0" fontId="5" fillId="0" borderId="8" xfId="1" applyFont="1" applyBorder="1" applyAlignment="1">
      <alignment horizontal="left"/>
    </xf>
    <xf numFmtId="0" fontId="0" fillId="0" borderId="8" xfId="0" applyBorder="1" applyAlignment="1">
      <alignment horizontal="left"/>
    </xf>
    <xf numFmtId="49" fontId="5" fillId="0" borderId="0" xfId="0" applyNumberFormat="1" applyFont="1" applyAlignment="1">
      <alignment horizontal="right"/>
    </xf>
    <xf numFmtId="0" fontId="11" fillId="0" borderId="8" xfId="0" applyFont="1" applyBorder="1" applyAlignment="1">
      <alignment horizontal="left"/>
    </xf>
    <xf numFmtId="0" fontId="11" fillId="0" borderId="8" xfId="0" applyFont="1" applyBorder="1"/>
    <xf numFmtId="0" fontId="11" fillId="0" borderId="8" xfId="0" applyFont="1" applyBorder="1" applyAlignment="1">
      <alignment horizontal="right"/>
    </xf>
    <xf numFmtId="165" fontId="11" fillId="0" borderId="8" xfId="0" applyNumberFormat="1" applyFont="1" applyBorder="1"/>
    <xf numFmtId="0" fontId="0" fillId="0" borderId="8" xfId="0" applyBorder="1"/>
    <xf numFmtId="0" fontId="0" fillId="0" borderId="8" xfId="1" applyFont="1" applyBorder="1" applyAlignment="1">
      <alignment horizontal="left"/>
    </xf>
    <xf numFmtId="0" fontId="0" fillId="7" borderId="8" xfId="0" applyFill="1" applyBorder="1" applyAlignment="1">
      <alignment horizontal="left"/>
    </xf>
    <xf numFmtId="0" fontId="0" fillId="7" borderId="8" xfId="0" applyFill="1" applyBorder="1"/>
    <xf numFmtId="0" fontId="12" fillId="0" borderId="8" xfId="0" applyFont="1" applyBorder="1" applyAlignment="1">
      <alignment horizontal="left"/>
    </xf>
    <xf numFmtId="0" fontId="12" fillId="0" borderId="8" xfId="0" applyFont="1" applyBorder="1"/>
    <xf numFmtId="0" fontId="13" fillId="0" borderId="8" xfId="0" applyFont="1" applyBorder="1"/>
    <xf numFmtId="0" fontId="13" fillId="0" borderId="8" xfId="0" applyFont="1" applyBorder="1" applyAlignment="1">
      <alignment horizontal="left"/>
    </xf>
    <xf numFmtId="0" fontId="0" fillId="0" borderId="8" xfId="0" applyBorder="1" applyAlignment="1">
      <alignment horizontal="left" wrapText="1"/>
    </xf>
    <xf numFmtId="0" fontId="5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/>
    </xf>
    <xf numFmtId="0" fontId="5" fillId="0" borderId="8" xfId="1" applyFont="1" applyBorder="1" applyAlignment="1">
      <alignment horizontal="left" vertical="top"/>
    </xf>
    <xf numFmtId="0" fontId="5" fillId="0" borderId="8" xfId="1" applyFont="1" applyBorder="1" applyAlignment="1">
      <alignment vertical="top"/>
    </xf>
    <xf numFmtId="0" fontId="4" fillId="0" borderId="8" xfId="0" applyFont="1" applyBorder="1" applyAlignment="1">
      <alignment horizontal="left"/>
    </xf>
    <xf numFmtId="0" fontId="5" fillId="0" borderId="10" xfId="1" applyFont="1" applyBorder="1" applyAlignment="1">
      <alignment horizontal="left" vertical="top"/>
    </xf>
    <xf numFmtId="0" fontId="0" fillId="0" borderId="10" xfId="0" applyBorder="1"/>
    <xf numFmtId="0" fontId="0" fillId="0" borderId="10" xfId="0" applyBorder="1" applyAlignment="1">
      <alignment horizontal="left"/>
    </xf>
    <xf numFmtId="0" fontId="7" fillId="0" borderId="8" xfId="0" applyFont="1" applyBorder="1" applyAlignment="1">
      <alignment horizontal="left" vertical="top" wrapText="1"/>
    </xf>
    <xf numFmtId="164" fontId="2" fillId="3" borderId="3" xfId="1" applyNumberFormat="1" applyFont="1" applyFill="1" applyBorder="1" applyAlignment="1">
      <alignment horizontal="center"/>
    </xf>
    <xf numFmtId="0" fontId="5" fillId="0" borderId="8" xfId="0" applyFont="1" applyFill="1" applyBorder="1" applyAlignment="1">
      <alignment horizontal="left"/>
    </xf>
    <xf numFmtId="0" fontId="5" fillId="0" borderId="8" xfId="0" applyFont="1" applyFill="1" applyBorder="1"/>
    <xf numFmtId="0" fontId="5" fillId="0" borderId="8" xfId="0" applyFont="1" applyFill="1" applyBorder="1" applyAlignment="1">
      <alignment horizontal="right"/>
    </xf>
    <xf numFmtId="0" fontId="0" fillId="0" borderId="0" xfId="0" applyFill="1"/>
    <xf numFmtId="0" fontId="0" fillId="0" borderId="8" xfId="0" applyFill="1" applyBorder="1" applyAlignment="1">
      <alignment horizontal="left"/>
    </xf>
    <xf numFmtId="0" fontId="0" fillId="0" borderId="8" xfId="0" applyFill="1" applyBorder="1"/>
    <xf numFmtId="0" fontId="12" fillId="0" borderId="8" xfId="0" applyFont="1" applyFill="1" applyBorder="1" applyAlignment="1">
      <alignment horizontal="left"/>
    </xf>
    <xf numFmtId="0" fontId="12" fillId="0" borderId="8" xfId="0" applyFont="1" applyFill="1" applyBorder="1"/>
    <xf numFmtId="0" fontId="5" fillId="0" borderId="8" xfId="1" applyFont="1" applyFill="1" applyBorder="1" applyAlignment="1">
      <alignment horizontal="left" vertical="top"/>
    </xf>
    <xf numFmtId="0" fontId="3" fillId="0" borderId="0" xfId="0" applyFont="1"/>
    <xf numFmtId="0" fontId="3" fillId="8" borderId="8" xfId="0" applyFont="1" applyFill="1" applyBorder="1" applyAlignment="1">
      <alignment horizontal="center"/>
    </xf>
    <xf numFmtId="0" fontId="3" fillId="8" borderId="8" xfId="0" applyFont="1" applyFill="1" applyBorder="1"/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0" fontId="14" fillId="9" borderId="7" xfId="0" applyFont="1" applyFill="1" applyBorder="1" applyAlignment="1">
      <alignment horizontal="center"/>
    </xf>
    <xf numFmtId="0" fontId="14" fillId="9" borderId="8" xfId="0" applyFont="1" applyFill="1" applyBorder="1"/>
  </cellXfs>
  <cellStyles count="2">
    <cellStyle name="Normal" xfId="0" builtinId="0"/>
    <cellStyle name="Normal 2" xfId="1" xr:uid="{821E992D-CD11-456F-B4D2-177A5705A44F}"/>
  </cellStyles>
  <dxfs count="1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unil\KEHRANI%20STORE\April%202026%20To%20March%202027\Party%20wise%20Dispatch%202026-2027.xlsx" TargetMode="External"/><Relationship Id="rId1" Type="http://schemas.openxmlformats.org/officeDocument/2006/relationships/externalLinkPath" Target="file:///D:\sunil\KEHRANI%20STORE\April%202026%20To%20March%202027\Party%20wise%20Dispatch%202026-202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unil\KEHRANI%20STORE\April%202026%20To%20March%202027\Latest%20master%20sheet%202026-2027.xlsx" TargetMode="External"/><Relationship Id="rId1" Type="http://schemas.openxmlformats.org/officeDocument/2006/relationships/externalLinkPath" Target="file:///D:\sunil\KEHRANI%20STORE\April%202026%20To%20March%202027\Latest%20master%20sheet%202026-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 2026-2027"/>
      <sheetName val="CN DETAILS SEND LUXMAN"/>
      <sheetName val="PENDING DISPATCH Partywise"/>
      <sheetName val="Today Dispatch"/>
      <sheetName val="Pending Dispatch"/>
      <sheetName val="Sheet1"/>
      <sheetName val="Sheet3"/>
      <sheetName val="Sheet2"/>
    </sheetNames>
    <sheetDataSet>
      <sheetData sheetId="0"/>
      <sheetData sheetId="1"/>
      <sheetData sheetId="2"/>
      <sheetData sheetId="3"/>
      <sheetData sheetId="4">
        <row r="2">
          <cell r="N2">
            <v>4761</v>
          </cell>
          <cell r="O2">
            <v>600</v>
          </cell>
        </row>
        <row r="3">
          <cell r="N3">
            <v>5106</v>
          </cell>
          <cell r="O3">
            <v>1152</v>
          </cell>
        </row>
        <row r="4">
          <cell r="N4">
            <v>5107</v>
          </cell>
          <cell r="O4">
            <v>704</v>
          </cell>
        </row>
        <row r="5">
          <cell r="N5">
            <v>5110</v>
          </cell>
          <cell r="O5">
            <v>7450</v>
          </cell>
        </row>
        <row r="6">
          <cell r="N6">
            <v>5111</v>
          </cell>
          <cell r="O6">
            <v>9820</v>
          </cell>
        </row>
        <row r="7">
          <cell r="N7">
            <v>5112</v>
          </cell>
          <cell r="O7">
            <v>1656</v>
          </cell>
        </row>
        <row r="8">
          <cell r="N8">
            <v>5121</v>
          </cell>
          <cell r="O8">
            <v>2052</v>
          </cell>
        </row>
        <row r="9">
          <cell r="N9">
            <v>5131</v>
          </cell>
          <cell r="O9">
            <v>24</v>
          </cell>
        </row>
        <row r="10">
          <cell r="N10">
            <v>5133</v>
          </cell>
          <cell r="O10">
            <v>2220</v>
          </cell>
        </row>
        <row r="11">
          <cell r="N11">
            <v>5134</v>
          </cell>
          <cell r="O11">
            <v>460</v>
          </cell>
        </row>
        <row r="12">
          <cell r="N12">
            <v>5141</v>
          </cell>
          <cell r="O12">
            <v>1510</v>
          </cell>
        </row>
        <row r="13">
          <cell r="N13">
            <v>5142</v>
          </cell>
          <cell r="O13">
            <v>70</v>
          </cell>
        </row>
        <row r="14">
          <cell r="N14">
            <v>5143</v>
          </cell>
          <cell r="O14">
            <v>20</v>
          </cell>
        </row>
        <row r="15">
          <cell r="N15">
            <v>5144</v>
          </cell>
          <cell r="O15">
            <v>7</v>
          </cell>
        </row>
        <row r="16">
          <cell r="N16">
            <v>5151</v>
          </cell>
          <cell r="O16">
            <v>1104</v>
          </cell>
        </row>
        <row r="17">
          <cell r="N17">
            <v>5155</v>
          </cell>
          <cell r="O17">
            <v>60</v>
          </cell>
        </row>
        <row r="18">
          <cell r="N18">
            <v>5157</v>
          </cell>
          <cell r="O18">
            <v>1500</v>
          </cell>
        </row>
        <row r="19">
          <cell r="N19">
            <v>5158</v>
          </cell>
          <cell r="O19">
            <v>30</v>
          </cell>
        </row>
        <row r="20">
          <cell r="N20">
            <v>5161</v>
          </cell>
          <cell r="O20">
            <v>2700</v>
          </cell>
        </row>
        <row r="21">
          <cell r="N21">
            <v>5162</v>
          </cell>
          <cell r="O21">
            <v>8100</v>
          </cell>
        </row>
        <row r="22">
          <cell r="N22">
            <v>5163</v>
          </cell>
          <cell r="O22">
            <v>240</v>
          </cell>
        </row>
        <row r="23">
          <cell r="N23">
            <v>5164</v>
          </cell>
          <cell r="O23">
            <v>600</v>
          </cell>
        </row>
        <row r="24">
          <cell r="N24">
            <v>5171</v>
          </cell>
          <cell r="O24">
            <v>620</v>
          </cell>
        </row>
        <row r="25">
          <cell r="N25">
            <v>5606</v>
          </cell>
          <cell r="O25">
            <v>864</v>
          </cell>
        </row>
        <row r="26">
          <cell r="N26">
            <v>5610</v>
          </cell>
          <cell r="O26">
            <v>56</v>
          </cell>
        </row>
        <row r="27">
          <cell r="N27">
            <v>5611</v>
          </cell>
          <cell r="O27">
            <v>128</v>
          </cell>
        </row>
        <row r="28">
          <cell r="N28">
            <v>5621</v>
          </cell>
          <cell r="O28">
            <v>60</v>
          </cell>
        </row>
        <row r="29">
          <cell r="N29">
            <v>5633</v>
          </cell>
          <cell r="O29">
            <v>24</v>
          </cell>
        </row>
        <row r="30">
          <cell r="N30">
            <v>5651</v>
          </cell>
          <cell r="O30">
            <v>78</v>
          </cell>
        </row>
        <row r="31">
          <cell r="N31">
            <v>5657</v>
          </cell>
          <cell r="O31">
            <v>72</v>
          </cell>
        </row>
        <row r="32">
          <cell r="N32">
            <v>5661</v>
          </cell>
          <cell r="O32">
            <v>80</v>
          </cell>
        </row>
        <row r="33">
          <cell r="N33">
            <v>5710</v>
          </cell>
          <cell r="O33">
            <v>2925</v>
          </cell>
        </row>
        <row r="34">
          <cell r="N34">
            <v>5711</v>
          </cell>
          <cell r="O34">
            <v>10320</v>
          </cell>
        </row>
        <row r="35">
          <cell r="N35">
            <v>5712</v>
          </cell>
          <cell r="O35">
            <v>1200</v>
          </cell>
        </row>
        <row r="36">
          <cell r="N36">
            <v>5721</v>
          </cell>
          <cell r="O36">
            <v>2160</v>
          </cell>
        </row>
        <row r="37">
          <cell r="N37">
            <v>5731</v>
          </cell>
          <cell r="O37">
            <v>25</v>
          </cell>
        </row>
        <row r="38">
          <cell r="N38">
            <v>5733</v>
          </cell>
          <cell r="O38">
            <v>2556</v>
          </cell>
        </row>
        <row r="39">
          <cell r="N39">
            <v>5734</v>
          </cell>
          <cell r="O39">
            <v>450</v>
          </cell>
        </row>
        <row r="40">
          <cell r="N40">
            <v>5741</v>
          </cell>
          <cell r="O40">
            <v>832</v>
          </cell>
        </row>
        <row r="41">
          <cell r="N41">
            <v>5742</v>
          </cell>
          <cell r="O41">
            <v>120</v>
          </cell>
        </row>
        <row r="42">
          <cell r="N42">
            <v>5744</v>
          </cell>
          <cell r="O42">
            <v>25</v>
          </cell>
        </row>
        <row r="43">
          <cell r="N43">
            <v>5761</v>
          </cell>
          <cell r="O43">
            <v>3990</v>
          </cell>
        </row>
        <row r="44">
          <cell r="N44">
            <v>5764</v>
          </cell>
          <cell r="O44">
            <v>525</v>
          </cell>
        </row>
        <row r="45">
          <cell r="N45">
            <v>5765</v>
          </cell>
          <cell r="O45">
            <v>200</v>
          </cell>
        </row>
        <row r="46">
          <cell r="N46">
            <v>5771</v>
          </cell>
          <cell r="O46">
            <v>1080</v>
          </cell>
        </row>
        <row r="47">
          <cell r="N47">
            <v>5792</v>
          </cell>
          <cell r="O47">
            <v>425</v>
          </cell>
        </row>
        <row r="48">
          <cell r="N48">
            <v>5793</v>
          </cell>
          <cell r="O48">
            <v>500</v>
          </cell>
        </row>
        <row r="49">
          <cell r="N49">
            <v>5910</v>
          </cell>
          <cell r="O49">
            <v>270</v>
          </cell>
        </row>
        <row r="50">
          <cell r="N50">
            <v>5911</v>
          </cell>
          <cell r="O50">
            <v>140</v>
          </cell>
        </row>
        <row r="51">
          <cell r="N51">
            <v>5912</v>
          </cell>
          <cell r="O51">
            <v>30</v>
          </cell>
        </row>
        <row r="52">
          <cell r="N52">
            <v>5921</v>
          </cell>
          <cell r="O52">
            <v>50</v>
          </cell>
        </row>
        <row r="53">
          <cell r="N53">
            <v>5933</v>
          </cell>
          <cell r="O53">
            <v>120</v>
          </cell>
        </row>
        <row r="54">
          <cell r="N54">
            <v>5934</v>
          </cell>
          <cell r="O54">
            <v>20</v>
          </cell>
        </row>
        <row r="55">
          <cell r="N55">
            <v>5941</v>
          </cell>
          <cell r="O55">
            <v>60</v>
          </cell>
        </row>
        <row r="56">
          <cell r="N56">
            <v>5942</v>
          </cell>
          <cell r="O56">
            <v>15</v>
          </cell>
        </row>
        <row r="57">
          <cell r="N57">
            <v>5951</v>
          </cell>
          <cell r="O57">
            <v>25</v>
          </cell>
        </row>
        <row r="58">
          <cell r="N58">
            <v>5961</v>
          </cell>
          <cell r="O58">
            <v>780</v>
          </cell>
        </row>
        <row r="59">
          <cell r="N59">
            <v>5963</v>
          </cell>
          <cell r="O59">
            <v>168</v>
          </cell>
        </row>
        <row r="60">
          <cell r="N60">
            <v>5964</v>
          </cell>
          <cell r="O60">
            <v>140</v>
          </cell>
        </row>
        <row r="61">
          <cell r="N61" t="str">
            <v>5110S</v>
          </cell>
          <cell r="O61">
            <v>1050</v>
          </cell>
        </row>
        <row r="62">
          <cell r="N62" t="str">
            <v>5111S</v>
          </cell>
          <cell r="O62">
            <v>325</v>
          </cell>
        </row>
        <row r="63">
          <cell r="N63" t="str">
            <v>5133S</v>
          </cell>
          <cell r="O63">
            <v>270</v>
          </cell>
        </row>
        <row r="64">
          <cell r="N64" t="str">
            <v>5163-W</v>
          </cell>
          <cell r="O64">
            <v>984</v>
          </cell>
        </row>
        <row r="65">
          <cell r="N65" t="str">
            <v>5710S</v>
          </cell>
          <cell r="O65">
            <v>1170</v>
          </cell>
        </row>
        <row r="66">
          <cell r="N66" t="str">
            <v>5711S</v>
          </cell>
          <cell r="O66">
            <v>140</v>
          </cell>
        </row>
        <row r="67">
          <cell r="N67" t="str">
            <v>5763-W</v>
          </cell>
          <cell r="O67">
            <v>684</v>
          </cell>
        </row>
        <row r="68">
          <cell r="N68" t="str">
            <v>5910S</v>
          </cell>
          <cell r="O68">
            <v>500</v>
          </cell>
        </row>
        <row r="69">
          <cell r="N69" t="str">
            <v>5963-W</v>
          </cell>
          <cell r="O69">
            <v>644</v>
          </cell>
        </row>
        <row r="70">
          <cell r="N70" t="str">
            <v>A-12C</v>
          </cell>
          <cell r="O70">
            <v>30</v>
          </cell>
        </row>
        <row r="71">
          <cell r="N71" t="str">
            <v>A-228</v>
          </cell>
          <cell r="O71">
            <v>250</v>
          </cell>
        </row>
        <row r="72">
          <cell r="N72" t="str">
            <v>A-246</v>
          </cell>
          <cell r="O72">
            <v>600</v>
          </cell>
        </row>
        <row r="73">
          <cell r="N73" t="str">
            <v>A-248</v>
          </cell>
          <cell r="O73">
            <v>750</v>
          </cell>
        </row>
        <row r="74">
          <cell r="N74" t="str">
            <v>A-249</v>
          </cell>
          <cell r="O74">
            <v>1250</v>
          </cell>
        </row>
        <row r="75">
          <cell r="N75" t="str">
            <v>A-264</v>
          </cell>
          <cell r="O75">
            <v>1200</v>
          </cell>
        </row>
        <row r="76">
          <cell r="N76" t="str">
            <v>A-265</v>
          </cell>
          <cell r="O76">
            <v>1200</v>
          </cell>
        </row>
        <row r="77">
          <cell r="N77" t="str">
            <v>A-269</v>
          </cell>
          <cell r="O77">
            <v>300</v>
          </cell>
        </row>
        <row r="78">
          <cell r="N78" t="str">
            <v>A-26A</v>
          </cell>
          <cell r="O78">
            <v>100</v>
          </cell>
        </row>
        <row r="79">
          <cell r="N79" t="str">
            <v>A-26C</v>
          </cell>
          <cell r="O79">
            <v>600</v>
          </cell>
        </row>
        <row r="80">
          <cell r="N80" t="str">
            <v>A-27C</v>
          </cell>
          <cell r="O80">
            <v>980</v>
          </cell>
        </row>
        <row r="81">
          <cell r="N81" t="str">
            <v>A-346</v>
          </cell>
          <cell r="O81">
            <v>525</v>
          </cell>
        </row>
        <row r="82">
          <cell r="N82" t="str">
            <v>A-347</v>
          </cell>
          <cell r="O82">
            <v>405</v>
          </cell>
        </row>
        <row r="83">
          <cell r="N83" t="str">
            <v>A-348</v>
          </cell>
          <cell r="O83">
            <v>384</v>
          </cell>
        </row>
        <row r="84">
          <cell r="N84" t="str">
            <v>A-349</v>
          </cell>
          <cell r="O84">
            <v>630</v>
          </cell>
        </row>
        <row r="85">
          <cell r="N85" t="str">
            <v>A-364</v>
          </cell>
          <cell r="O85">
            <v>1100</v>
          </cell>
        </row>
        <row r="86">
          <cell r="N86" t="str">
            <v>A-365</v>
          </cell>
          <cell r="O86">
            <v>1850</v>
          </cell>
        </row>
        <row r="87">
          <cell r="N87" t="str">
            <v>A-368</v>
          </cell>
          <cell r="O87">
            <v>275</v>
          </cell>
        </row>
        <row r="88">
          <cell r="N88" t="str">
            <v>A-372</v>
          </cell>
          <cell r="O88">
            <v>18</v>
          </cell>
        </row>
        <row r="89">
          <cell r="N89" t="str">
            <v>A-417</v>
          </cell>
          <cell r="O89">
            <v>100</v>
          </cell>
        </row>
        <row r="90">
          <cell r="N90" t="str">
            <v>A-419</v>
          </cell>
          <cell r="O90">
            <v>200</v>
          </cell>
        </row>
        <row r="91">
          <cell r="N91" t="str">
            <v>A-427</v>
          </cell>
          <cell r="O91">
            <v>400</v>
          </cell>
        </row>
        <row r="92">
          <cell r="N92" t="str">
            <v>A-428</v>
          </cell>
          <cell r="O92">
            <v>350</v>
          </cell>
        </row>
        <row r="93">
          <cell r="N93" t="str">
            <v>A-429</v>
          </cell>
          <cell r="O93">
            <v>325</v>
          </cell>
        </row>
        <row r="94">
          <cell r="N94" t="str">
            <v>A-446</v>
          </cell>
          <cell r="O94">
            <v>1440</v>
          </cell>
        </row>
        <row r="95">
          <cell r="N95" t="str">
            <v>A-447</v>
          </cell>
          <cell r="O95">
            <v>1050</v>
          </cell>
        </row>
        <row r="96">
          <cell r="N96" t="str">
            <v>A-448</v>
          </cell>
          <cell r="O96">
            <v>585</v>
          </cell>
        </row>
        <row r="97">
          <cell r="N97" t="str">
            <v>A-449</v>
          </cell>
          <cell r="O97">
            <v>1000</v>
          </cell>
        </row>
        <row r="98">
          <cell r="N98" t="str">
            <v>A-44A</v>
          </cell>
          <cell r="O98">
            <v>800</v>
          </cell>
        </row>
        <row r="99">
          <cell r="N99" t="str">
            <v>A-44C</v>
          </cell>
          <cell r="O99">
            <v>220</v>
          </cell>
        </row>
        <row r="100">
          <cell r="N100" t="str">
            <v>A-45A</v>
          </cell>
          <cell r="O100">
            <v>850</v>
          </cell>
        </row>
        <row r="101">
          <cell r="N101" t="str">
            <v>A-45C</v>
          </cell>
          <cell r="O101">
            <v>410</v>
          </cell>
        </row>
        <row r="102">
          <cell r="N102" t="str">
            <v>A-464</v>
          </cell>
          <cell r="O102">
            <v>4750</v>
          </cell>
        </row>
        <row r="103">
          <cell r="N103" t="str">
            <v>A-465</v>
          </cell>
          <cell r="O103">
            <v>4700</v>
          </cell>
        </row>
        <row r="104">
          <cell r="N104" t="str">
            <v>A-469</v>
          </cell>
          <cell r="O104">
            <v>744</v>
          </cell>
        </row>
        <row r="105">
          <cell r="N105" t="str">
            <v>A-471</v>
          </cell>
          <cell r="O105">
            <v>60</v>
          </cell>
        </row>
        <row r="106">
          <cell r="N106" t="str">
            <v>A-472</v>
          </cell>
          <cell r="O106">
            <v>40</v>
          </cell>
        </row>
        <row r="107">
          <cell r="N107" t="str">
            <v>A-48C</v>
          </cell>
          <cell r="O107">
            <v>120</v>
          </cell>
        </row>
        <row r="108">
          <cell r="N108" t="str">
            <v>A-49C</v>
          </cell>
          <cell r="O108">
            <v>270</v>
          </cell>
        </row>
        <row r="109">
          <cell r="N109" t="str">
            <v>A-503</v>
          </cell>
          <cell r="O109">
            <v>2250</v>
          </cell>
        </row>
        <row r="110">
          <cell r="N110" t="str">
            <v>A-504</v>
          </cell>
          <cell r="O110">
            <v>825</v>
          </cell>
        </row>
        <row r="111">
          <cell r="N111" t="str">
            <v>A-510</v>
          </cell>
          <cell r="O111">
            <v>270</v>
          </cell>
        </row>
        <row r="112">
          <cell r="N112" t="str">
            <v>A-514</v>
          </cell>
          <cell r="O112">
            <v>500</v>
          </cell>
        </row>
        <row r="113">
          <cell r="N113" t="str">
            <v>A-542</v>
          </cell>
          <cell r="O113">
            <v>25</v>
          </cell>
        </row>
        <row r="114">
          <cell r="N114" t="str">
            <v>A-546</v>
          </cell>
          <cell r="O114">
            <v>400</v>
          </cell>
        </row>
        <row r="115">
          <cell r="N115" t="str">
            <v>A-547</v>
          </cell>
          <cell r="O115">
            <v>1125</v>
          </cell>
        </row>
        <row r="116">
          <cell r="N116" t="str">
            <v>A-548</v>
          </cell>
          <cell r="O116">
            <v>700</v>
          </cell>
        </row>
        <row r="117">
          <cell r="N117" t="str">
            <v>A-549</v>
          </cell>
          <cell r="O117">
            <v>1350</v>
          </cell>
        </row>
        <row r="118">
          <cell r="N118" t="str">
            <v>A-569</v>
          </cell>
          <cell r="O118">
            <v>450</v>
          </cell>
        </row>
        <row r="119">
          <cell r="N119" t="str">
            <v>A-663</v>
          </cell>
          <cell r="O119">
            <v>72</v>
          </cell>
        </row>
        <row r="120">
          <cell r="N120" t="str">
            <v>A-664</v>
          </cell>
          <cell r="O120">
            <v>150</v>
          </cell>
        </row>
        <row r="121">
          <cell r="N121" t="str">
            <v>A-666</v>
          </cell>
          <cell r="O121">
            <v>72</v>
          </cell>
        </row>
        <row r="122">
          <cell r="N122" t="str">
            <v>A-667</v>
          </cell>
          <cell r="O122">
            <v>270</v>
          </cell>
        </row>
        <row r="123">
          <cell r="N123" t="str">
            <v>A-669</v>
          </cell>
          <cell r="O123">
            <v>58</v>
          </cell>
        </row>
        <row r="124">
          <cell r="N124" t="str">
            <v>A-670</v>
          </cell>
          <cell r="O124">
            <v>54</v>
          </cell>
        </row>
        <row r="125">
          <cell r="N125" t="str">
            <v>A-671</v>
          </cell>
          <cell r="O125">
            <v>54</v>
          </cell>
        </row>
        <row r="126">
          <cell r="N126" t="str">
            <v>A-672</v>
          </cell>
          <cell r="O126">
            <v>42</v>
          </cell>
        </row>
        <row r="127">
          <cell r="N127" t="str">
            <v>A-764</v>
          </cell>
          <cell r="O127">
            <v>100</v>
          </cell>
        </row>
        <row r="128">
          <cell r="N128" t="str">
            <v>A-765</v>
          </cell>
          <cell r="O128">
            <v>1200</v>
          </cell>
        </row>
        <row r="129">
          <cell r="N129" t="str">
            <v>A-768</v>
          </cell>
          <cell r="O129">
            <v>225</v>
          </cell>
        </row>
        <row r="130">
          <cell r="N130" t="str">
            <v>A-9A</v>
          </cell>
          <cell r="O130">
            <v>150</v>
          </cell>
        </row>
        <row r="131">
          <cell r="N131" t="str">
            <v>AS-229</v>
          </cell>
          <cell r="O131">
            <v>330</v>
          </cell>
        </row>
        <row r="132">
          <cell r="N132" t="str">
            <v>AS-329</v>
          </cell>
          <cell r="O132">
            <v>234</v>
          </cell>
        </row>
        <row r="133">
          <cell r="N133" t="str">
            <v>AS-429</v>
          </cell>
          <cell r="O133">
            <v>275</v>
          </cell>
        </row>
        <row r="134">
          <cell r="N134" t="str">
            <v>AS-449</v>
          </cell>
          <cell r="O134">
            <v>225</v>
          </cell>
        </row>
        <row r="135">
          <cell r="N135" t="str">
            <v>C101</v>
          </cell>
          <cell r="O135">
            <v>1200</v>
          </cell>
        </row>
        <row r="136">
          <cell r="N136" t="str">
            <v>C102</v>
          </cell>
          <cell r="O136">
            <v>1341</v>
          </cell>
        </row>
        <row r="137">
          <cell r="N137" t="str">
            <v>C103</v>
          </cell>
          <cell r="O137">
            <v>1200</v>
          </cell>
        </row>
        <row r="138">
          <cell r="N138" t="str">
            <v>C104</v>
          </cell>
          <cell r="O138">
            <v>300</v>
          </cell>
        </row>
        <row r="139">
          <cell r="N139" t="str">
            <v>C12</v>
          </cell>
          <cell r="O139">
            <v>2400</v>
          </cell>
        </row>
        <row r="140">
          <cell r="N140" t="str">
            <v>C14</v>
          </cell>
          <cell r="O140">
            <v>140</v>
          </cell>
        </row>
        <row r="141">
          <cell r="N141" t="str">
            <v>C15</v>
          </cell>
          <cell r="O141">
            <v>60</v>
          </cell>
        </row>
        <row r="142">
          <cell r="N142" t="str">
            <v>C22</v>
          </cell>
          <cell r="O142">
            <v>1257</v>
          </cell>
        </row>
        <row r="143">
          <cell r="N143" t="str">
            <v>C221</v>
          </cell>
          <cell r="O143">
            <v>437</v>
          </cell>
        </row>
        <row r="144">
          <cell r="N144" t="str">
            <v>C23</v>
          </cell>
          <cell r="O144">
            <v>1410</v>
          </cell>
        </row>
        <row r="145">
          <cell r="N145" t="str">
            <v>C232</v>
          </cell>
          <cell r="O145">
            <v>2850</v>
          </cell>
        </row>
        <row r="146">
          <cell r="N146" t="str">
            <v>C24</v>
          </cell>
          <cell r="O146">
            <v>236</v>
          </cell>
        </row>
        <row r="147">
          <cell r="N147" t="str">
            <v>C243</v>
          </cell>
          <cell r="O147">
            <v>340</v>
          </cell>
        </row>
        <row r="148">
          <cell r="N148" t="str">
            <v>C25</v>
          </cell>
          <cell r="O148">
            <v>236</v>
          </cell>
        </row>
        <row r="149">
          <cell r="N149" t="str">
            <v>C253</v>
          </cell>
          <cell r="O149">
            <v>400</v>
          </cell>
        </row>
        <row r="150">
          <cell r="N150" t="str">
            <v>C26</v>
          </cell>
          <cell r="O150">
            <v>20</v>
          </cell>
        </row>
        <row r="151">
          <cell r="N151" t="str">
            <v>C272</v>
          </cell>
          <cell r="O151">
            <v>54</v>
          </cell>
        </row>
        <row r="152">
          <cell r="N152" t="str">
            <v>C272N</v>
          </cell>
          <cell r="O152">
            <v>615</v>
          </cell>
        </row>
        <row r="153">
          <cell r="N153" t="str">
            <v>C273</v>
          </cell>
          <cell r="O153">
            <v>1054</v>
          </cell>
        </row>
        <row r="154">
          <cell r="N154" t="str">
            <v>C273N</v>
          </cell>
          <cell r="O154">
            <v>1600</v>
          </cell>
        </row>
        <row r="155">
          <cell r="N155" t="str">
            <v>C274N</v>
          </cell>
          <cell r="O155">
            <v>560</v>
          </cell>
        </row>
        <row r="156">
          <cell r="N156" t="str">
            <v>C275</v>
          </cell>
          <cell r="O156">
            <v>60</v>
          </cell>
        </row>
        <row r="157">
          <cell r="N157" t="str">
            <v>C275N</v>
          </cell>
          <cell r="O157">
            <v>400</v>
          </cell>
        </row>
        <row r="158">
          <cell r="N158" t="str">
            <v>C276N</v>
          </cell>
          <cell r="O158">
            <v>100</v>
          </cell>
        </row>
        <row r="159">
          <cell r="N159" t="str">
            <v>C32</v>
          </cell>
          <cell r="O159">
            <v>1104</v>
          </cell>
        </row>
        <row r="160">
          <cell r="N160" t="str">
            <v>C320</v>
          </cell>
          <cell r="O160">
            <v>495</v>
          </cell>
        </row>
        <row r="161">
          <cell r="N161" t="str">
            <v>C321</v>
          </cell>
          <cell r="O161">
            <v>335</v>
          </cell>
        </row>
        <row r="162">
          <cell r="N162" t="str">
            <v>C322</v>
          </cell>
          <cell r="O162">
            <v>4245</v>
          </cell>
        </row>
        <row r="163">
          <cell r="N163" t="str">
            <v>C323</v>
          </cell>
          <cell r="O163">
            <v>1488</v>
          </cell>
        </row>
        <row r="164">
          <cell r="N164" t="str">
            <v>C33</v>
          </cell>
          <cell r="O164">
            <v>1931</v>
          </cell>
        </row>
        <row r="165">
          <cell r="N165" t="str">
            <v>C330</v>
          </cell>
          <cell r="O165">
            <v>200</v>
          </cell>
        </row>
        <row r="166">
          <cell r="N166" t="str">
            <v>C34</v>
          </cell>
          <cell r="O166">
            <v>740</v>
          </cell>
        </row>
        <row r="167">
          <cell r="N167" t="str">
            <v>C35</v>
          </cell>
          <cell r="O167">
            <v>450</v>
          </cell>
        </row>
        <row r="168">
          <cell r="N168" t="str">
            <v>C42</v>
          </cell>
          <cell r="O168">
            <v>19344</v>
          </cell>
        </row>
        <row r="169">
          <cell r="N169" t="str">
            <v>C43</v>
          </cell>
          <cell r="O169">
            <v>9800</v>
          </cell>
        </row>
        <row r="170">
          <cell r="N170" t="str">
            <v>C44</v>
          </cell>
          <cell r="O170">
            <v>3000</v>
          </cell>
        </row>
        <row r="171">
          <cell r="N171" t="str">
            <v>C45</v>
          </cell>
          <cell r="O171">
            <v>1200</v>
          </cell>
        </row>
        <row r="172">
          <cell r="N172" t="str">
            <v>C46</v>
          </cell>
          <cell r="O172">
            <v>400</v>
          </cell>
        </row>
        <row r="173">
          <cell r="N173" t="str">
            <v>C50</v>
          </cell>
          <cell r="O173">
            <v>29</v>
          </cell>
        </row>
        <row r="174">
          <cell r="N174" t="str">
            <v>C502</v>
          </cell>
          <cell r="O174">
            <v>6800</v>
          </cell>
        </row>
        <row r="175">
          <cell r="N175" t="str">
            <v>C503</v>
          </cell>
          <cell r="O175">
            <v>3100</v>
          </cell>
        </row>
        <row r="176">
          <cell r="N176" t="str">
            <v>C504</v>
          </cell>
          <cell r="O176">
            <v>640</v>
          </cell>
        </row>
        <row r="177">
          <cell r="N177" t="str">
            <v>C505</v>
          </cell>
          <cell r="O177">
            <v>360</v>
          </cell>
        </row>
        <row r="178">
          <cell r="N178" t="str">
            <v>C51</v>
          </cell>
          <cell r="O178">
            <v>2000</v>
          </cell>
        </row>
        <row r="179">
          <cell r="N179" t="str">
            <v>C52</v>
          </cell>
          <cell r="O179">
            <v>34900</v>
          </cell>
        </row>
        <row r="180">
          <cell r="N180" t="str">
            <v>C521</v>
          </cell>
          <cell r="O180">
            <v>14150</v>
          </cell>
        </row>
        <row r="181">
          <cell r="N181" t="str">
            <v>C523</v>
          </cell>
          <cell r="O181">
            <v>4350</v>
          </cell>
        </row>
        <row r="182">
          <cell r="N182" t="str">
            <v>C524</v>
          </cell>
          <cell r="O182">
            <v>409</v>
          </cell>
        </row>
        <row r="183">
          <cell r="N183" t="str">
            <v>C526</v>
          </cell>
          <cell r="O183">
            <v>400</v>
          </cell>
        </row>
        <row r="184">
          <cell r="N184" t="str">
            <v>C527</v>
          </cell>
          <cell r="O184">
            <v>233</v>
          </cell>
        </row>
        <row r="185">
          <cell r="N185" t="str">
            <v>C528</v>
          </cell>
          <cell r="O185">
            <v>131</v>
          </cell>
        </row>
        <row r="186">
          <cell r="N186" t="str">
            <v>C53</v>
          </cell>
          <cell r="O186">
            <v>20200</v>
          </cell>
        </row>
        <row r="187">
          <cell r="N187" t="str">
            <v>C532</v>
          </cell>
          <cell r="O187">
            <v>2700</v>
          </cell>
        </row>
        <row r="188">
          <cell r="N188" t="str">
            <v>C54</v>
          </cell>
          <cell r="O188">
            <v>2400</v>
          </cell>
        </row>
        <row r="189">
          <cell r="N189" t="str">
            <v>C55</v>
          </cell>
          <cell r="O189">
            <v>2000</v>
          </cell>
        </row>
        <row r="190">
          <cell r="N190" t="str">
            <v>C56</v>
          </cell>
          <cell r="O190">
            <v>550</v>
          </cell>
        </row>
        <row r="191">
          <cell r="N191" t="str">
            <v>C602</v>
          </cell>
          <cell r="O191">
            <v>4038</v>
          </cell>
        </row>
        <row r="192">
          <cell r="N192" t="str">
            <v>C603</v>
          </cell>
          <cell r="O192">
            <v>2800</v>
          </cell>
        </row>
        <row r="193">
          <cell r="N193" t="str">
            <v>C604</v>
          </cell>
          <cell r="O193">
            <v>700</v>
          </cell>
        </row>
        <row r="194">
          <cell r="N194" t="str">
            <v>C61</v>
          </cell>
          <cell r="O194">
            <v>731</v>
          </cell>
        </row>
        <row r="195">
          <cell r="N195" t="str">
            <v>C62</v>
          </cell>
          <cell r="O195">
            <v>13371</v>
          </cell>
        </row>
        <row r="196">
          <cell r="N196" t="str">
            <v>C63</v>
          </cell>
          <cell r="O196">
            <v>7781</v>
          </cell>
        </row>
        <row r="197">
          <cell r="N197" t="str">
            <v>C64</v>
          </cell>
          <cell r="O197">
            <v>1500</v>
          </cell>
        </row>
        <row r="198">
          <cell r="N198" t="str">
            <v>C65</v>
          </cell>
          <cell r="O198">
            <v>1240</v>
          </cell>
        </row>
        <row r="199">
          <cell r="N199" t="str">
            <v>C66</v>
          </cell>
          <cell r="O199">
            <v>290</v>
          </cell>
        </row>
        <row r="200">
          <cell r="N200" t="str">
            <v>C702</v>
          </cell>
          <cell r="O200">
            <v>4000</v>
          </cell>
        </row>
        <row r="201">
          <cell r="N201" t="str">
            <v>C71</v>
          </cell>
          <cell r="O201">
            <v>5231</v>
          </cell>
        </row>
        <row r="202">
          <cell r="N202" t="str">
            <v>C72</v>
          </cell>
          <cell r="O202">
            <v>2100</v>
          </cell>
        </row>
        <row r="203">
          <cell r="N203" t="str">
            <v>C73</v>
          </cell>
          <cell r="O203">
            <v>950</v>
          </cell>
        </row>
        <row r="204">
          <cell r="N204" t="str">
            <v>C731</v>
          </cell>
          <cell r="O204">
            <v>700</v>
          </cell>
        </row>
        <row r="205">
          <cell r="N205" t="str">
            <v>C74</v>
          </cell>
          <cell r="O205">
            <v>175</v>
          </cell>
        </row>
        <row r="206">
          <cell r="N206" t="str">
            <v>C82</v>
          </cell>
          <cell r="O206">
            <v>431</v>
          </cell>
        </row>
        <row r="207">
          <cell r="N207" t="str">
            <v>C83</v>
          </cell>
          <cell r="O207">
            <v>531</v>
          </cell>
        </row>
        <row r="208">
          <cell r="N208" t="str">
            <v>C832</v>
          </cell>
          <cell r="O208">
            <v>2900</v>
          </cell>
        </row>
        <row r="209">
          <cell r="N209" t="str">
            <v>C84</v>
          </cell>
          <cell r="O209">
            <v>100</v>
          </cell>
        </row>
        <row r="210">
          <cell r="N210" t="str">
            <v>C843</v>
          </cell>
          <cell r="O210">
            <v>1350</v>
          </cell>
        </row>
        <row r="211">
          <cell r="N211" t="str">
            <v>C85</v>
          </cell>
          <cell r="O211">
            <v>75</v>
          </cell>
        </row>
        <row r="212">
          <cell r="N212" t="str">
            <v>C852</v>
          </cell>
          <cell r="O212">
            <v>200</v>
          </cell>
        </row>
        <row r="213">
          <cell r="N213" t="str">
            <v>C853</v>
          </cell>
          <cell r="O213">
            <v>450</v>
          </cell>
        </row>
        <row r="214">
          <cell r="N214" t="str">
            <v>C854</v>
          </cell>
          <cell r="O214">
            <v>300</v>
          </cell>
        </row>
        <row r="215">
          <cell r="N215" t="str">
            <v>C864</v>
          </cell>
          <cell r="O215">
            <v>60</v>
          </cell>
        </row>
        <row r="216">
          <cell r="N216" t="str">
            <v>C90</v>
          </cell>
          <cell r="O216">
            <v>1500</v>
          </cell>
        </row>
        <row r="217">
          <cell r="N217" t="str">
            <v>C920</v>
          </cell>
          <cell r="O217">
            <v>5881</v>
          </cell>
        </row>
        <row r="218">
          <cell r="N218" t="str">
            <v>C921</v>
          </cell>
          <cell r="O218">
            <v>800</v>
          </cell>
        </row>
        <row r="219">
          <cell r="N219" t="str">
            <v>C93</v>
          </cell>
          <cell r="O219">
            <v>300</v>
          </cell>
        </row>
        <row r="220">
          <cell r="N220" t="str">
            <v>C930</v>
          </cell>
          <cell r="O220">
            <v>1050</v>
          </cell>
        </row>
        <row r="221">
          <cell r="N221" t="str">
            <v>C932</v>
          </cell>
          <cell r="O221">
            <v>4000</v>
          </cell>
        </row>
        <row r="222">
          <cell r="N222" t="str">
            <v>C940</v>
          </cell>
          <cell r="O222">
            <v>431</v>
          </cell>
        </row>
        <row r="223">
          <cell r="N223" t="str">
            <v>C943</v>
          </cell>
          <cell r="O223">
            <v>600</v>
          </cell>
        </row>
        <row r="224">
          <cell r="N224" t="str">
            <v>CH24</v>
          </cell>
          <cell r="O224">
            <v>50</v>
          </cell>
        </row>
        <row r="225">
          <cell r="N225" t="str">
            <v>CH76</v>
          </cell>
          <cell r="O225">
            <v>64</v>
          </cell>
        </row>
        <row r="226">
          <cell r="N226" t="str">
            <v>CH78</v>
          </cell>
          <cell r="O226">
            <v>224</v>
          </cell>
        </row>
        <row r="227">
          <cell r="N227" t="str">
            <v>CH79</v>
          </cell>
          <cell r="O227">
            <v>240</v>
          </cell>
        </row>
        <row r="228">
          <cell r="N228" t="str">
            <v>CH79QS</v>
          </cell>
          <cell r="O228">
            <v>64</v>
          </cell>
        </row>
        <row r="229">
          <cell r="N229" t="str">
            <v>CH86F</v>
          </cell>
          <cell r="O229">
            <v>64</v>
          </cell>
        </row>
        <row r="230">
          <cell r="N230" t="str">
            <v>CM21</v>
          </cell>
          <cell r="O230">
            <v>480</v>
          </cell>
        </row>
        <row r="231">
          <cell r="N231" t="str">
            <v>MHC-08</v>
          </cell>
          <cell r="O231">
            <v>44</v>
          </cell>
        </row>
        <row r="232">
          <cell r="N232" t="str">
            <v>PC22</v>
          </cell>
          <cell r="O232">
            <v>2719</v>
          </cell>
        </row>
        <row r="233">
          <cell r="N233" t="str">
            <v>PN29C</v>
          </cell>
          <cell r="O233">
            <v>100</v>
          </cell>
        </row>
        <row r="234">
          <cell r="N234" t="str">
            <v>PN48C</v>
          </cell>
          <cell r="O234">
            <v>80</v>
          </cell>
        </row>
        <row r="235">
          <cell r="N235" t="str">
            <v>PN49C</v>
          </cell>
          <cell r="O235">
            <v>100</v>
          </cell>
        </row>
        <row r="236">
          <cell r="N236" t="str">
            <v>PP1</v>
          </cell>
          <cell r="O236">
            <v>41131</v>
          </cell>
        </row>
        <row r="237">
          <cell r="N237" t="str">
            <v>PP2</v>
          </cell>
          <cell r="O237">
            <v>606</v>
          </cell>
        </row>
        <row r="238">
          <cell r="N238" t="str">
            <v>PS-1</v>
          </cell>
          <cell r="O238">
            <v>65</v>
          </cell>
        </row>
        <row r="239">
          <cell r="N239" t="str">
            <v>PS-12</v>
          </cell>
          <cell r="O239">
            <v>4116</v>
          </cell>
        </row>
        <row r="240">
          <cell r="N240" t="str">
            <v>PS-13</v>
          </cell>
          <cell r="O240">
            <v>3705</v>
          </cell>
        </row>
        <row r="241">
          <cell r="N241" t="str">
            <v>PS-14</v>
          </cell>
          <cell r="O241">
            <v>640</v>
          </cell>
        </row>
        <row r="242">
          <cell r="N242" t="str">
            <v>PS-15</v>
          </cell>
          <cell r="O242">
            <v>225</v>
          </cell>
        </row>
        <row r="243">
          <cell r="N243" t="str">
            <v>PS-16</v>
          </cell>
          <cell r="O243">
            <v>150</v>
          </cell>
        </row>
        <row r="244">
          <cell r="N244" t="str">
            <v>PS-2</v>
          </cell>
          <cell r="O244">
            <v>12760</v>
          </cell>
        </row>
        <row r="245">
          <cell r="N245" t="str">
            <v>PS-3</v>
          </cell>
          <cell r="O245">
            <v>8100</v>
          </cell>
        </row>
        <row r="246">
          <cell r="N246" t="str">
            <v>PS-4</v>
          </cell>
          <cell r="O246">
            <v>2020</v>
          </cell>
        </row>
        <row r="247">
          <cell r="N247" t="str">
            <v>PS-6</v>
          </cell>
          <cell r="O247">
            <v>240</v>
          </cell>
        </row>
        <row r="248">
          <cell r="N248" t="str">
            <v>PU-11</v>
          </cell>
          <cell r="O248">
            <v>10710</v>
          </cell>
        </row>
        <row r="249">
          <cell r="N249" t="str">
            <v>PU-12</v>
          </cell>
          <cell r="O249">
            <v>3000</v>
          </cell>
        </row>
        <row r="250">
          <cell r="N250" t="str">
            <v>PU-13</v>
          </cell>
          <cell r="O250">
            <v>18880</v>
          </cell>
        </row>
        <row r="251">
          <cell r="N251" t="str">
            <v>PU-16</v>
          </cell>
          <cell r="O251">
            <v>560</v>
          </cell>
        </row>
        <row r="252">
          <cell r="N252" t="str">
            <v>PW11</v>
          </cell>
          <cell r="O252">
            <v>9400</v>
          </cell>
        </row>
        <row r="253">
          <cell r="N253" t="str">
            <v>PW11S</v>
          </cell>
          <cell r="O253">
            <v>200</v>
          </cell>
        </row>
        <row r="254">
          <cell r="N254" t="str">
            <v>PW12</v>
          </cell>
          <cell r="O254">
            <v>600</v>
          </cell>
        </row>
        <row r="255">
          <cell r="N255" t="str">
            <v>PW13</v>
          </cell>
          <cell r="O255">
            <v>200</v>
          </cell>
        </row>
        <row r="256">
          <cell r="N256" t="str">
            <v>PW13S</v>
          </cell>
          <cell r="O256">
            <v>540</v>
          </cell>
        </row>
        <row r="257">
          <cell r="N257" t="str">
            <v>PW15</v>
          </cell>
          <cell r="O257">
            <v>400</v>
          </cell>
        </row>
        <row r="258">
          <cell r="N258" t="str">
            <v>PW16</v>
          </cell>
          <cell r="O258">
            <v>280</v>
          </cell>
        </row>
        <row r="259">
          <cell r="N259" t="str">
            <v>PW17</v>
          </cell>
          <cell r="O259">
            <v>600</v>
          </cell>
        </row>
        <row r="260">
          <cell r="N260" t="str">
            <v>PW20</v>
          </cell>
          <cell r="O260">
            <v>100</v>
          </cell>
        </row>
        <row r="261">
          <cell r="N261" t="str">
            <v>PW23S</v>
          </cell>
          <cell r="O261">
            <v>40</v>
          </cell>
        </row>
        <row r="262">
          <cell r="N262" t="str">
            <v>PW61</v>
          </cell>
          <cell r="O262">
            <v>620</v>
          </cell>
        </row>
        <row r="263">
          <cell r="N263" t="str">
            <v>PW61S</v>
          </cell>
          <cell r="O263">
            <v>50</v>
          </cell>
        </row>
        <row r="264">
          <cell r="N264" t="str">
            <v>PW62</v>
          </cell>
          <cell r="O264">
            <v>70</v>
          </cell>
        </row>
        <row r="265">
          <cell r="N265" t="str">
            <v>PW63</v>
          </cell>
          <cell r="O265">
            <v>50</v>
          </cell>
        </row>
        <row r="266">
          <cell r="N266" t="str">
            <v>PW71</v>
          </cell>
          <cell r="O266">
            <v>8500</v>
          </cell>
        </row>
        <row r="267">
          <cell r="N267" t="str">
            <v>PW71S</v>
          </cell>
          <cell r="O267">
            <v>50</v>
          </cell>
        </row>
        <row r="268">
          <cell r="N268" t="str">
            <v>PW72</v>
          </cell>
          <cell r="O268">
            <v>1600</v>
          </cell>
        </row>
        <row r="269">
          <cell r="N269" t="str">
            <v>PW73</v>
          </cell>
          <cell r="O269">
            <v>150</v>
          </cell>
        </row>
        <row r="270">
          <cell r="N270" t="str">
            <v>PW73S</v>
          </cell>
          <cell r="O270">
            <v>20</v>
          </cell>
        </row>
        <row r="271">
          <cell r="N271" t="str">
            <v>PW75</v>
          </cell>
          <cell r="O271">
            <v>400</v>
          </cell>
        </row>
        <row r="272">
          <cell r="N272" t="str">
            <v>PW76</v>
          </cell>
          <cell r="O272">
            <v>200</v>
          </cell>
        </row>
        <row r="273">
          <cell r="N273" t="str">
            <v>PW77</v>
          </cell>
          <cell r="O273">
            <v>350</v>
          </cell>
        </row>
        <row r="274">
          <cell r="N274" t="str">
            <v>PW78</v>
          </cell>
          <cell r="O274">
            <v>650</v>
          </cell>
        </row>
        <row r="275">
          <cell r="N275" t="str">
            <v>PW79</v>
          </cell>
          <cell r="O275">
            <v>68</v>
          </cell>
        </row>
        <row r="276">
          <cell r="N276" t="str">
            <v>PW91</v>
          </cell>
          <cell r="O276">
            <v>280</v>
          </cell>
        </row>
        <row r="277">
          <cell r="N277" t="str">
            <v>PW91S</v>
          </cell>
          <cell r="O277">
            <v>30</v>
          </cell>
        </row>
        <row r="278">
          <cell r="N278" t="str">
            <v>PW93</v>
          </cell>
          <cell r="O278">
            <v>150</v>
          </cell>
        </row>
        <row r="279">
          <cell r="N279" t="str">
            <v>PW93S</v>
          </cell>
          <cell r="O279">
            <v>350</v>
          </cell>
        </row>
        <row r="280">
          <cell r="N280" t="str">
            <v>PW97</v>
          </cell>
          <cell r="O280">
            <v>20</v>
          </cell>
        </row>
        <row r="281">
          <cell r="N281" t="str">
            <v>RL-2</v>
          </cell>
          <cell r="O281">
            <v>500</v>
          </cell>
        </row>
        <row r="282">
          <cell r="N282" t="str">
            <v>RL-3</v>
          </cell>
          <cell r="O282">
            <v>80</v>
          </cell>
        </row>
        <row r="283">
          <cell r="N283" t="str">
            <v>RL-4</v>
          </cell>
          <cell r="O283">
            <v>20</v>
          </cell>
        </row>
        <row r="284">
          <cell r="N284" t="str">
            <v>S13</v>
          </cell>
          <cell r="O284">
            <v>720</v>
          </cell>
        </row>
        <row r="285">
          <cell r="N285" t="str">
            <v>S14</v>
          </cell>
          <cell r="O285">
            <v>1008</v>
          </cell>
        </row>
        <row r="286">
          <cell r="N286" t="str">
            <v>S15</v>
          </cell>
          <cell r="O286">
            <v>96</v>
          </cell>
        </row>
        <row r="287">
          <cell r="N287" t="str">
            <v>S3</v>
          </cell>
          <cell r="O287">
            <v>3840</v>
          </cell>
        </row>
        <row r="288">
          <cell r="N288" t="str">
            <v>S4</v>
          </cell>
          <cell r="O288">
            <v>3441</v>
          </cell>
        </row>
        <row r="289">
          <cell r="N289" t="str">
            <v>S45</v>
          </cell>
          <cell r="O289">
            <v>720</v>
          </cell>
        </row>
        <row r="290">
          <cell r="N290" t="str">
            <v>S46</v>
          </cell>
          <cell r="O290">
            <v>156</v>
          </cell>
        </row>
        <row r="291">
          <cell r="N291" t="str">
            <v>S47</v>
          </cell>
          <cell r="O291">
            <v>48</v>
          </cell>
        </row>
        <row r="292">
          <cell r="N292" t="str">
            <v>S5</v>
          </cell>
          <cell r="O292">
            <v>732</v>
          </cell>
        </row>
        <row r="293">
          <cell r="N293" t="str">
            <v>U11</v>
          </cell>
          <cell r="O293">
            <v>450</v>
          </cell>
        </row>
        <row r="294">
          <cell r="N294" t="str">
            <v>U13</v>
          </cell>
          <cell r="O294">
            <v>400</v>
          </cell>
        </row>
        <row r="295">
          <cell r="N295" t="str">
            <v>U14</v>
          </cell>
          <cell r="O295">
            <v>120</v>
          </cell>
        </row>
        <row r="296">
          <cell r="N296" t="str">
            <v>U21</v>
          </cell>
          <cell r="O296">
            <v>540</v>
          </cell>
        </row>
        <row r="297">
          <cell r="N297" t="str">
            <v>U21-L</v>
          </cell>
          <cell r="O297">
            <v>3750</v>
          </cell>
        </row>
        <row r="298">
          <cell r="N298" t="str">
            <v>U21T</v>
          </cell>
          <cell r="O298">
            <v>50</v>
          </cell>
        </row>
        <row r="299">
          <cell r="N299" t="str">
            <v>U22</v>
          </cell>
          <cell r="O299">
            <v>340</v>
          </cell>
        </row>
        <row r="300">
          <cell r="N300" t="str">
            <v>U221</v>
          </cell>
          <cell r="O300">
            <v>1800</v>
          </cell>
        </row>
        <row r="301">
          <cell r="N301" t="str">
            <v>U22-L</v>
          </cell>
          <cell r="O301">
            <v>820</v>
          </cell>
        </row>
        <row r="302">
          <cell r="N302" t="str">
            <v>U22NL</v>
          </cell>
          <cell r="O302">
            <v>2000</v>
          </cell>
        </row>
        <row r="303">
          <cell r="N303" t="str">
            <v>U23</v>
          </cell>
          <cell r="O303">
            <v>625</v>
          </cell>
        </row>
        <row r="304">
          <cell r="N304" t="str">
            <v>U231</v>
          </cell>
          <cell r="O304">
            <v>1900</v>
          </cell>
        </row>
        <row r="305">
          <cell r="N305" t="str">
            <v>U23-L</v>
          </cell>
          <cell r="O305">
            <v>2800</v>
          </cell>
        </row>
        <row r="306">
          <cell r="N306" t="str">
            <v>U23NL</v>
          </cell>
          <cell r="O306">
            <v>4190</v>
          </cell>
        </row>
        <row r="307">
          <cell r="N307" t="str">
            <v>U24NL</v>
          </cell>
          <cell r="O307">
            <v>1980</v>
          </cell>
        </row>
        <row r="308">
          <cell r="N308" t="str">
            <v>U25NL</v>
          </cell>
          <cell r="O308">
            <v>620</v>
          </cell>
        </row>
        <row r="309">
          <cell r="N309" t="str">
            <v>U263</v>
          </cell>
          <cell r="O309">
            <v>40</v>
          </cell>
        </row>
        <row r="310">
          <cell r="N310" t="str">
            <v>U26NL</v>
          </cell>
          <cell r="O310">
            <v>945</v>
          </cell>
        </row>
        <row r="311">
          <cell r="N311" t="str">
            <v>U272N</v>
          </cell>
          <cell r="O311">
            <v>640</v>
          </cell>
        </row>
        <row r="312">
          <cell r="N312" t="str">
            <v>U273N</v>
          </cell>
          <cell r="O312">
            <v>8600</v>
          </cell>
        </row>
        <row r="313">
          <cell r="N313" t="str">
            <v>U274N</v>
          </cell>
          <cell r="O313">
            <v>420</v>
          </cell>
        </row>
        <row r="314">
          <cell r="N314" t="str">
            <v>U275</v>
          </cell>
          <cell r="O314">
            <v>450</v>
          </cell>
        </row>
        <row r="315">
          <cell r="N315" t="str">
            <v>U276</v>
          </cell>
          <cell r="O315">
            <v>110</v>
          </cell>
        </row>
        <row r="316">
          <cell r="N316" t="str">
            <v>U276N</v>
          </cell>
          <cell r="O316">
            <v>110</v>
          </cell>
        </row>
        <row r="317">
          <cell r="N317" t="str">
            <v>U310</v>
          </cell>
          <cell r="O317">
            <v>300</v>
          </cell>
        </row>
        <row r="318">
          <cell r="N318" t="str">
            <v>U32</v>
          </cell>
          <cell r="O318">
            <v>650</v>
          </cell>
        </row>
        <row r="319">
          <cell r="N319" t="str">
            <v>U321</v>
          </cell>
          <cell r="O319">
            <v>1475</v>
          </cell>
        </row>
        <row r="320">
          <cell r="N320" t="str">
            <v>U322</v>
          </cell>
          <cell r="O320">
            <v>1825</v>
          </cell>
        </row>
        <row r="321">
          <cell r="N321" t="str">
            <v>U323</v>
          </cell>
          <cell r="O321">
            <v>1250</v>
          </cell>
        </row>
        <row r="322">
          <cell r="N322" t="str">
            <v>U33</v>
          </cell>
          <cell r="O322">
            <v>12880</v>
          </cell>
        </row>
        <row r="323">
          <cell r="N323" t="str">
            <v>U340</v>
          </cell>
          <cell r="O323">
            <v>30</v>
          </cell>
        </row>
        <row r="324">
          <cell r="N324" t="str">
            <v>U41</v>
          </cell>
          <cell r="O324">
            <v>9550</v>
          </cell>
        </row>
        <row r="325">
          <cell r="N325" t="str">
            <v>U42</v>
          </cell>
          <cell r="O325">
            <v>6581</v>
          </cell>
        </row>
        <row r="326">
          <cell r="N326" t="str">
            <v>U43</v>
          </cell>
          <cell r="O326">
            <v>16023</v>
          </cell>
        </row>
        <row r="327">
          <cell r="N327" t="str">
            <v>U503</v>
          </cell>
          <cell r="O327">
            <v>2550</v>
          </cell>
        </row>
        <row r="328">
          <cell r="N328" t="str">
            <v>U504</v>
          </cell>
          <cell r="O328">
            <v>1250</v>
          </cell>
        </row>
        <row r="329">
          <cell r="N329" t="str">
            <v>U51</v>
          </cell>
          <cell r="O329">
            <v>18350</v>
          </cell>
        </row>
        <row r="330">
          <cell r="N330" t="str">
            <v>U52</v>
          </cell>
          <cell r="O330">
            <v>13111</v>
          </cell>
        </row>
        <row r="331">
          <cell r="N331" t="str">
            <v>U521</v>
          </cell>
          <cell r="O331">
            <v>3470</v>
          </cell>
        </row>
        <row r="332">
          <cell r="N332" t="str">
            <v>U523</v>
          </cell>
          <cell r="O332">
            <v>922</v>
          </cell>
        </row>
        <row r="333">
          <cell r="N333" t="str">
            <v>U526</v>
          </cell>
          <cell r="O333">
            <v>5181</v>
          </cell>
        </row>
        <row r="334">
          <cell r="N334" t="str">
            <v>U527</v>
          </cell>
          <cell r="O334">
            <v>140</v>
          </cell>
        </row>
        <row r="335">
          <cell r="N335" t="str">
            <v>U53</v>
          </cell>
          <cell r="O335">
            <v>37525</v>
          </cell>
        </row>
        <row r="336">
          <cell r="N336" t="str">
            <v>U54</v>
          </cell>
          <cell r="O336">
            <v>3000</v>
          </cell>
        </row>
        <row r="337">
          <cell r="N337" t="str">
            <v>U55</v>
          </cell>
          <cell r="O337">
            <v>1250</v>
          </cell>
        </row>
        <row r="338">
          <cell r="N338" t="str">
            <v>U56</v>
          </cell>
          <cell r="O338">
            <v>610</v>
          </cell>
        </row>
        <row r="339">
          <cell r="N339" t="str">
            <v>U603</v>
          </cell>
          <cell r="O339">
            <v>2850</v>
          </cell>
        </row>
        <row r="340">
          <cell r="N340" t="str">
            <v>U604</v>
          </cell>
          <cell r="O340">
            <v>350</v>
          </cell>
        </row>
        <row r="341">
          <cell r="N341" t="str">
            <v>U605</v>
          </cell>
          <cell r="O341">
            <v>180</v>
          </cell>
        </row>
        <row r="342">
          <cell r="N342" t="str">
            <v>U61</v>
          </cell>
          <cell r="O342">
            <v>8900</v>
          </cell>
        </row>
        <row r="343">
          <cell r="N343" t="str">
            <v>U62</v>
          </cell>
          <cell r="O343">
            <v>5899</v>
          </cell>
        </row>
        <row r="344">
          <cell r="N344" t="str">
            <v>U63</v>
          </cell>
          <cell r="O344">
            <v>16600</v>
          </cell>
        </row>
        <row r="345">
          <cell r="N345" t="str">
            <v>U64</v>
          </cell>
          <cell r="O345">
            <v>1680</v>
          </cell>
        </row>
        <row r="346">
          <cell r="N346" t="str">
            <v>U65</v>
          </cell>
          <cell r="O346">
            <v>950</v>
          </cell>
        </row>
        <row r="347">
          <cell r="N347" t="str">
            <v>U66</v>
          </cell>
          <cell r="O347">
            <v>660</v>
          </cell>
        </row>
        <row r="348">
          <cell r="N348" t="str">
            <v>U71</v>
          </cell>
          <cell r="O348">
            <v>1100</v>
          </cell>
        </row>
        <row r="349">
          <cell r="N349" t="str">
            <v>U72</v>
          </cell>
          <cell r="O349">
            <v>600</v>
          </cell>
        </row>
        <row r="350">
          <cell r="N350" t="str">
            <v>U73</v>
          </cell>
          <cell r="O350">
            <v>1450</v>
          </cell>
        </row>
        <row r="351">
          <cell r="N351" t="str">
            <v>U74</v>
          </cell>
          <cell r="O351">
            <v>360</v>
          </cell>
        </row>
        <row r="352">
          <cell r="N352" t="str">
            <v>U81</v>
          </cell>
          <cell r="O352">
            <v>3600</v>
          </cell>
        </row>
        <row r="353">
          <cell r="N353" t="str">
            <v>U821</v>
          </cell>
          <cell r="O353">
            <v>300</v>
          </cell>
        </row>
        <row r="354">
          <cell r="N354" t="str">
            <v>U83</v>
          </cell>
          <cell r="O354">
            <v>1125</v>
          </cell>
        </row>
        <row r="355">
          <cell r="N355" t="str">
            <v>U831</v>
          </cell>
          <cell r="O355">
            <v>1700</v>
          </cell>
        </row>
        <row r="356">
          <cell r="N356" t="str">
            <v>U84</v>
          </cell>
          <cell r="O356">
            <v>280</v>
          </cell>
        </row>
        <row r="357">
          <cell r="N357" t="str">
            <v>U841</v>
          </cell>
          <cell r="O357">
            <v>500</v>
          </cell>
        </row>
        <row r="358">
          <cell r="N358" t="str">
            <v>U851</v>
          </cell>
          <cell r="O358">
            <v>600</v>
          </cell>
        </row>
        <row r="359">
          <cell r="N359" t="str">
            <v>U862</v>
          </cell>
          <cell r="O359">
            <v>100</v>
          </cell>
        </row>
        <row r="360">
          <cell r="N360" t="str">
            <v>U91</v>
          </cell>
          <cell r="O360">
            <v>800</v>
          </cell>
        </row>
        <row r="361">
          <cell r="N361" t="str">
            <v>U93</v>
          </cell>
          <cell r="O361">
            <v>2570</v>
          </cell>
        </row>
        <row r="362">
          <cell r="N362" t="str">
            <v>U94</v>
          </cell>
          <cell r="O362">
            <v>460</v>
          </cell>
        </row>
        <row r="363">
          <cell r="N363" t="str">
            <v>U943</v>
          </cell>
          <cell r="O363">
            <v>250</v>
          </cell>
        </row>
        <row r="364">
          <cell r="N364" t="str">
            <v>UH88</v>
          </cell>
          <cell r="O364">
            <v>64</v>
          </cell>
        </row>
        <row r="365">
          <cell r="N365" t="str">
            <v>UH88-L</v>
          </cell>
          <cell r="O365">
            <v>64</v>
          </cell>
        </row>
        <row r="366">
          <cell r="N366" t="str">
            <v>WCT-3LL-05</v>
          </cell>
          <cell r="O366">
            <v>125</v>
          </cell>
        </row>
        <row r="367">
          <cell r="N367" t="str">
            <v>WCT-3LL-05 Y</v>
          </cell>
          <cell r="O367">
            <v>1</v>
          </cell>
        </row>
        <row r="368">
          <cell r="N368" t="str">
            <v>WCT-3LL-07</v>
          </cell>
          <cell r="O368">
            <v>57</v>
          </cell>
        </row>
        <row r="369">
          <cell r="N369" t="str">
            <v>WCT-3LL-10</v>
          </cell>
          <cell r="O369">
            <v>134</v>
          </cell>
        </row>
        <row r="370">
          <cell r="N370" t="str">
            <v>WT-ISI-05</v>
          </cell>
          <cell r="O370">
            <v>54</v>
          </cell>
        </row>
        <row r="371">
          <cell r="N371" t="str">
            <v>(blank)</v>
          </cell>
        </row>
        <row r="372">
          <cell r="N372" t="str">
            <v>CH72F</v>
          </cell>
          <cell r="O372">
            <v>392</v>
          </cell>
        </row>
        <row r="373">
          <cell r="N373" t="str">
            <v>U70</v>
          </cell>
          <cell r="O373">
            <v>675</v>
          </cell>
        </row>
        <row r="374">
          <cell r="N374" t="str">
            <v>U932</v>
          </cell>
          <cell r="O374">
            <v>2600</v>
          </cell>
        </row>
        <row r="375">
          <cell r="N375" t="str">
            <v>U505</v>
          </cell>
          <cell r="O375">
            <v>470</v>
          </cell>
        </row>
        <row r="376">
          <cell r="N376" t="str">
            <v>U502</v>
          </cell>
          <cell r="O376">
            <v>1000</v>
          </cell>
        </row>
        <row r="377">
          <cell r="N377" t="str">
            <v>U24-L</v>
          </cell>
          <cell r="O377">
            <v>480</v>
          </cell>
        </row>
        <row r="378">
          <cell r="N378" t="str">
            <v>U50</v>
          </cell>
          <cell r="O378">
            <v>1000</v>
          </cell>
        </row>
        <row r="379">
          <cell r="N379" t="str">
            <v>U75</v>
          </cell>
          <cell r="O379">
            <v>210</v>
          </cell>
        </row>
        <row r="380">
          <cell r="N380" t="str">
            <v>U531</v>
          </cell>
          <cell r="O380">
            <v>1507</v>
          </cell>
        </row>
        <row r="381">
          <cell r="N381" t="str">
            <v>U532</v>
          </cell>
          <cell r="O381">
            <v>1283</v>
          </cell>
        </row>
        <row r="382">
          <cell r="N382" t="str">
            <v>U232</v>
          </cell>
          <cell r="O382">
            <v>1050</v>
          </cell>
        </row>
        <row r="383">
          <cell r="N383" t="str">
            <v>U31</v>
          </cell>
          <cell r="O383">
            <v>1800</v>
          </cell>
        </row>
        <row r="384">
          <cell r="N384" t="str">
            <v>U34</v>
          </cell>
          <cell r="O384">
            <v>630</v>
          </cell>
        </row>
        <row r="385">
          <cell r="N385" t="str">
            <v>U44</v>
          </cell>
          <cell r="O385">
            <v>3000</v>
          </cell>
        </row>
        <row r="386">
          <cell r="N386" t="str">
            <v>U45</v>
          </cell>
          <cell r="O386">
            <v>750</v>
          </cell>
        </row>
        <row r="387">
          <cell r="N387" t="str">
            <v>U330</v>
          </cell>
          <cell r="O387">
            <v>200</v>
          </cell>
        </row>
        <row r="388">
          <cell r="N388" t="str">
            <v>PU-15</v>
          </cell>
          <cell r="O388">
            <v>640</v>
          </cell>
        </row>
        <row r="389">
          <cell r="N389" t="str">
            <v>U82</v>
          </cell>
          <cell r="O389">
            <v>300</v>
          </cell>
        </row>
        <row r="390">
          <cell r="N390" t="str">
            <v>U931</v>
          </cell>
          <cell r="O390">
            <v>1800</v>
          </cell>
        </row>
        <row r="391">
          <cell r="N391" t="str">
            <v>U35</v>
          </cell>
          <cell r="O391">
            <v>540</v>
          </cell>
        </row>
        <row r="392">
          <cell r="N392" t="str">
            <v>PU-14</v>
          </cell>
          <cell r="O392">
            <v>1830</v>
          </cell>
        </row>
        <row r="393">
          <cell r="N393" t="str">
            <v>C22L</v>
          </cell>
          <cell r="O393">
            <v>1000</v>
          </cell>
        </row>
        <row r="394">
          <cell r="N394">
            <v>5173</v>
          </cell>
          <cell r="O394">
            <v>70</v>
          </cell>
        </row>
        <row r="395">
          <cell r="N395">
            <v>5762</v>
          </cell>
          <cell r="O395">
            <v>16000</v>
          </cell>
        </row>
        <row r="396">
          <cell r="N396">
            <v>5763</v>
          </cell>
          <cell r="O396">
            <v>1044</v>
          </cell>
        </row>
        <row r="397">
          <cell r="N397">
            <v>5707</v>
          </cell>
          <cell r="O397">
            <v>320</v>
          </cell>
        </row>
        <row r="398">
          <cell r="N398" t="str">
            <v>PU-12S</v>
          </cell>
          <cell r="O398">
            <v>1475</v>
          </cell>
        </row>
        <row r="399">
          <cell r="N399" t="str">
            <v>PU-14S</v>
          </cell>
          <cell r="O399">
            <v>690</v>
          </cell>
        </row>
        <row r="400">
          <cell r="N400" t="str">
            <v>PU-13S</v>
          </cell>
          <cell r="O400">
            <v>3520</v>
          </cell>
        </row>
        <row r="401">
          <cell r="N401" t="str">
            <v>PU-15S</v>
          </cell>
          <cell r="O401">
            <v>400</v>
          </cell>
        </row>
        <row r="402">
          <cell r="N402" t="str">
            <v>PU-11S</v>
          </cell>
          <cell r="O402">
            <v>1800</v>
          </cell>
        </row>
        <row r="403">
          <cell r="N403" t="str">
            <v>PU-16S</v>
          </cell>
          <cell r="O403">
            <v>208</v>
          </cell>
        </row>
        <row r="404">
          <cell r="N404">
            <v>5907</v>
          </cell>
          <cell r="O404">
            <v>84</v>
          </cell>
        </row>
        <row r="405">
          <cell r="N405" t="str">
            <v>5912S</v>
          </cell>
          <cell r="O405">
            <v>60</v>
          </cell>
        </row>
        <row r="406">
          <cell r="N406" t="str">
            <v>U274</v>
          </cell>
          <cell r="O406">
            <v>460</v>
          </cell>
        </row>
        <row r="407">
          <cell r="N407" t="str">
            <v>U273</v>
          </cell>
          <cell r="O407">
            <v>750</v>
          </cell>
        </row>
        <row r="408">
          <cell r="N408" t="str">
            <v>U12</v>
          </cell>
          <cell r="O408">
            <v>698</v>
          </cell>
        </row>
        <row r="409">
          <cell r="N409" t="str">
            <v>U36</v>
          </cell>
          <cell r="O409">
            <v>110</v>
          </cell>
        </row>
        <row r="410">
          <cell r="N410" t="str">
            <v>U26-L</v>
          </cell>
          <cell r="O410">
            <v>75</v>
          </cell>
        </row>
        <row r="411">
          <cell r="N411" t="str">
            <v>U85</v>
          </cell>
          <cell r="O411">
            <v>90</v>
          </cell>
        </row>
        <row r="412">
          <cell r="N412" t="str">
            <v>U95</v>
          </cell>
          <cell r="O412">
            <v>340</v>
          </cell>
        </row>
        <row r="413">
          <cell r="N413" t="str">
            <v>U103</v>
          </cell>
          <cell r="O413">
            <v>3003</v>
          </cell>
        </row>
        <row r="414">
          <cell r="N414" t="str">
            <v>U104</v>
          </cell>
          <cell r="O414">
            <v>240</v>
          </cell>
        </row>
        <row r="415">
          <cell r="N415" t="str">
            <v>U105</v>
          </cell>
          <cell r="O415">
            <v>240</v>
          </cell>
        </row>
        <row r="416">
          <cell r="N416" t="str">
            <v>U102</v>
          </cell>
          <cell r="O416">
            <v>769</v>
          </cell>
        </row>
        <row r="417">
          <cell r="N417" t="str">
            <v>U243</v>
          </cell>
          <cell r="O417">
            <v>550</v>
          </cell>
        </row>
        <row r="418">
          <cell r="N418" t="str">
            <v>U951</v>
          </cell>
          <cell r="O418">
            <v>200</v>
          </cell>
        </row>
        <row r="419">
          <cell r="N419" t="str">
            <v>U953</v>
          </cell>
          <cell r="O419">
            <v>80</v>
          </cell>
        </row>
        <row r="420">
          <cell r="N420" t="str">
            <v>U852</v>
          </cell>
          <cell r="O420">
            <v>100</v>
          </cell>
        </row>
        <row r="421">
          <cell r="N421" t="str">
            <v>U854</v>
          </cell>
          <cell r="O421">
            <v>100</v>
          </cell>
        </row>
        <row r="422">
          <cell r="N422" t="str">
            <v>U853</v>
          </cell>
          <cell r="O422">
            <v>600</v>
          </cell>
        </row>
        <row r="423">
          <cell r="N423" t="str">
            <v>U843</v>
          </cell>
          <cell r="O423">
            <v>1775</v>
          </cell>
        </row>
        <row r="424">
          <cell r="N424">
            <v>5722</v>
          </cell>
          <cell r="O424">
            <v>180</v>
          </cell>
        </row>
        <row r="425">
          <cell r="N425" t="str">
            <v>U920</v>
          </cell>
          <cell r="O425">
            <v>1725</v>
          </cell>
        </row>
        <row r="426">
          <cell r="N426" t="str">
            <v>U26</v>
          </cell>
          <cell r="O426">
            <v>56</v>
          </cell>
        </row>
        <row r="427">
          <cell r="N427" t="str">
            <v>C13</v>
          </cell>
          <cell r="O427">
            <v>615</v>
          </cell>
        </row>
        <row r="428">
          <cell r="N428" t="str">
            <v>C75</v>
          </cell>
          <cell r="O428">
            <v>70</v>
          </cell>
        </row>
        <row r="429">
          <cell r="N429" t="str">
            <v>C26L</v>
          </cell>
          <cell r="O429">
            <v>5</v>
          </cell>
        </row>
        <row r="430">
          <cell r="N430" t="str">
            <v>U272</v>
          </cell>
          <cell r="O430">
            <v>160</v>
          </cell>
        </row>
        <row r="431">
          <cell r="N431" t="str">
            <v>U842</v>
          </cell>
          <cell r="O431">
            <v>50</v>
          </cell>
        </row>
        <row r="432">
          <cell r="N432">
            <v>4763</v>
          </cell>
          <cell r="O432">
            <v>65</v>
          </cell>
        </row>
        <row r="433">
          <cell r="N433" t="str">
            <v>CH80</v>
          </cell>
          <cell r="O433">
            <v>16</v>
          </cell>
        </row>
        <row r="434">
          <cell r="N434" t="str">
            <v>CH72</v>
          </cell>
          <cell r="O434">
            <v>336</v>
          </cell>
        </row>
        <row r="435">
          <cell r="N435">
            <v>5102</v>
          </cell>
          <cell r="O435">
            <v>300</v>
          </cell>
        </row>
        <row r="436">
          <cell r="N436">
            <v>5104</v>
          </cell>
          <cell r="O436">
            <v>200</v>
          </cell>
        </row>
        <row r="437">
          <cell r="N437" t="str">
            <v>U534</v>
          </cell>
          <cell r="O437">
            <v>250</v>
          </cell>
        </row>
        <row r="438">
          <cell r="N438" t="str">
            <v>PU-1S</v>
          </cell>
          <cell r="O438">
            <v>300</v>
          </cell>
        </row>
        <row r="439">
          <cell r="N439" t="str">
            <v>U601</v>
          </cell>
          <cell r="O439">
            <v>1400</v>
          </cell>
        </row>
        <row r="440">
          <cell r="N440" t="str">
            <v>PC21</v>
          </cell>
          <cell r="O440">
            <v>143</v>
          </cell>
        </row>
        <row r="441">
          <cell r="N441" t="str">
            <v>U524</v>
          </cell>
          <cell r="O441">
            <v>171</v>
          </cell>
        </row>
        <row r="442">
          <cell r="N442" t="str">
            <v>WT-3LL-20</v>
          </cell>
          <cell r="O442">
            <v>12</v>
          </cell>
        </row>
        <row r="443">
          <cell r="N443" t="str">
            <v>WT-3LL-10</v>
          </cell>
          <cell r="O443">
            <v>33</v>
          </cell>
        </row>
        <row r="444">
          <cell r="N444" t="str">
            <v>WT-3LL-05</v>
          </cell>
          <cell r="O444">
            <v>50</v>
          </cell>
        </row>
        <row r="445">
          <cell r="N445" t="str">
            <v>WT-3LL-50</v>
          </cell>
          <cell r="O445">
            <v>3</v>
          </cell>
        </row>
        <row r="446">
          <cell r="N446" t="str">
            <v>MHC-07</v>
          </cell>
          <cell r="O446">
            <v>12</v>
          </cell>
        </row>
        <row r="447">
          <cell r="N447" t="str">
            <v>MHC-05</v>
          </cell>
          <cell r="O447">
            <v>40</v>
          </cell>
        </row>
        <row r="448">
          <cell r="N448" t="str">
            <v>AS-248</v>
          </cell>
          <cell r="O448">
            <v>85</v>
          </cell>
        </row>
        <row r="449">
          <cell r="N449" t="str">
            <v>AS-246</v>
          </cell>
          <cell r="O449">
            <v>20</v>
          </cell>
        </row>
        <row r="450">
          <cell r="N450" t="str">
            <v>A-565</v>
          </cell>
          <cell r="O450">
            <v>1650</v>
          </cell>
        </row>
        <row r="451">
          <cell r="N451" t="str">
            <v>A-509</v>
          </cell>
          <cell r="O451">
            <v>310</v>
          </cell>
        </row>
        <row r="452">
          <cell r="N452" t="str">
            <v>AS-349</v>
          </cell>
          <cell r="O452">
            <v>120</v>
          </cell>
        </row>
        <row r="453">
          <cell r="N453" t="str">
            <v>AS-348</v>
          </cell>
          <cell r="O453">
            <v>256</v>
          </cell>
        </row>
        <row r="454">
          <cell r="N454" t="str">
            <v>AS-346</v>
          </cell>
          <cell r="O454">
            <v>75</v>
          </cell>
        </row>
        <row r="455">
          <cell r="N455" t="str">
            <v>AS-328</v>
          </cell>
          <cell r="O455">
            <v>70</v>
          </cell>
        </row>
        <row r="456">
          <cell r="N456" t="str">
            <v>AS-428</v>
          </cell>
          <cell r="O456">
            <v>350</v>
          </cell>
        </row>
        <row r="457">
          <cell r="N457" t="str">
            <v>CM31</v>
          </cell>
          <cell r="O457">
            <v>45</v>
          </cell>
        </row>
        <row r="458">
          <cell r="N458" t="str">
            <v>5641S</v>
          </cell>
          <cell r="O458">
            <v>16</v>
          </cell>
        </row>
        <row r="459">
          <cell r="N459" t="str">
            <v>PW63S</v>
          </cell>
          <cell r="O459">
            <v>110</v>
          </cell>
        </row>
        <row r="460">
          <cell r="N460" t="str">
            <v>A-271</v>
          </cell>
          <cell r="O460">
            <v>22</v>
          </cell>
        </row>
        <row r="461">
          <cell r="N461" t="str">
            <v>C732</v>
          </cell>
          <cell r="O461">
            <v>600</v>
          </cell>
        </row>
        <row r="462">
          <cell r="N462" t="str">
            <v>U537</v>
          </cell>
          <cell r="O462">
            <v>720</v>
          </cell>
        </row>
        <row r="463">
          <cell r="N463" t="str">
            <v>U538</v>
          </cell>
          <cell r="O463">
            <v>600</v>
          </cell>
        </row>
        <row r="464">
          <cell r="N464" t="str">
            <v>U90</v>
          </cell>
          <cell r="O464">
            <v>200</v>
          </cell>
        </row>
        <row r="465">
          <cell r="N465" t="str">
            <v>U25-L</v>
          </cell>
          <cell r="O465">
            <v>160</v>
          </cell>
        </row>
        <row r="466">
          <cell r="N466" t="str">
            <v>U602</v>
          </cell>
          <cell r="O466">
            <v>1500</v>
          </cell>
        </row>
        <row r="467">
          <cell r="N467" t="str">
            <v>PS-2S</v>
          </cell>
          <cell r="O467">
            <v>715</v>
          </cell>
        </row>
        <row r="468">
          <cell r="N468" t="str">
            <v>5141S</v>
          </cell>
          <cell r="O468">
            <v>60</v>
          </cell>
        </row>
        <row r="469">
          <cell r="N469" t="str">
            <v>5134S</v>
          </cell>
          <cell r="O469">
            <v>135</v>
          </cell>
        </row>
        <row r="470">
          <cell r="N470" t="str">
            <v>5112S</v>
          </cell>
          <cell r="O470">
            <v>300</v>
          </cell>
        </row>
        <row r="471">
          <cell r="N471" t="str">
            <v>5712S</v>
          </cell>
          <cell r="O471">
            <v>400</v>
          </cell>
        </row>
        <row r="472">
          <cell r="N472">
            <v>5962</v>
          </cell>
          <cell r="O472">
            <v>600</v>
          </cell>
        </row>
        <row r="473">
          <cell r="N473" t="str">
            <v>A-28C</v>
          </cell>
          <cell r="O473">
            <v>260</v>
          </cell>
        </row>
        <row r="474">
          <cell r="N474" t="str">
            <v>A-29C</v>
          </cell>
          <cell r="O474">
            <v>700</v>
          </cell>
        </row>
        <row r="475">
          <cell r="N475" t="str">
            <v>A-32C</v>
          </cell>
          <cell r="O475">
            <v>70</v>
          </cell>
        </row>
        <row r="476">
          <cell r="N476" t="str">
            <v>A-766</v>
          </cell>
          <cell r="O476">
            <v>300</v>
          </cell>
        </row>
        <row r="477">
          <cell r="N477" t="str">
            <v>A-467</v>
          </cell>
          <cell r="O477">
            <v>210</v>
          </cell>
        </row>
        <row r="478">
          <cell r="N478" t="str">
            <v>A-466</v>
          </cell>
          <cell r="O478">
            <v>540</v>
          </cell>
        </row>
        <row r="479">
          <cell r="N479" t="str">
            <v>A-567</v>
          </cell>
          <cell r="O479">
            <v>200</v>
          </cell>
        </row>
        <row r="480">
          <cell r="N480" t="str">
            <v>A-366</v>
          </cell>
          <cell r="O480">
            <v>200</v>
          </cell>
        </row>
        <row r="481">
          <cell r="N481" t="str">
            <v>5741S</v>
          </cell>
          <cell r="O481">
            <v>105</v>
          </cell>
        </row>
        <row r="482">
          <cell r="N482" t="str">
            <v>5610S</v>
          </cell>
          <cell r="O482">
            <v>20</v>
          </cell>
        </row>
        <row r="483">
          <cell r="N483" t="str">
            <v>U952</v>
          </cell>
          <cell r="O483">
            <v>100</v>
          </cell>
        </row>
        <row r="484">
          <cell r="N484" t="str">
            <v>PS-3S</v>
          </cell>
          <cell r="O484">
            <v>105</v>
          </cell>
        </row>
        <row r="485">
          <cell r="N485" t="str">
            <v>PB132</v>
          </cell>
          <cell r="O485">
            <v>600</v>
          </cell>
        </row>
        <row r="486">
          <cell r="N486" t="str">
            <v>A-31C</v>
          </cell>
          <cell r="O486">
            <v>20</v>
          </cell>
        </row>
        <row r="487">
          <cell r="N487" t="str">
            <v>C24L</v>
          </cell>
          <cell r="O487">
            <v>300</v>
          </cell>
        </row>
        <row r="488">
          <cell r="N488" t="str">
            <v>C23L</v>
          </cell>
          <cell r="O488">
            <v>1050</v>
          </cell>
        </row>
        <row r="489">
          <cell r="N489" t="str">
            <v>U25</v>
          </cell>
          <cell r="O489">
            <v>64</v>
          </cell>
        </row>
        <row r="490">
          <cell r="N490" t="str">
            <v>U24</v>
          </cell>
          <cell r="O490">
            <v>56</v>
          </cell>
        </row>
        <row r="491">
          <cell r="N491" t="str">
            <v>A-242</v>
          </cell>
          <cell r="O491">
            <v>42</v>
          </cell>
        </row>
        <row r="492">
          <cell r="N492" t="str">
            <v>A-342</v>
          </cell>
          <cell r="O492">
            <v>30</v>
          </cell>
        </row>
        <row r="493">
          <cell r="N493" t="str">
            <v>A-564</v>
          </cell>
          <cell r="O493">
            <v>200</v>
          </cell>
        </row>
        <row r="494">
          <cell r="N494" t="str">
            <v>A-721</v>
          </cell>
          <cell r="O494">
            <v>200</v>
          </cell>
        </row>
        <row r="495">
          <cell r="N495" t="str">
            <v>A-272</v>
          </cell>
          <cell r="O495">
            <v>24</v>
          </cell>
        </row>
        <row r="496">
          <cell r="N496" t="str">
            <v>A-442</v>
          </cell>
          <cell r="O496">
            <v>16</v>
          </cell>
        </row>
        <row r="497">
          <cell r="N497" t="str">
            <v>A-513</v>
          </cell>
          <cell r="O497">
            <v>250</v>
          </cell>
        </row>
        <row r="498">
          <cell r="N498" t="str">
            <v>C86</v>
          </cell>
          <cell r="O498">
            <v>50</v>
          </cell>
        </row>
        <row r="499">
          <cell r="N499" t="str">
            <v>C25L</v>
          </cell>
          <cell r="O499">
            <v>90</v>
          </cell>
        </row>
        <row r="500">
          <cell r="N500" t="str">
            <v>C942</v>
          </cell>
          <cell r="O500">
            <v>550</v>
          </cell>
        </row>
        <row r="501">
          <cell r="N501" t="str">
            <v>CH82</v>
          </cell>
          <cell r="O501">
            <v>32</v>
          </cell>
        </row>
        <row r="502">
          <cell r="N502" t="str">
            <v>CH84</v>
          </cell>
          <cell r="O502">
            <v>32</v>
          </cell>
        </row>
        <row r="503">
          <cell r="N503" t="str">
            <v>PS-5</v>
          </cell>
          <cell r="O503">
            <v>570</v>
          </cell>
        </row>
        <row r="504">
          <cell r="N504" t="str">
            <v>PC23</v>
          </cell>
          <cell r="O504">
            <v>2500</v>
          </cell>
        </row>
        <row r="505">
          <cell r="N505" t="str">
            <v>A-34C</v>
          </cell>
          <cell r="O505">
            <v>10</v>
          </cell>
        </row>
        <row r="506">
          <cell r="N506" t="str">
            <v>A-83C</v>
          </cell>
          <cell r="O506">
            <v>360</v>
          </cell>
        </row>
        <row r="507">
          <cell r="N507" t="str">
            <v>A-46C</v>
          </cell>
          <cell r="O507">
            <v>50</v>
          </cell>
        </row>
        <row r="508">
          <cell r="N508" t="str">
            <v>C57</v>
          </cell>
          <cell r="O508">
            <v>15</v>
          </cell>
        </row>
        <row r="509">
          <cell r="N509" t="str">
            <v>C58</v>
          </cell>
          <cell r="O509">
            <v>10</v>
          </cell>
        </row>
        <row r="510">
          <cell r="N510" t="str">
            <v>C68</v>
          </cell>
          <cell r="O510">
            <v>6</v>
          </cell>
        </row>
        <row r="511">
          <cell r="N511" t="str">
            <v>C94</v>
          </cell>
          <cell r="O511">
            <v>170</v>
          </cell>
        </row>
        <row r="512">
          <cell r="N512" t="str">
            <v>C98</v>
          </cell>
          <cell r="O512">
            <v>20</v>
          </cell>
        </row>
        <row r="513">
          <cell r="N513" t="str">
            <v>C48</v>
          </cell>
          <cell r="O513">
            <v>18</v>
          </cell>
        </row>
        <row r="514">
          <cell r="N514" t="str">
            <v>C49</v>
          </cell>
          <cell r="O514">
            <v>10</v>
          </cell>
        </row>
        <row r="515">
          <cell r="N515" t="str">
            <v>U608</v>
          </cell>
          <cell r="O515">
            <v>15</v>
          </cell>
        </row>
        <row r="516">
          <cell r="N516" t="str">
            <v>U68</v>
          </cell>
          <cell r="O516">
            <v>24</v>
          </cell>
        </row>
        <row r="517">
          <cell r="N517" t="str">
            <v>U69</v>
          </cell>
          <cell r="O517">
            <v>8</v>
          </cell>
        </row>
        <row r="518">
          <cell r="N518" t="str">
            <v>U832</v>
          </cell>
          <cell r="O518">
            <v>400</v>
          </cell>
        </row>
        <row r="519">
          <cell r="N519" t="str">
            <v>U99</v>
          </cell>
          <cell r="O519">
            <v>10</v>
          </cell>
        </row>
        <row r="520">
          <cell r="N520" t="str">
            <v>U23T</v>
          </cell>
          <cell r="O520">
            <v>40</v>
          </cell>
        </row>
        <row r="521">
          <cell r="N521" t="str">
            <v>U38</v>
          </cell>
          <cell r="O521">
            <v>6</v>
          </cell>
        </row>
        <row r="522">
          <cell r="N522" t="str">
            <v>U49</v>
          </cell>
          <cell r="O522">
            <v>10</v>
          </cell>
        </row>
        <row r="523">
          <cell r="N523" t="str">
            <v>AS-448</v>
          </cell>
          <cell r="O523">
            <v>45</v>
          </cell>
        </row>
        <row r="524">
          <cell r="N524" t="str">
            <v>AS-249</v>
          </cell>
          <cell r="O524">
            <v>50</v>
          </cell>
        </row>
        <row r="525">
          <cell r="N525" t="str">
            <v>AS-228</v>
          </cell>
          <cell r="O525">
            <v>125</v>
          </cell>
        </row>
        <row r="526">
          <cell r="N526" t="str">
            <v>WT-3LL-15</v>
          </cell>
          <cell r="O526">
            <v>6</v>
          </cell>
        </row>
        <row r="527">
          <cell r="N527" t="str">
            <v>WT-4LL-10</v>
          </cell>
          <cell r="O527">
            <v>5</v>
          </cell>
        </row>
        <row r="528">
          <cell r="N528" t="str">
            <v>WT-4LL-20</v>
          </cell>
          <cell r="O528">
            <v>1</v>
          </cell>
        </row>
        <row r="529">
          <cell r="N529" t="str">
            <v>WT-4LL-07</v>
          </cell>
          <cell r="O529">
            <v>8</v>
          </cell>
        </row>
        <row r="530">
          <cell r="N530" t="str">
            <v>A-762</v>
          </cell>
          <cell r="O530">
            <v>300</v>
          </cell>
        </row>
        <row r="531">
          <cell r="N531" t="str">
            <v>A-367</v>
          </cell>
          <cell r="O531">
            <v>180</v>
          </cell>
        </row>
        <row r="532">
          <cell r="N532" t="str">
            <v>A-369</v>
          </cell>
          <cell r="O532">
            <v>210</v>
          </cell>
        </row>
        <row r="533">
          <cell r="N533" t="str">
            <v>U964</v>
          </cell>
          <cell r="O533">
            <v>100</v>
          </cell>
        </row>
        <row r="534">
          <cell r="N534" t="str">
            <v>CH80QS</v>
          </cell>
          <cell r="O534">
            <v>64</v>
          </cell>
        </row>
        <row r="535">
          <cell r="N535" t="str">
            <v>PU-2S</v>
          </cell>
          <cell r="O535">
            <v>602</v>
          </cell>
        </row>
        <row r="536">
          <cell r="N536" t="str">
            <v>PU-3S</v>
          </cell>
          <cell r="O536">
            <v>426</v>
          </cell>
        </row>
        <row r="537">
          <cell r="N537" t="str">
            <v>AS-327</v>
          </cell>
          <cell r="O537">
            <v>120</v>
          </cell>
        </row>
        <row r="538">
          <cell r="N538" t="str">
            <v>U863</v>
          </cell>
          <cell r="O538">
            <v>280</v>
          </cell>
        </row>
        <row r="539">
          <cell r="N539">
            <v>5607</v>
          </cell>
          <cell r="O539">
            <v>56</v>
          </cell>
        </row>
        <row r="540">
          <cell r="N540" t="str">
            <v>A-412</v>
          </cell>
          <cell r="O540">
            <v>300</v>
          </cell>
        </row>
        <row r="541">
          <cell r="N541" t="str">
            <v>A-411</v>
          </cell>
          <cell r="O541">
            <v>400</v>
          </cell>
        </row>
        <row r="542">
          <cell r="N542" t="str">
            <v>C506</v>
          </cell>
          <cell r="O542">
            <v>20</v>
          </cell>
        </row>
        <row r="543">
          <cell r="N543" t="str">
            <v>C863</v>
          </cell>
          <cell r="O543">
            <v>250</v>
          </cell>
        </row>
        <row r="544">
          <cell r="N544" t="str">
            <v>PB232</v>
          </cell>
          <cell r="O544">
            <v>750</v>
          </cell>
        </row>
        <row r="545">
          <cell r="N545">
            <v>5773</v>
          </cell>
          <cell r="O545">
            <v>80</v>
          </cell>
        </row>
        <row r="546">
          <cell r="N546" t="str">
            <v>PU-5S</v>
          </cell>
          <cell r="O546">
            <v>30</v>
          </cell>
        </row>
        <row r="547">
          <cell r="N547" t="str">
            <v>PU-4S</v>
          </cell>
          <cell r="O547">
            <v>90</v>
          </cell>
        </row>
        <row r="548">
          <cell r="N548" t="str">
            <v>PC2</v>
          </cell>
          <cell r="O548">
            <v>1000</v>
          </cell>
        </row>
        <row r="549">
          <cell r="N549" t="str">
            <v>CH82F</v>
          </cell>
          <cell r="O549">
            <v>192</v>
          </cell>
        </row>
        <row r="550">
          <cell r="N550" t="str">
            <v>C605</v>
          </cell>
          <cell r="O550">
            <v>160</v>
          </cell>
        </row>
        <row r="551">
          <cell r="N551" t="str">
            <v>A-665</v>
          </cell>
          <cell r="O551">
            <v>26</v>
          </cell>
        </row>
        <row r="552">
          <cell r="N552" t="str">
            <v>A-767</v>
          </cell>
          <cell r="O552">
            <v>75</v>
          </cell>
        </row>
        <row r="553">
          <cell r="N553" t="str">
            <v>A-247</v>
          </cell>
          <cell r="O553">
            <v>125</v>
          </cell>
        </row>
        <row r="554">
          <cell r="N554" t="str">
            <v>5911S</v>
          </cell>
          <cell r="O554">
            <v>80</v>
          </cell>
        </row>
        <row r="555">
          <cell r="N555" t="str">
            <v>5933S</v>
          </cell>
          <cell r="O555">
            <v>50</v>
          </cell>
        </row>
        <row r="556">
          <cell r="N556" t="str">
            <v>A-329</v>
          </cell>
          <cell r="O556">
            <v>144</v>
          </cell>
        </row>
        <row r="557">
          <cell r="N557" t="str">
            <v>A-328</v>
          </cell>
          <cell r="O557">
            <v>140</v>
          </cell>
        </row>
        <row r="558">
          <cell r="N558" t="str">
            <v>A-327</v>
          </cell>
          <cell r="O558">
            <v>120</v>
          </cell>
        </row>
        <row r="559">
          <cell r="N559" t="str">
            <v>A-468</v>
          </cell>
          <cell r="O559">
            <v>40</v>
          </cell>
        </row>
        <row r="560">
          <cell r="N560">
            <v>5662</v>
          </cell>
          <cell r="O560">
            <v>160</v>
          </cell>
        </row>
        <row r="561">
          <cell r="N561" t="str">
            <v>PU-3</v>
          </cell>
          <cell r="O561">
            <v>60</v>
          </cell>
        </row>
        <row r="562">
          <cell r="N562" t="str">
            <v>CH74F</v>
          </cell>
          <cell r="O562">
            <v>32</v>
          </cell>
        </row>
        <row r="563">
          <cell r="N563" t="str">
            <v>U320</v>
          </cell>
          <cell r="O563">
            <v>400</v>
          </cell>
        </row>
        <row r="564">
          <cell r="N564" t="str">
            <v>PU-2</v>
          </cell>
          <cell r="O564">
            <v>50</v>
          </cell>
        </row>
        <row r="565">
          <cell r="N565" t="str">
            <v>U961</v>
          </cell>
          <cell r="O565">
            <v>50</v>
          </cell>
        </row>
        <row r="566">
          <cell r="N566" t="str">
            <v>U46</v>
          </cell>
          <cell r="O566">
            <v>190</v>
          </cell>
        </row>
        <row r="567">
          <cell r="N567" t="str">
            <v>U506</v>
          </cell>
          <cell r="O567">
            <v>40</v>
          </cell>
        </row>
        <row r="568">
          <cell r="N568" t="str">
            <v>U15</v>
          </cell>
          <cell r="O568">
            <v>20</v>
          </cell>
        </row>
        <row r="569">
          <cell r="N569" t="str">
            <v>UC1</v>
          </cell>
          <cell r="O569">
            <v>1600</v>
          </cell>
        </row>
        <row r="570">
          <cell r="N570" t="str">
            <v>UC2</v>
          </cell>
          <cell r="O570">
            <v>1600</v>
          </cell>
        </row>
        <row r="571">
          <cell r="N571" t="str">
            <v>UC3</v>
          </cell>
          <cell r="O571">
            <v>1200</v>
          </cell>
        </row>
        <row r="572">
          <cell r="N572" t="str">
            <v>UC4</v>
          </cell>
          <cell r="O572">
            <v>1200</v>
          </cell>
        </row>
        <row r="573">
          <cell r="N573" t="str">
            <v>UC5</v>
          </cell>
          <cell r="O573">
            <v>1200</v>
          </cell>
        </row>
        <row r="574">
          <cell r="N574" t="str">
            <v>U864</v>
          </cell>
          <cell r="O574">
            <v>100</v>
          </cell>
        </row>
        <row r="575">
          <cell r="N575" t="str">
            <v>U865</v>
          </cell>
          <cell r="O575">
            <v>100</v>
          </cell>
        </row>
        <row r="576">
          <cell r="N576" t="str">
            <v>U941</v>
          </cell>
          <cell r="O576">
            <v>120</v>
          </cell>
        </row>
        <row r="577">
          <cell r="N577" t="str">
            <v>U324</v>
          </cell>
          <cell r="O577">
            <v>100</v>
          </cell>
        </row>
        <row r="578">
          <cell r="N578" t="str">
            <v>U930</v>
          </cell>
          <cell r="O578">
            <v>200</v>
          </cell>
        </row>
        <row r="579">
          <cell r="N579" t="str">
            <v>U278N</v>
          </cell>
          <cell r="O579">
            <v>6</v>
          </cell>
        </row>
        <row r="580">
          <cell r="N580" t="str">
            <v>U536</v>
          </cell>
          <cell r="O580">
            <v>80</v>
          </cell>
        </row>
        <row r="581">
          <cell r="N581" t="str">
            <v>U535</v>
          </cell>
          <cell r="O581">
            <v>160</v>
          </cell>
        </row>
        <row r="582">
          <cell r="N582" t="str">
            <v>U92</v>
          </cell>
          <cell r="O582">
            <v>625</v>
          </cell>
        </row>
        <row r="583">
          <cell r="N583" t="str">
            <v>U731</v>
          </cell>
          <cell r="O583">
            <v>200</v>
          </cell>
        </row>
        <row r="584">
          <cell r="N584" t="str">
            <v>UH76-S</v>
          </cell>
          <cell r="O584">
            <v>32</v>
          </cell>
        </row>
        <row r="585">
          <cell r="N585" t="str">
            <v>A-761</v>
          </cell>
          <cell r="O585">
            <v>325</v>
          </cell>
        </row>
        <row r="586">
          <cell r="N586" t="str">
            <v>A-413</v>
          </cell>
          <cell r="O586">
            <v>300</v>
          </cell>
        </row>
        <row r="587">
          <cell r="N587" t="str">
            <v>A-313</v>
          </cell>
          <cell r="O587">
            <v>100</v>
          </cell>
        </row>
        <row r="588">
          <cell r="N588" t="str">
            <v>C276</v>
          </cell>
          <cell r="O588">
            <v>20</v>
          </cell>
        </row>
        <row r="589">
          <cell r="N589" t="str">
            <v>C76</v>
          </cell>
          <cell r="O589">
            <v>30</v>
          </cell>
        </row>
        <row r="590">
          <cell r="N590" t="str">
            <v>C252</v>
          </cell>
          <cell r="O590">
            <v>100</v>
          </cell>
        </row>
        <row r="591">
          <cell r="N591" t="str">
            <v>PS-11</v>
          </cell>
          <cell r="O591">
            <v>600</v>
          </cell>
        </row>
        <row r="592">
          <cell r="N592" t="str">
            <v>PU-6S</v>
          </cell>
          <cell r="O592">
            <v>8</v>
          </cell>
        </row>
        <row r="593">
          <cell r="N593" t="str">
            <v>A-702</v>
          </cell>
          <cell r="O593">
            <v>240</v>
          </cell>
        </row>
        <row r="594">
          <cell r="N594" t="str">
            <v>MHC-02</v>
          </cell>
          <cell r="O594">
            <v>42</v>
          </cell>
        </row>
        <row r="595">
          <cell r="N595" t="str">
            <v>MHC-06</v>
          </cell>
          <cell r="O595">
            <v>21</v>
          </cell>
        </row>
        <row r="596">
          <cell r="N596" t="str">
            <v>U22T</v>
          </cell>
          <cell r="O596">
            <v>68</v>
          </cell>
        </row>
        <row r="597">
          <cell r="N597" t="str">
            <v>U23N</v>
          </cell>
          <cell r="O597">
            <v>240</v>
          </cell>
        </row>
        <row r="598">
          <cell r="N598" t="str">
            <v>PC24</v>
          </cell>
          <cell r="O598">
            <v>2000</v>
          </cell>
        </row>
        <row r="599">
          <cell r="N599" t="str">
            <v>5734S</v>
          </cell>
          <cell r="O599">
            <v>200</v>
          </cell>
        </row>
        <row r="600">
          <cell r="N600" t="str">
            <v>A-571</v>
          </cell>
          <cell r="O600">
            <v>120</v>
          </cell>
        </row>
        <row r="601">
          <cell r="N601" t="str">
            <v>A-229</v>
          </cell>
          <cell r="O601">
            <v>165</v>
          </cell>
        </row>
        <row r="602">
          <cell r="N602" t="str">
            <v>PB132B</v>
          </cell>
          <cell r="O602">
            <v>150</v>
          </cell>
        </row>
        <row r="603">
          <cell r="N603" t="str">
            <v>C606</v>
          </cell>
          <cell r="O603">
            <v>40</v>
          </cell>
        </row>
        <row r="604">
          <cell r="N604" t="str">
            <v>WCT-3LL-07 G</v>
          </cell>
          <cell r="O604">
            <v>4</v>
          </cell>
        </row>
        <row r="605">
          <cell r="N605" t="str">
            <v>WCT-3LL-05 G</v>
          </cell>
          <cell r="O605">
            <v>10</v>
          </cell>
        </row>
        <row r="606">
          <cell r="N606" t="str">
            <v>PU-7S</v>
          </cell>
          <cell r="O606">
            <v>140</v>
          </cell>
        </row>
        <row r="607">
          <cell r="N607" t="str">
            <v>U67</v>
          </cell>
          <cell r="O607">
            <v>35</v>
          </cell>
        </row>
        <row r="608">
          <cell r="N608" t="str">
            <v>U57</v>
          </cell>
          <cell r="O608">
            <v>40</v>
          </cell>
        </row>
        <row r="609">
          <cell r="N609" t="str">
            <v>U107</v>
          </cell>
          <cell r="O609">
            <v>5</v>
          </cell>
        </row>
        <row r="610">
          <cell r="N610" t="str">
            <v>U97</v>
          </cell>
          <cell r="O610">
            <v>6</v>
          </cell>
        </row>
        <row r="611">
          <cell r="N611" t="str">
            <v>U876</v>
          </cell>
          <cell r="O611">
            <v>35</v>
          </cell>
        </row>
        <row r="612">
          <cell r="N612" t="str">
            <v>U47</v>
          </cell>
          <cell r="O612">
            <v>140</v>
          </cell>
        </row>
        <row r="613">
          <cell r="N613" t="str">
            <v>U98</v>
          </cell>
          <cell r="O613">
            <v>2</v>
          </cell>
        </row>
        <row r="614">
          <cell r="N614" t="str">
            <v>U887</v>
          </cell>
          <cell r="O614">
            <v>2</v>
          </cell>
        </row>
        <row r="615">
          <cell r="N615" t="str">
            <v>UF12</v>
          </cell>
          <cell r="O615">
            <v>6</v>
          </cell>
        </row>
        <row r="616">
          <cell r="N616" t="str">
            <v>S17</v>
          </cell>
          <cell r="O616">
            <v>9</v>
          </cell>
        </row>
        <row r="617">
          <cell r="N617" t="str">
            <v>PU-6</v>
          </cell>
          <cell r="O617">
            <v>280</v>
          </cell>
        </row>
        <row r="618">
          <cell r="N618" t="str">
            <v>A-12A</v>
          </cell>
          <cell r="O618">
            <v>30</v>
          </cell>
        </row>
        <row r="619">
          <cell r="N619" t="str">
            <v>U275N</v>
          </cell>
          <cell r="O619">
            <v>60</v>
          </cell>
        </row>
        <row r="620">
          <cell r="N620" t="str">
            <v>PW18</v>
          </cell>
          <cell r="O620">
            <v>200</v>
          </cell>
        </row>
        <row r="621">
          <cell r="N621" t="str">
            <v>PW19</v>
          </cell>
          <cell r="O621">
            <v>50</v>
          </cell>
        </row>
        <row r="622">
          <cell r="N622" t="str">
            <v>PW80</v>
          </cell>
          <cell r="O622">
            <v>50</v>
          </cell>
        </row>
        <row r="623">
          <cell r="N623" t="str">
            <v>PW14</v>
          </cell>
          <cell r="O623">
            <v>50</v>
          </cell>
        </row>
        <row r="624">
          <cell r="N624" t="str">
            <v>PW74</v>
          </cell>
          <cell r="O624">
            <v>50</v>
          </cell>
        </row>
        <row r="625">
          <cell r="N625" t="str">
            <v>A-54C</v>
          </cell>
          <cell r="O625">
            <v>31</v>
          </cell>
        </row>
        <row r="626">
          <cell r="N626" t="str">
            <v>AS-446</v>
          </cell>
          <cell r="O626">
            <v>120</v>
          </cell>
        </row>
        <row r="627">
          <cell r="N627" t="str">
            <v>PN28C</v>
          </cell>
          <cell r="O627">
            <v>50</v>
          </cell>
        </row>
        <row r="628">
          <cell r="N628">
            <v>5115</v>
          </cell>
          <cell r="O628">
            <v>75</v>
          </cell>
        </row>
        <row r="629">
          <cell r="N629">
            <v>4507</v>
          </cell>
          <cell r="O629">
            <v>20</v>
          </cell>
        </row>
        <row r="630">
          <cell r="N630" t="str">
            <v>A-770</v>
          </cell>
          <cell r="O630">
            <v>21</v>
          </cell>
        </row>
        <row r="631">
          <cell r="N631" t="str">
            <v>CH80F</v>
          </cell>
          <cell r="O631">
            <v>64</v>
          </cell>
        </row>
        <row r="632">
          <cell r="N632" t="str">
            <v>A-703</v>
          </cell>
          <cell r="O632">
            <v>100</v>
          </cell>
        </row>
        <row r="633">
          <cell r="N633" t="str">
            <v>U22N</v>
          </cell>
          <cell r="O633">
            <v>204</v>
          </cell>
        </row>
        <row r="634">
          <cell r="N634" t="str">
            <v>C262</v>
          </cell>
          <cell r="O634">
            <v>50</v>
          </cell>
        </row>
        <row r="635">
          <cell r="N635" t="str">
            <v>C876</v>
          </cell>
          <cell r="O635">
            <v>20</v>
          </cell>
        </row>
        <row r="636">
          <cell r="N636" t="str">
            <v>UH84</v>
          </cell>
          <cell r="O636">
            <v>32</v>
          </cell>
        </row>
        <row r="637">
          <cell r="N637" t="str">
            <v>C842</v>
          </cell>
          <cell r="O637">
            <v>150</v>
          </cell>
        </row>
        <row r="638">
          <cell r="N638" t="str">
            <v>C263</v>
          </cell>
          <cell r="O638">
            <v>50</v>
          </cell>
        </row>
        <row r="639">
          <cell r="N639" t="str">
            <v>C964</v>
          </cell>
          <cell r="O639">
            <v>100</v>
          </cell>
        </row>
        <row r="640">
          <cell r="N640" t="str">
            <v>C264</v>
          </cell>
          <cell r="O640">
            <v>50</v>
          </cell>
        </row>
        <row r="641">
          <cell r="N641" t="str">
            <v>C703N</v>
          </cell>
          <cell r="O641">
            <v>400</v>
          </cell>
        </row>
        <row r="642">
          <cell r="N642" t="str">
            <v>C704</v>
          </cell>
          <cell r="O642">
            <v>150</v>
          </cell>
        </row>
        <row r="643">
          <cell r="N643" t="str">
            <v>C95</v>
          </cell>
          <cell r="O643">
            <v>50</v>
          </cell>
        </row>
        <row r="644">
          <cell r="N644" t="str">
            <v>C92</v>
          </cell>
          <cell r="O644">
            <v>100</v>
          </cell>
        </row>
        <row r="645">
          <cell r="N645" t="str">
            <v>C105</v>
          </cell>
          <cell r="O645">
            <v>100</v>
          </cell>
        </row>
        <row r="646">
          <cell r="N646" t="str">
            <v>C865</v>
          </cell>
          <cell r="O646">
            <v>50</v>
          </cell>
        </row>
        <row r="647">
          <cell r="N647" t="str">
            <v>C965</v>
          </cell>
          <cell r="O647">
            <v>50</v>
          </cell>
        </row>
        <row r="648">
          <cell r="N648" t="str">
            <v>C963</v>
          </cell>
          <cell r="O648">
            <v>50</v>
          </cell>
        </row>
        <row r="649">
          <cell r="N649" t="str">
            <v>C242</v>
          </cell>
          <cell r="O649">
            <v>200</v>
          </cell>
        </row>
        <row r="650">
          <cell r="N650" t="str">
            <v>CM26</v>
          </cell>
          <cell r="O650">
            <v>75</v>
          </cell>
        </row>
        <row r="651">
          <cell r="N651" t="str">
            <v>Grand Total</v>
          </cell>
          <cell r="O651">
            <v>830115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PVC &amp; UPVC MASTER SHEET"/>
      <sheetName val="Sheet5"/>
      <sheetName val="Sheet4"/>
      <sheetName val="BALL VALVE &amp; FAPT"/>
      <sheetName val="GASKET &amp; UNION 'O' RING"/>
      <sheetName val="BRASS WEIGHT"/>
      <sheetName val="Sheet2"/>
    </sheetNames>
    <sheetDataSet>
      <sheetData sheetId="0"/>
      <sheetData sheetId="1">
        <row r="3">
          <cell r="A3" t="str">
            <v>C272</v>
          </cell>
          <cell r="B3" t="str">
            <v>3/4" TANK NIPPLE</v>
          </cell>
          <cell r="C3" t="str">
            <v>CPVC FITTING</v>
          </cell>
          <cell r="D3">
            <v>76.05</v>
          </cell>
        </row>
        <row r="4">
          <cell r="A4" t="str">
            <v>C273</v>
          </cell>
          <cell r="B4" t="str">
            <v>1" TANK NIPPLE</v>
          </cell>
          <cell r="C4" t="str">
            <v>CPVC FITTING</v>
          </cell>
          <cell r="D4">
            <v>82.5</v>
          </cell>
        </row>
        <row r="5">
          <cell r="A5" t="str">
            <v>C274</v>
          </cell>
          <cell r="B5" t="str">
            <v>1-1/4" TANK NIPPLE</v>
          </cell>
          <cell r="C5" t="str">
            <v>CPVC FITTING</v>
          </cell>
          <cell r="D5">
            <v>117.05</v>
          </cell>
        </row>
        <row r="6">
          <cell r="A6" t="str">
            <v>C275</v>
          </cell>
          <cell r="B6" t="str">
            <v>1-1/2" TANK NIPPLE</v>
          </cell>
          <cell r="C6" t="str">
            <v>CPVC FITTING</v>
          </cell>
          <cell r="D6">
            <v>135.35</v>
          </cell>
        </row>
        <row r="7">
          <cell r="A7" t="str">
            <v>C276</v>
          </cell>
          <cell r="B7" t="str">
            <v>2" TANK NIPPLE</v>
          </cell>
          <cell r="C7" t="str">
            <v>CPVC FITTING</v>
          </cell>
          <cell r="D7">
            <v>212.45</v>
          </cell>
        </row>
        <row r="8">
          <cell r="A8" t="str">
            <v>C272N</v>
          </cell>
          <cell r="B8" t="str">
            <v>3/4" TANK NIPPLE (THR.)</v>
          </cell>
          <cell r="C8" t="str">
            <v>CPVC FITTING</v>
          </cell>
          <cell r="D8">
            <v>65.25</v>
          </cell>
        </row>
        <row r="9">
          <cell r="A9" t="str">
            <v>C273N</v>
          </cell>
          <cell r="B9" t="str">
            <v>1" TANK NIPPLE (NEW)</v>
          </cell>
          <cell r="C9" t="str">
            <v>CPVC FITTING</v>
          </cell>
          <cell r="D9">
            <v>71</v>
          </cell>
        </row>
        <row r="10">
          <cell r="A10" t="str">
            <v>C274N</v>
          </cell>
          <cell r="B10" t="str">
            <v>1-1/4" TANK NIPPLE (NEW)</v>
          </cell>
          <cell r="C10" t="str">
            <v>CPVC FITTING</v>
          </cell>
          <cell r="D10">
            <v>105</v>
          </cell>
        </row>
        <row r="11">
          <cell r="A11" t="str">
            <v>C275N</v>
          </cell>
          <cell r="B11" t="str">
            <v>1-1/2" TANK NIPPLE (NEW)</v>
          </cell>
          <cell r="C11" t="str">
            <v>CPVC FITTING</v>
          </cell>
          <cell r="D11">
            <v>145.65</v>
          </cell>
        </row>
        <row r="12">
          <cell r="A12" t="str">
            <v>C276N</v>
          </cell>
          <cell r="B12" t="str">
            <v>2" TANK NIPPLE (NEW)</v>
          </cell>
          <cell r="C12" t="str">
            <v>CPVC FITTING</v>
          </cell>
          <cell r="D12">
            <v>205.95</v>
          </cell>
        </row>
        <row r="13">
          <cell r="A13" t="str">
            <v>C277N</v>
          </cell>
          <cell r="B13" t="str">
            <v>2-1/2" TANK NIPPLE (NEW)</v>
          </cell>
          <cell r="C13" t="str">
            <v>CPVC FITTING</v>
          </cell>
          <cell r="D13">
            <v>732</v>
          </cell>
        </row>
        <row r="14">
          <cell r="A14" t="str">
            <v>C278N</v>
          </cell>
          <cell r="B14" t="str">
            <v>3" TANK NIPPLE (NEW)</v>
          </cell>
          <cell r="C14" t="str">
            <v>CPVC FITTING</v>
          </cell>
          <cell r="D14">
            <v>0</v>
          </cell>
        </row>
        <row r="15">
          <cell r="A15" t="str">
            <v>C279N</v>
          </cell>
          <cell r="B15" t="str">
            <v>4" TANK NIPPLE (NEW)</v>
          </cell>
          <cell r="C15" t="str">
            <v>CPVC FITTING</v>
          </cell>
          <cell r="D15">
            <v>2235</v>
          </cell>
        </row>
        <row r="16">
          <cell r="A16" t="str">
            <v>C22</v>
          </cell>
          <cell r="B16" t="str">
            <v>3/4" BALL VALVE</v>
          </cell>
          <cell r="C16" t="str">
            <v>CPVC FITTING</v>
          </cell>
          <cell r="D16">
            <v>111.03</v>
          </cell>
        </row>
        <row r="17">
          <cell r="A17" t="str">
            <v>C23</v>
          </cell>
          <cell r="B17" t="str">
            <v>1" BALL VALVE</v>
          </cell>
          <cell r="C17" t="str">
            <v>CPVC FITTING</v>
          </cell>
          <cell r="D17">
            <v>178.76000000000002</v>
          </cell>
        </row>
        <row r="18">
          <cell r="A18" t="str">
            <v>C24</v>
          </cell>
          <cell r="B18" t="str">
            <v>1-1/4" BALL VALVE</v>
          </cell>
          <cell r="C18" t="str">
            <v>CPVC FITTING</v>
          </cell>
          <cell r="D18">
            <v>294.45</v>
          </cell>
        </row>
        <row r="19">
          <cell r="A19" t="str">
            <v>C25</v>
          </cell>
          <cell r="B19" t="str">
            <v>1-1/2" BALL VALVE</v>
          </cell>
          <cell r="C19" t="str">
            <v>CPVC FITTING</v>
          </cell>
          <cell r="D19">
            <v>425.12500000000006</v>
          </cell>
        </row>
        <row r="20">
          <cell r="A20" t="str">
            <v>C26</v>
          </cell>
          <cell r="B20" t="str">
            <v>2" BALL VALVE</v>
          </cell>
          <cell r="C20" t="str">
            <v>CPVC FITTING</v>
          </cell>
          <cell r="D20">
            <v>657.6</v>
          </cell>
        </row>
        <row r="21">
          <cell r="A21" t="str">
            <v>C22L</v>
          </cell>
          <cell r="B21" t="str">
            <v>3/4" BALL VALVE (NEW)</v>
          </cell>
          <cell r="C21" t="str">
            <v>CPVC FITTING</v>
          </cell>
          <cell r="D21">
            <v>110.83000000000001</v>
          </cell>
        </row>
        <row r="22">
          <cell r="A22" t="str">
            <v>C23L</v>
          </cell>
          <cell r="B22" t="str">
            <v>1" BALL VALVE (NEW)</v>
          </cell>
          <cell r="C22" t="str">
            <v>CPVC FITTING</v>
          </cell>
          <cell r="D22">
            <v>178.56</v>
          </cell>
        </row>
        <row r="23">
          <cell r="A23" t="str">
            <v>C24L</v>
          </cell>
          <cell r="B23" t="str">
            <v>1-1/4" BALL VALVE (NEW)</v>
          </cell>
          <cell r="C23" t="str">
            <v>CPVC FITTING</v>
          </cell>
          <cell r="D23">
            <v>293.09999999999997</v>
          </cell>
        </row>
        <row r="24">
          <cell r="A24" t="str">
            <v>C25L</v>
          </cell>
          <cell r="B24" t="str">
            <v>1-1/2" BALL VALVE (NEW)</v>
          </cell>
          <cell r="C24" t="str">
            <v>CPVC FITTING</v>
          </cell>
          <cell r="D24">
            <v>425.12500000000006</v>
          </cell>
        </row>
        <row r="25">
          <cell r="A25" t="str">
            <v>C26L</v>
          </cell>
          <cell r="B25" t="str">
            <v>2" BALL VALVE (NEW)</v>
          </cell>
          <cell r="C25" t="str">
            <v>CPVC FITTING</v>
          </cell>
          <cell r="D25">
            <v>696.25</v>
          </cell>
        </row>
        <row r="26">
          <cell r="A26" t="str">
            <v>C32</v>
          </cell>
          <cell r="B26" t="str">
            <v>3/4" UNION</v>
          </cell>
          <cell r="C26" t="str">
            <v>CPVC FITTING</v>
          </cell>
          <cell r="D26">
            <v>64.94</v>
          </cell>
        </row>
        <row r="27">
          <cell r="A27" t="str">
            <v>C33</v>
          </cell>
          <cell r="B27" t="str">
            <v>1" UNION</v>
          </cell>
          <cell r="C27" t="str">
            <v>CPVC FITTING</v>
          </cell>
          <cell r="D27">
            <v>95</v>
          </cell>
        </row>
        <row r="28">
          <cell r="A28" t="str">
            <v>C34</v>
          </cell>
          <cell r="B28" t="str">
            <v>1-1/4" UNION</v>
          </cell>
          <cell r="C28" t="str">
            <v>CPVC FITTING</v>
          </cell>
          <cell r="D28">
            <v>143.94999999999999</v>
          </cell>
        </row>
        <row r="29">
          <cell r="A29" t="str">
            <v>C35</v>
          </cell>
          <cell r="B29" t="str">
            <v>1-1/2" UNION</v>
          </cell>
          <cell r="C29" t="str">
            <v>CPVC FITTING</v>
          </cell>
          <cell r="D29">
            <v>160.25</v>
          </cell>
        </row>
        <row r="30">
          <cell r="A30" t="str">
            <v>C36</v>
          </cell>
          <cell r="B30" t="str">
            <v>2" UNION</v>
          </cell>
          <cell r="C30" t="str">
            <v>CPVC FITTING</v>
          </cell>
          <cell r="D30">
            <v>284.55</v>
          </cell>
        </row>
        <row r="31">
          <cell r="A31" t="str">
            <v>C37</v>
          </cell>
          <cell r="B31" t="str">
            <v>2-1/2" UNION</v>
          </cell>
          <cell r="C31" t="str">
            <v>CPVC FITTING</v>
          </cell>
          <cell r="D31">
            <v>919</v>
          </cell>
        </row>
        <row r="32">
          <cell r="A32" t="str">
            <v>C38</v>
          </cell>
          <cell r="B32" t="str">
            <v>3" UNION</v>
          </cell>
          <cell r="C32" t="str">
            <v>CPVC FITTING</v>
          </cell>
          <cell r="D32">
            <v>1418</v>
          </cell>
        </row>
        <row r="33">
          <cell r="A33" t="str">
            <v>C39</v>
          </cell>
          <cell r="B33" t="str">
            <v>4" UNION</v>
          </cell>
          <cell r="C33" t="str">
            <v>CPVC FITTING</v>
          </cell>
          <cell r="D33">
            <v>2369</v>
          </cell>
        </row>
        <row r="34">
          <cell r="A34" t="str">
            <v>CM21</v>
          </cell>
          <cell r="B34" t="str">
            <v>3/4"x1/2" BRASS 90° ELBOW (CPVC UPPER )</v>
          </cell>
          <cell r="C34" t="str">
            <v>CPVC FITTING</v>
          </cell>
          <cell r="D34">
            <v>103.3</v>
          </cell>
        </row>
        <row r="35">
          <cell r="A35" t="str">
            <v>CM22</v>
          </cell>
          <cell r="B35" t="str">
            <v>3/4"x1/2" BRASS 90° ELBOW (CPVC DOWN )</v>
          </cell>
          <cell r="C35" t="str">
            <v>CPVC FITTING</v>
          </cell>
          <cell r="D35">
            <v>103.3</v>
          </cell>
        </row>
        <row r="36">
          <cell r="A36" t="str">
            <v>CM23</v>
          </cell>
          <cell r="B36" t="str">
            <v>3/4"x1/2" BRASS 90° ELBOW (CPVC DOWN )</v>
          </cell>
          <cell r="C36" t="str">
            <v>CPVC FITTING</v>
          </cell>
          <cell r="D36">
            <v>103.3</v>
          </cell>
        </row>
        <row r="37">
          <cell r="A37" t="str">
            <v>CM24</v>
          </cell>
          <cell r="B37" t="str">
            <v>3/4"x1/2" BRASS 90° ELBOW (CPVC DOWN )</v>
          </cell>
          <cell r="C37" t="str">
            <v>CPVC FITTING</v>
          </cell>
          <cell r="D37">
            <v>103.3</v>
          </cell>
        </row>
        <row r="38">
          <cell r="A38" t="str">
            <v>CM25</v>
          </cell>
          <cell r="B38" t="str">
            <v>3/4"x1/2" BRASS 90° ELBOW (CPVC DOWN )</v>
          </cell>
          <cell r="C38" t="str">
            <v>CPVC FITTING</v>
          </cell>
          <cell r="D38">
            <v>103.3</v>
          </cell>
        </row>
        <row r="39">
          <cell r="A39" t="str">
            <v>CM26</v>
          </cell>
          <cell r="B39" t="str">
            <v>3/4"x1/2" BRASS 90° ELBOW (CPVC DOWN )</v>
          </cell>
          <cell r="C39" t="str">
            <v>CPVC FITTING</v>
          </cell>
          <cell r="D39">
            <v>59</v>
          </cell>
        </row>
        <row r="40">
          <cell r="A40" t="str">
            <v>CM31</v>
          </cell>
          <cell r="B40" t="str">
            <v>1"X1/2" BRASS ELBOW MIXER</v>
          </cell>
          <cell r="C40" t="str">
            <v>CPVC FITTING</v>
          </cell>
          <cell r="D40">
            <v>124.3</v>
          </cell>
        </row>
        <row r="41">
          <cell r="A41" t="str">
            <v>CM32</v>
          </cell>
          <cell r="B41" t="str">
            <v>1"X1/2" BRASS ELBOW MIXER  (D)</v>
          </cell>
          <cell r="C41" t="str">
            <v>CPVC FITTING</v>
          </cell>
          <cell r="D41">
            <v>124.3</v>
          </cell>
        </row>
        <row r="42">
          <cell r="A42" t="str">
            <v>CM33</v>
          </cell>
          <cell r="B42" t="str">
            <v>1"X1/2" BRASS ELBOW MIXER (S)</v>
          </cell>
          <cell r="C42" t="str">
            <v>CPVC FITTING</v>
          </cell>
          <cell r="D42">
            <v>124.3</v>
          </cell>
        </row>
        <row r="43">
          <cell r="A43" t="str">
            <v>CM34</v>
          </cell>
          <cell r="B43" t="str">
            <v>1"X1/2" BRASS ELBOW MIXER (UD)</v>
          </cell>
          <cell r="C43" t="str">
            <v>CPVC FITTING</v>
          </cell>
          <cell r="D43">
            <v>124.3</v>
          </cell>
        </row>
        <row r="44">
          <cell r="A44" t="str">
            <v>CM35</v>
          </cell>
          <cell r="B44" t="str">
            <v>1"X1/2" BRASS ELBOW MIXER (SD)</v>
          </cell>
          <cell r="C44" t="str">
            <v>CPVC FITTING</v>
          </cell>
          <cell r="D44">
            <v>124.3</v>
          </cell>
        </row>
        <row r="45">
          <cell r="A45" t="str">
            <v>C952</v>
          </cell>
          <cell r="B45" t="str">
            <v xml:space="preserve">1-1/2X3/4" RED COUPLER </v>
          </cell>
          <cell r="C45" t="str">
            <v>CPVC FITTING</v>
          </cell>
          <cell r="D45">
            <v>97.65</v>
          </cell>
        </row>
        <row r="46">
          <cell r="A46" t="str">
            <v>C962</v>
          </cell>
          <cell r="B46" t="str">
            <v>2X3/4" RED COUPLER</v>
          </cell>
          <cell r="C46" t="str">
            <v>CPVC FITTING</v>
          </cell>
          <cell r="D46">
            <v>210.5</v>
          </cell>
        </row>
        <row r="47">
          <cell r="A47" t="str">
            <v>C963</v>
          </cell>
          <cell r="B47" t="str">
            <v>2X1" RED COUPLER</v>
          </cell>
          <cell r="C47" t="str">
            <v>CPVC FITTING</v>
          </cell>
          <cell r="D47">
            <v>210</v>
          </cell>
        </row>
        <row r="48">
          <cell r="A48" t="str">
            <v>C964</v>
          </cell>
          <cell r="B48" t="str">
            <v xml:space="preserve">2X1-1/4 RED COUPLER </v>
          </cell>
          <cell r="C48" t="str">
            <v>CPVC FITTING</v>
          </cell>
          <cell r="D48">
            <v>214.5</v>
          </cell>
        </row>
        <row r="49">
          <cell r="A49" t="str">
            <v>C965</v>
          </cell>
          <cell r="B49" t="str">
            <v xml:space="preserve">2X1-1/2" RED COUPLER </v>
          </cell>
          <cell r="C49" t="str">
            <v>CPVC FITTING</v>
          </cell>
          <cell r="D49">
            <v>202.5</v>
          </cell>
        </row>
        <row r="50">
          <cell r="A50" t="str">
            <v>C252</v>
          </cell>
          <cell r="B50" t="str">
            <v>1-1/2X3/4" RED TEE</v>
          </cell>
          <cell r="C50" t="str">
            <v>CPVC FITTING</v>
          </cell>
          <cell r="D50">
            <v>182.2</v>
          </cell>
        </row>
        <row r="51">
          <cell r="A51" t="str">
            <v>C254</v>
          </cell>
          <cell r="B51" t="str">
            <v>1-1/2X1-1/4" RED TEE</v>
          </cell>
          <cell r="C51" t="str">
            <v>CPVC FITTING</v>
          </cell>
          <cell r="D51">
            <v>169.7</v>
          </cell>
        </row>
        <row r="52">
          <cell r="A52" t="str">
            <v>C262</v>
          </cell>
          <cell r="B52" t="str">
            <v>2X3/4 RED TEE</v>
          </cell>
          <cell r="C52" t="str">
            <v>CPVC FITTING</v>
          </cell>
          <cell r="D52">
            <v>375</v>
          </cell>
        </row>
        <row r="53">
          <cell r="A53" t="str">
            <v>C263</v>
          </cell>
          <cell r="B53" t="str">
            <v>2X1" RED TEE</v>
          </cell>
          <cell r="C53" t="str">
            <v>CPVC FITTING</v>
          </cell>
          <cell r="D53">
            <v>374.5</v>
          </cell>
        </row>
        <row r="54">
          <cell r="A54" t="str">
            <v>C264</v>
          </cell>
          <cell r="B54" t="str">
            <v>2X1-1/4" RED TEE</v>
          </cell>
          <cell r="C54" t="str">
            <v>CPVC FITTING</v>
          </cell>
          <cell r="D54">
            <v>379</v>
          </cell>
        </row>
        <row r="55">
          <cell r="A55" t="str">
            <v>C265</v>
          </cell>
          <cell r="B55" t="str">
            <v>2X1-1/2" RED TEE</v>
          </cell>
          <cell r="C55" t="str">
            <v>CPVC FITTING</v>
          </cell>
          <cell r="D55">
            <v>367</v>
          </cell>
        </row>
        <row r="56">
          <cell r="A56" t="str">
            <v>CH22</v>
          </cell>
          <cell r="B56" t="str">
            <v>3/4" CPVC BALL VALVE HANDLE</v>
          </cell>
          <cell r="C56" t="str">
            <v>CPVC FITTING</v>
          </cell>
          <cell r="D56">
            <v>9.25</v>
          </cell>
        </row>
        <row r="57">
          <cell r="A57" t="str">
            <v>CH23</v>
          </cell>
          <cell r="B57" t="str">
            <v>1" CPVC BALL VALVE HANDLE</v>
          </cell>
          <cell r="C57" t="str">
            <v>CPVC FITTING</v>
          </cell>
          <cell r="D57">
            <v>19</v>
          </cell>
        </row>
        <row r="58">
          <cell r="A58" t="str">
            <v>CH24</v>
          </cell>
          <cell r="B58" t="str">
            <v>1-1/4" CPVC BALL VALVE HANDLE</v>
          </cell>
          <cell r="C58" t="str">
            <v>CPVC FITTING</v>
          </cell>
          <cell r="D58">
            <v>19.25</v>
          </cell>
        </row>
        <row r="59">
          <cell r="A59" t="str">
            <v>CH25</v>
          </cell>
          <cell r="B59" t="str">
            <v>1-1/2" CPVC BALL VALVE HANDLE</v>
          </cell>
          <cell r="C59" t="str">
            <v>CPVC FITTING</v>
          </cell>
          <cell r="D59">
            <v>27.75</v>
          </cell>
        </row>
        <row r="60">
          <cell r="A60" t="str">
            <v>CH26</v>
          </cell>
          <cell r="B60" t="str">
            <v>2" CPVC BALL VALVE HANDLE</v>
          </cell>
          <cell r="C60" t="str">
            <v>CPVC FITTING</v>
          </cell>
          <cell r="D60">
            <v>37.5</v>
          </cell>
        </row>
        <row r="61">
          <cell r="A61" t="str">
            <v>CHL22</v>
          </cell>
          <cell r="B61" t="str">
            <v>3/4" CPVC BALL VALVE HANDLE</v>
          </cell>
          <cell r="C61" t="str">
            <v>CPVC FITTING</v>
          </cell>
          <cell r="D61">
            <v>9.25</v>
          </cell>
        </row>
        <row r="62">
          <cell r="A62" t="str">
            <v>CHL-23</v>
          </cell>
          <cell r="B62" t="str">
            <v>1" CPVC BALL VALVE HANDLE</v>
          </cell>
          <cell r="C62" t="str">
            <v>CPVC FITTING</v>
          </cell>
          <cell r="D62">
            <v>19</v>
          </cell>
        </row>
        <row r="63">
          <cell r="A63" t="str">
            <v>CHL-24</v>
          </cell>
          <cell r="B63" t="str">
            <v>1-1/4" CPVC BALL VALVE HANDLE</v>
          </cell>
          <cell r="C63" t="str">
            <v>CPVC FITTING</v>
          </cell>
          <cell r="D63">
            <v>19.25</v>
          </cell>
        </row>
        <row r="64">
          <cell r="A64" t="str">
            <v>CHL-25</v>
          </cell>
          <cell r="B64" t="str">
            <v>1-1/2" CPVC BALL VALVE HANDLE</v>
          </cell>
          <cell r="C64" t="str">
            <v>CPVC FITTING</v>
          </cell>
          <cell r="D64">
            <v>27.75</v>
          </cell>
        </row>
        <row r="65">
          <cell r="A65" t="str">
            <v>CHL-26</v>
          </cell>
          <cell r="B65" t="str">
            <v>2" CPVC BALL VALVE HANDLE</v>
          </cell>
          <cell r="C65" t="str">
            <v>CPVC FITTING</v>
          </cell>
          <cell r="D65">
            <v>37.5</v>
          </cell>
        </row>
        <row r="66">
          <cell r="A66" t="str">
            <v>C12</v>
          </cell>
          <cell r="B66" t="str">
            <v>3/4" SOB</v>
          </cell>
          <cell r="C66" t="str">
            <v>CPVC FITTING</v>
          </cell>
          <cell r="D66">
            <v>84.8</v>
          </cell>
        </row>
        <row r="67">
          <cell r="A67" t="str">
            <v>C13</v>
          </cell>
          <cell r="B67" t="str">
            <v>1" SOB</v>
          </cell>
          <cell r="C67" t="str">
            <v>CPVC FITTING</v>
          </cell>
          <cell r="D67">
            <v>83.25</v>
          </cell>
        </row>
        <row r="68">
          <cell r="A68" t="str">
            <v>C14</v>
          </cell>
          <cell r="B68" t="str">
            <v>1-1/4" SOB</v>
          </cell>
          <cell r="C68" t="str">
            <v>CPVC FITTING</v>
          </cell>
          <cell r="D68">
            <v>185.9</v>
          </cell>
        </row>
        <row r="69">
          <cell r="A69" t="str">
            <v>C15</v>
          </cell>
          <cell r="B69" t="str">
            <v>1-1/2"SOB</v>
          </cell>
          <cell r="C69" t="str">
            <v>CPVC FITTING</v>
          </cell>
          <cell r="D69">
            <v>421</v>
          </cell>
        </row>
        <row r="70">
          <cell r="A70" t="str">
            <v>C41</v>
          </cell>
          <cell r="B70" t="str">
            <v>1/2" COUPLING</v>
          </cell>
          <cell r="C70" t="str">
            <v>CPVC FITTING</v>
          </cell>
          <cell r="D70">
            <v>7.25</v>
          </cell>
        </row>
        <row r="71">
          <cell r="A71" t="str">
            <v>C42</v>
          </cell>
          <cell r="B71" t="str">
            <v xml:space="preserve">3/4" COUPLING </v>
          </cell>
          <cell r="C71" t="str">
            <v>CPVC FITTING</v>
          </cell>
          <cell r="D71">
            <v>13.5</v>
          </cell>
        </row>
        <row r="72">
          <cell r="A72" t="str">
            <v>C43</v>
          </cell>
          <cell r="B72" t="str">
            <v xml:space="preserve">1" COUPLING </v>
          </cell>
          <cell r="C72" t="str">
            <v>CPVC FITTING</v>
          </cell>
          <cell r="D72">
            <v>20.399999999999999</v>
          </cell>
        </row>
        <row r="73">
          <cell r="A73" t="str">
            <v>C44</v>
          </cell>
          <cell r="B73" t="str">
            <v>1-1/4" COUPLING</v>
          </cell>
          <cell r="C73" t="str">
            <v>CPVC FITTING</v>
          </cell>
          <cell r="D73">
            <v>36.4</v>
          </cell>
        </row>
        <row r="74">
          <cell r="A74" t="str">
            <v>C45</v>
          </cell>
          <cell r="B74" t="str">
            <v>1-1/2" COUPLING</v>
          </cell>
          <cell r="C74" t="str">
            <v>CPVC FITTING</v>
          </cell>
          <cell r="D74">
            <v>60.9</v>
          </cell>
        </row>
        <row r="75">
          <cell r="A75" t="str">
            <v>C46</v>
          </cell>
          <cell r="B75" t="str">
            <v>2" COUPLING</v>
          </cell>
          <cell r="C75" t="str">
            <v>CPVC FITTING</v>
          </cell>
          <cell r="D75">
            <v>133</v>
          </cell>
        </row>
        <row r="76">
          <cell r="A76" t="str">
            <v>C47</v>
          </cell>
          <cell r="B76" t="str">
            <v>2-1/2" COUPLING</v>
          </cell>
          <cell r="C76" t="str">
            <v>CPVC FITTING</v>
          </cell>
          <cell r="D76">
            <v>307.89999999999998</v>
          </cell>
        </row>
        <row r="77">
          <cell r="A77" t="str">
            <v>C48</v>
          </cell>
          <cell r="B77" t="str">
            <v>3" COUPLING</v>
          </cell>
          <cell r="C77" t="str">
            <v>CPVC FITTING</v>
          </cell>
          <cell r="D77">
            <v>438.5</v>
          </cell>
        </row>
        <row r="78">
          <cell r="A78" t="str">
            <v>C49</v>
          </cell>
          <cell r="B78" t="str">
            <v>4" COUPLING</v>
          </cell>
          <cell r="C78" t="str">
            <v>CPVC FITTING</v>
          </cell>
          <cell r="D78">
            <v>659.5</v>
          </cell>
        </row>
        <row r="79">
          <cell r="A79" t="str">
            <v>C49N</v>
          </cell>
          <cell r="B79" t="str">
            <v>6" COUPLING</v>
          </cell>
          <cell r="C79" t="str">
            <v>CPVC FITTING</v>
          </cell>
          <cell r="D79">
            <v>964</v>
          </cell>
        </row>
        <row r="80">
          <cell r="A80" t="str">
            <v>C50</v>
          </cell>
          <cell r="B80" t="str">
            <v>3/4"x1/2" RED. 90° ELBOW</v>
          </cell>
          <cell r="C80" t="str">
            <v>CPVC FITTING</v>
          </cell>
          <cell r="D80">
            <v>17</v>
          </cell>
        </row>
        <row r="81">
          <cell r="A81" t="str">
            <v>C532</v>
          </cell>
          <cell r="B81" t="str">
            <v>1"x3/4" 90° ELBOW</v>
          </cell>
          <cell r="C81" t="str">
            <v>CPVC FITTING</v>
          </cell>
          <cell r="D81">
            <v>30.25</v>
          </cell>
        </row>
        <row r="82">
          <cell r="A82" t="str">
            <v>C51</v>
          </cell>
          <cell r="B82" t="str">
            <v>1/2" 90° ELBOW</v>
          </cell>
          <cell r="C82" t="str">
            <v>CPVC FITTING</v>
          </cell>
          <cell r="D82">
            <v>11</v>
          </cell>
        </row>
        <row r="83">
          <cell r="A83" t="str">
            <v>C52</v>
          </cell>
          <cell r="B83" t="str">
            <v>3/4" 90⁰ ELBOW</v>
          </cell>
          <cell r="C83" t="str">
            <v>CPVC FITTING</v>
          </cell>
          <cell r="D83">
            <v>22.9</v>
          </cell>
        </row>
        <row r="84">
          <cell r="A84" t="str">
            <v>C53</v>
          </cell>
          <cell r="B84" t="str">
            <v>1" 90⁰ ELBOW</v>
          </cell>
          <cell r="C84" t="str">
            <v>CPVC FITTING</v>
          </cell>
          <cell r="D84">
            <v>36.299999999999997</v>
          </cell>
        </row>
        <row r="85">
          <cell r="A85" t="str">
            <v>C54</v>
          </cell>
          <cell r="B85" t="str">
            <v>1-1/4" 90⁰ ELBOW</v>
          </cell>
          <cell r="C85" t="str">
            <v>CPVC FITTING</v>
          </cell>
          <cell r="D85">
            <v>70.95</v>
          </cell>
        </row>
        <row r="86">
          <cell r="A86" t="str">
            <v>C55</v>
          </cell>
          <cell r="B86" t="str">
            <v>1-1/2" 90⁰ ELBOW</v>
          </cell>
          <cell r="C86" t="str">
            <v>CPVC FITTING</v>
          </cell>
          <cell r="D86">
            <v>112.25</v>
          </cell>
        </row>
        <row r="87">
          <cell r="A87" t="str">
            <v>C56</v>
          </cell>
          <cell r="B87" t="str">
            <v>2" 90⁰ ELBOW</v>
          </cell>
          <cell r="C87" t="str">
            <v>CPVC FITTING</v>
          </cell>
          <cell r="D87">
            <v>213.2</v>
          </cell>
        </row>
        <row r="88">
          <cell r="A88" t="str">
            <v>C57</v>
          </cell>
          <cell r="B88" t="str">
            <v>2-1/2" 90° ELBOW</v>
          </cell>
          <cell r="C88" t="str">
            <v>CPVC FITTING</v>
          </cell>
          <cell r="D88">
            <v>522</v>
          </cell>
        </row>
        <row r="89">
          <cell r="A89" t="str">
            <v>C58</v>
          </cell>
          <cell r="B89" t="str">
            <v>3" 90° ELBOW</v>
          </cell>
          <cell r="C89" t="str">
            <v>CPVC FITTING</v>
          </cell>
          <cell r="D89">
            <v>814.2</v>
          </cell>
        </row>
        <row r="90">
          <cell r="A90" t="str">
            <v>C59</v>
          </cell>
          <cell r="B90" t="str">
            <v>4" 90° ELBOW</v>
          </cell>
          <cell r="C90" t="str">
            <v>CPVC FITTING</v>
          </cell>
          <cell r="D90">
            <v>1362</v>
          </cell>
        </row>
        <row r="91">
          <cell r="A91" t="str">
            <v>C61</v>
          </cell>
          <cell r="B91" t="str">
            <v>1/2" TEE</v>
          </cell>
          <cell r="C91" t="str">
            <v>CPVC FITTING</v>
          </cell>
          <cell r="D91">
            <v>14.8</v>
          </cell>
        </row>
        <row r="92">
          <cell r="A92" t="str">
            <v>C62</v>
          </cell>
          <cell r="B92" t="str">
            <v>3/4" TEE</v>
          </cell>
          <cell r="C92" t="str">
            <v>CPVC FITTING</v>
          </cell>
          <cell r="D92">
            <v>29</v>
          </cell>
        </row>
        <row r="93">
          <cell r="A93" t="str">
            <v>C63</v>
          </cell>
          <cell r="B93" t="str">
            <v xml:space="preserve">1" TEE </v>
          </cell>
          <cell r="C93" t="str">
            <v>CPVC FITTING</v>
          </cell>
          <cell r="D93">
            <v>49.2</v>
          </cell>
        </row>
        <row r="94">
          <cell r="A94" t="str">
            <v>C64</v>
          </cell>
          <cell r="B94" t="str">
            <v>1-1/4" TEE</v>
          </cell>
          <cell r="C94" t="str">
            <v>CPVC FITTING</v>
          </cell>
          <cell r="D94">
            <v>87.3</v>
          </cell>
        </row>
        <row r="95">
          <cell r="A95" t="str">
            <v>C65</v>
          </cell>
          <cell r="B95" t="str">
            <v>1-1/2" TEE</v>
          </cell>
          <cell r="C95" t="str">
            <v>CPVC FITTING</v>
          </cell>
          <cell r="D95">
            <v>145.44999999999999</v>
          </cell>
        </row>
        <row r="96">
          <cell r="A96" t="str">
            <v>C66</v>
          </cell>
          <cell r="B96" t="str">
            <v>2" TEE</v>
          </cell>
          <cell r="C96" t="str">
            <v>CPVC FITTING</v>
          </cell>
          <cell r="D96">
            <v>297.5</v>
          </cell>
        </row>
        <row r="97">
          <cell r="A97" t="str">
            <v>C67</v>
          </cell>
          <cell r="B97" t="str">
            <v>2-1/2" TEE</v>
          </cell>
          <cell r="C97" t="str">
            <v>CPVC FITTING</v>
          </cell>
          <cell r="D97">
            <v>687</v>
          </cell>
        </row>
        <row r="98">
          <cell r="A98" t="str">
            <v>C68</v>
          </cell>
          <cell r="B98" t="str">
            <v>3" TEE</v>
          </cell>
          <cell r="C98" t="str">
            <v>CPVC FITTING</v>
          </cell>
          <cell r="D98">
            <v>1073.5999999999999</v>
          </cell>
        </row>
        <row r="99">
          <cell r="A99" t="str">
            <v>C69</v>
          </cell>
          <cell r="B99" t="str">
            <v>4" TEE</v>
          </cell>
          <cell r="C99" t="str">
            <v>CPVC FITTING</v>
          </cell>
          <cell r="D99">
            <v>1723</v>
          </cell>
        </row>
        <row r="100">
          <cell r="A100" t="str">
            <v>C71</v>
          </cell>
          <cell r="B100" t="str">
            <v>3/4"x1/2" MABT</v>
          </cell>
          <cell r="C100" t="str">
            <v>CPVC FITTING</v>
          </cell>
          <cell r="D100">
            <v>7.25</v>
          </cell>
        </row>
        <row r="101">
          <cell r="A101" t="str">
            <v>C72</v>
          </cell>
          <cell r="B101" t="str">
            <v>3/4" MABT</v>
          </cell>
          <cell r="C101" t="str">
            <v>CPVC FITTING</v>
          </cell>
          <cell r="D101">
            <v>13</v>
          </cell>
        </row>
        <row r="102">
          <cell r="A102" t="str">
            <v>C73</v>
          </cell>
          <cell r="B102" t="str">
            <v>1" MABT</v>
          </cell>
          <cell r="C102" t="str">
            <v>CPVC FITTING</v>
          </cell>
          <cell r="D102">
            <v>19.5</v>
          </cell>
        </row>
        <row r="103">
          <cell r="A103" t="str">
            <v>C74</v>
          </cell>
          <cell r="B103" t="str">
            <v>1-1/4" MABT</v>
          </cell>
          <cell r="C103" t="str">
            <v>CPVC FITTING</v>
          </cell>
          <cell r="D103">
            <v>41.5</v>
          </cell>
        </row>
        <row r="104">
          <cell r="A104" t="str">
            <v>C75</v>
          </cell>
          <cell r="B104" t="str">
            <v>1-1/2" MABT</v>
          </cell>
          <cell r="C104" t="str">
            <v>CPVC FITTING</v>
          </cell>
          <cell r="D104">
            <v>60.75</v>
          </cell>
        </row>
        <row r="105">
          <cell r="A105" t="str">
            <v>C76</v>
          </cell>
          <cell r="B105" t="str">
            <v>2" MABT</v>
          </cell>
          <cell r="C105" t="str">
            <v>CPVC FITTING</v>
          </cell>
          <cell r="D105">
            <v>103.5</v>
          </cell>
        </row>
        <row r="106">
          <cell r="A106" t="str">
            <v>C82</v>
          </cell>
          <cell r="B106" t="str">
            <v>3/4" FABT</v>
          </cell>
          <cell r="C106" t="str">
            <v>CPVC FITTING</v>
          </cell>
          <cell r="D106">
            <v>9.4499999999999993</v>
          </cell>
        </row>
        <row r="107">
          <cell r="A107" t="str">
            <v>C83</v>
          </cell>
          <cell r="B107" t="str">
            <v>1" FABT</v>
          </cell>
          <cell r="C107" t="str">
            <v>CPVC FITTING</v>
          </cell>
          <cell r="D107">
            <v>17.32</v>
          </cell>
        </row>
        <row r="108">
          <cell r="A108" t="str">
            <v>C84</v>
          </cell>
          <cell r="B108" t="str">
            <v>1-1/4" FABT</v>
          </cell>
          <cell r="C108" t="str">
            <v>CPVC FITTING</v>
          </cell>
          <cell r="D108">
            <v>41.9</v>
          </cell>
        </row>
        <row r="109">
          <cell r="A109" t="str">
            <v>C85</v>
          </cell>
          <cell r="B109" t="str">
            <v>1-1/2" FABT</v>
          </cell>
          <cell r="C109" t="str">
            <v>CPVC FITTING</v>
          </cell>
          <cell r="D109">
            <v>446.75</v>
          </cell>
        </row>
        <row r="110">
          <cell r="A110" t="str">
            <v>C86</v>
          </cell>
          <cell r="B110" t="str">
            <v>2" FABT</v>
          </cell>
          <cell r="C110" t="str">
            <v>CPVC FITTING</v>
          </cell>
          <cell r="D110">
            <v>120.5</v>
          </cell>
        </row>
        <row r="111">
          <cell r="A111" t="str">
            <v>C90</v>
          </cell>
          <cell r="B111" t="str">
            <v>3/4"X1/2" FAPT</v>
          </cell>
          <cell r="C111" t="str">
            <v>CPVC FITTING</v>
          </cell>
          <cell r="D111">
            <v>20.95</v>
          </cell>
        </row>
        <row r="112">
          <cell r="A112" t="str">
            <v>C91</v>
          </cell>
          <cell r="B112" t="str">
            <v>1"X3/4" FAPT</v>
          </cell>
          <cell r="C112" t="str">
            <v>CPVC FITTING</v>
          </cell>
          <cell r="D112">
            <v>35.075000000000003</v>
          </cell>
        </row>
        <row r="113">
          <cell r="A113" t="str">
            <v>C92</v>
          </cell>
          <cell r="B113" t="str">
            <v>3/4" FAPT</v>
          </cell>
          <cell r="C113" t="str">
            <v>CPVC FITTING</v>
          </cell>
          <cell r="D113">
            <v>18.5</v>
          </cell>
        </row>
        <row r="114">
          <cell r="A114" t="str">
            <v>C93</v>
          </cell>
          <cell r="B114" t="str">
            <v>1" FAPT</v>
          </cell>
          <cell r="C114" t="str">
            <v>CPVC FITTING</v>
          </cell>
          <cell r="D114">
            <v>31.95</v>
          </cell>
        </row>
        <row r="115">
          <cell r="A115" t="str">
            <v>C94</v>
          </cell>
          <cell r="B115" t="str">
            <v>1-1/4" FAPT</v>
          </cell>
          <cell r="C115" t="str">
            <v>CPVC FITTING</v>
          </cell>
          <cell r="D115">
            <v>58.6</v>
          </cell>
        </row>
        <row r="116">
          <cell r="A116" t="str">
            <v>C95</v>
          </cell>
          <cell r="B116" t="str">
            <v>1-1/2"  FAPT</v>
          </cell>
          <cell r="C116" t="str">
            <v>CPVC FITTING</v>
          </cell>
          <cell r="D116">
            <v>84.25</v>
          </cell>
        </row>
        <row r="117">
          <cell r="A117" t="str">
            <v>C96</v>
          </cell>
          <cell r="B117" t="str">
            <v>2" FAPT</v>
          </cell>
          <cell r="C117" t="str">
            <v>CPVC FITTING</v>
          </cell>
          <cell r="D117">
            <v>148</v>
          </cell>
        </row>
        <row r="118">
          <cell r="A118" t="str">
            <v>C97</v>
          </cell>
          <cell r="B118" t="str">
            <v>2-1/2" FAPT</v>
          </cell>
          <cell r="C118" t="str">
            <v>CPVC FITTING</v>
          </cell>
          <cell r="D118">
            <v>207</v>
          </cell>
        </row>
        <row r="119">
          <cell r="A119" t="str">
            <v>C98</v>
          </cell>
          <cell r="B119" t="str">
            <v>3" FAPT</v>
          </cell>
          <cell r="C119" t="str">
            <v>CPVC FITTING</v>
          </cell>
          <cell r="D119">
            <v>389</v>
          </cell>
        </row>
        <row r="120">
          <cell r="A120" t="str">
            <v>C99</v>
          </cell>
          <cell r="B120" t="str">
            <v>4" FAPT</v>
          </cell>
          <cell r="C120" t="str">
            <v>CPVC FITTING</v>
          </cell>
          <cell r="D120">
            <v>600</v>
          </cell>
        </row>
        <row r="121">
          <cell r="A121" t="str">
            <v>C101</v>
          </cell>
          <cell r="B121" t="str">
            <v>3/4"x1/2" MAPT</v>
          </cell>
          <cell r="C121" t="str">
            <v>CPVC FITTING</v>
          </cell>
          <cell r="D121">
            <v>15.7</v>
          </cell>
        </row>
        <row r="122">
          <cell r="A122" t="str">
            <v>C102</v>
          </cell>
          <cell r="B122" t="str">
            <v>3/4" MAPT</v>
          </cell>
          <cell r="C122" t="str">
            <v>CPVC FITTING</v>
          </cell>
          <cell r="D122">
            <v>15.72</v>
          </cell>
        </row>
        <row r="123">
          <cell r="A123" t="str">
            <v>C103</v>
          </cell>
          <cell r="B123" t="str">
            <v>1" MAPT</v>
          </cell>
          <cell r="C123" t="str">
            <v>CPVC FITTING</v>
          </cell>
          <cell r="D123">
            <v>22.625</v>
          </cell>
        </row>
        <row r="124">
          <cell r="A124" t="str">
            <v>C104</v>
          </cell>
          <cell r="B124" t="str">
            <v>1-1/4" MAPT</v>
          </cell>
          <cell r="C124" t="str">
            <v>CPVC FITTING</v>
          </cell>
          <cell r="D124">
            <v>37.1</v>
          </cell>
        </row>
        <row r="125">
          <cell r="A125" t="str">
            <v>C105</v>
          </cell>
          <cell r="B125" t="str">
            <v>1-1/2" MAPT</v>
          </cell>
          <cell r="C125" t="str">
            <v>CPVC FITTING</v>
          </cell>
          <cell r="D125">
            <v>57</v>
          </cell>
        </row>
        <row r="126">
          <cell r="A126" t="str">
            <v>C106</v>
          </cell>
          <cell r="B126" t="str">
            <v>2" MAPT</v>
          </cell>
          <cell r="C126" t="str">
            <v>CPVC FITTING</v>
          </cell>
          <cell r="D126">
            <v>116</v>
          </cell>
        </row>
        <row r="127">
          <cell r="A127" t="str">
            <v>C107</v>
          </cell>
          <cell r="B127" t="str">
            <v>2-1/2" MAPT</v>
          </cell>
          <cell r="C127" t="str">
            <v>CPVC FITTING</v>
          </cell>
          <cell r="D127">
            <v>213</v>
          </cell>
        </row>
        <row r="128">
          <cell r="A128" t="str">
            <v>C108</v>
          </cell>
          <cell r="B128" t="str">
            <v>3" MAPT</v>
          </cell>
          <cell r="C128" t="str">
            <v>CPVC FITTING</v>
          </cell>
          <cell r="D128">
            <v>302</v>
          </cell>
        </row>
        <row r="129">
          <cell r="A129" t="str">
            <v>C109</v>
          </cell>
          <cell r="B129" t="str">
            <v>4" MAPT</v>
          </cell>
          <cell r="C129" t="str">
            <v>CPVC FITTING</v>
          </cell>
          <cell r="D129">
            <v>610</v>
          </cell>
        </row>
        <row r="130">
          <cell r="A130" t="str">
            <v>C131</v>
          </cell>
          <cell r="B130" t="str">
            <v>1"X1/2" MAPT</v>
          </cell>
          <cell r="C130" t="str">
            <v>CPVC FITTING</v>
          </cell>
          <cell r="D130">
            <v>24</v>
          </cell>
        </row>
        <row r="131">
          <cell r="A131" t="str">
            <v>C132</v>
          </cell>
          <cell r="B131" t="str">
            <v>1"X3/4" MAPT</v>
          </cell>
          <cell r="C131" t="str">
            <v>CPVC FITTING</v>
          </cell>
          <cell r="D131">
            <v>24</v>
          </cell>
        </row>
        <row r="132">
          <cell r="A132" t="str">
            <v>C221</v>
          </cell>
          <cell r="B132" t="str">
            <v>3/4"x1/2" RED. TEE</v>
          </cell>
          <cell r="C132" t="str">
            <v>CPVC FITTING</v>
          </cell>
          <cell r="D132">
            <v>21</v>
          </cell>
        </row>
        <row r="133">
          <cell r="A133" t="str">
            <v>C232</v>
          </cell>
          <cell r="B133" t="str">
            <v>1"x3/4" RED. TEE</v>
          </cell>
          <cell r="C133" t="str">
            <v>CPVC FITTING</v>
          </cell>
          <cell r="D133">
            <v>39</v>
          </cell>
        </row>
        <row r="134">
          <cell r="A134" t="str">
            <v>C242</v>
          </cell>
          <cell r="B134" t="str">
            <v>1-1/4"x3/4" RED. TEE</v>
          </cell>
          <cell r="C134" t="str">
            <v>CPVC FITTING</v>
          </cell>
          <cell r="D134">
            <v>59.95</v>
          </cell>
        </row>
        <row r="135">
          <cell r="A135" t="str">
            <v>C243</v>
          </cell>
          <cell r="B135" t="str">
            <v>1-1/4"x1" RED. TEE</v>
          </cell>
          <cell r="C135" t="str">
            <v>CPVC FITTING</v>
          </cell>
          <cell r="D135">
            <v>65.8</v>
          </cell>
        </row>
        <row r="136">
          <cell r="A136" t="str">
            <v>C253</v>
          </cell>
          <cell r="B136" t="str">
            <v>1-1/2"x1" RED. TEE</v>
          </cell>
          <cell r="C136" t="str">
            <v>CPVC FITTING</v>
          </cell>
          <cell r="D136">
            <v>96.7</v>
          </cell>
        </row>
        <row r="137">
          <cell r="A137" t="str">
            <v>C320</v>
          </cell>
          <cell r="B137" t="str">
            <v>3/4" CROSS TEE</v>
          </cell>
          <cell r="C137" t="str">
            <v>CPVC FITTING</v>
          </cell>
          <cell r="D137">
            <v>42</v>
          </cell>
        </row>
        <row r="138">
          <cell r="A138" t="str">
            <v>C330</v>
          </cell>
          <cell r="B138" t="str">
            <v>1" CROSS TEE</v>
          </cell>
          <cell r="C138" t="str">
            <v>CPVC FITTING</v>
          </cell>
          <cell r="D138">
            <v>56</v>
          </cell>
        </row>
        <row r="139">
          <cell r="A139" t="str">
            <v>C321</v>
          </cell>
          <cell r="B139" t="str">
            <v>1/2" BRASS TEE</v>
          </cell>
          <cell r="C139" t="str">
            <v>CPVC FITTING</v>
          </cell>
          <cell r="D139">
            <v>25</v>
          </cell>
        </row>
        <row r="140">
          <cell r="A140" t="str">
            <v>C322</v>
          </cell>
          <cell r="B140" t="str">
            <v>3/4" x1/2" BRASS TEE</v>
          </cell>
          <cell r="C140" t="str">
            <v>CPVC FITTING</v>
          </cell>
          <cell r="D140">
            <v>36.5</v>
          </cell>
        </row>
        <row r="141">
          <cell r="A141" t="str">
            <v>C323</v>
          </cell>
          <cell r="B141" t="str">
            <v>1"x1/2"  BRASS TEE</v>
          </cell>
          <cell r="C141" t="str">
            <v>CPVC FITTING</v>
          </cell>
          <cell r="D141">
            <v>49.63</v>
          </cell>
        </row>
        <row r="142">
          <cell r="A142" t="str">
            <v>C333</v>
          </cell>
          <cell r="B142" t="str">
            <v>3/4"x3/4" BRASS TEE</v>
          </cell>
          <cell r="C142" t="str">
            <v>CPVC FITTING</v>
          </cell>
          <cell r="D142">
            <v>38</v>
          </cell>
        </row>
        <row r="143">
          <cell r="A143" t="str">
            <v>C342</v>
          </cell>
          <cell r="B143" t="str">
            <v>1-1/4"x1/2" BRASS TEE</v>
          </cell>
          <cell r="C143" t="str">
            <v>CPVC FITTING</v>
          </cell>
          <cell r="D143">
            <v>79.8</v>
          </cell>
        </row>
        <row r="144">
          <cell r="A144" t="str">
            <v>C344</v>
          </cell>
          <cell r="B144" t="str">
            <v>1-1/4" BRASS TEE</v>
          </cell>
          <cell r="C144" t="str">
            <v>CPVC FITTING</v>
          </cell>
          <cell r="D144">
            <v>109</v>
          </cell>
        </row>
        <row r="145">
          <cell r="A145" t="str">
            <v>C502</v>
          </cell>
          <cell r="B145" t="str">
            <v>3/4" 45⁰ ELBOW</v>
          </cell>
          <cell r="C145" t="str">
            <v>CPVC FITTING</v>
          </cell>
          <cell r="D145">
            <v>16.8</v>
          </cell>
        </row>
        <row r="146">
          <cell r="A146" t="str">
            <v>C503</v>
          </cell>
          <cell r="B146" t="str">
            <v>1" 45⁰ ELBOW</v>
          </cell>
          <cell r="C146" t="str">
            <v>CPVC FITTING</v>
          </cell>
          <cell r="D146">
            <v>29</v>
          </cell>
        </row>
        <row r="147">
          <cell r="A147" t="str">
            <v>C504</v>
          </cell>
          <cell r="B147" t="str">
            <v>1-1/4" 45⁰ ELBOW</v>
          </cell>
          <cell r="C147" t="str">
            <v>CPVC FITTING</v>
          </cell>
          <cell r="D147">
            <v>45.3</v>
          </cell>
        </row>
        <row r="148">
          <cell r="A148" t="str">
            <v>C505</v>
          </cell>
          <cell r="B148" t="str">
            <v>1-1/2" 45° ELBOW</v>
          </cell>
          <cell r="C148" t="str">
            <v>CPVC FITTING</v>
          </cell>
          <cell r="D148">
            <v>76</v>
          </cell>
        </row>
        <row r="149">
          <cell r="A149" t="str">
            <v>C506</v>
          </cell>
          <cell r="B149" t="str">
            <v>2" 45° ELBOW</v>
          </cell>
          <cell r="C149" t="str">
            <v>CPVC FITTING</v>
          </cell>
          <cell r="D149">
            <v>162.5</v>
          </cell>
        </row>
        <row r="150">
          <cell r="A150" t="str">
            <v>C521</v>
          </cell>
          <cell r="B150" t="str">
            <v>3/4"x1/2" 90⁰ BRASS ELBOW</v>
          </cell>
          <cell r="C150" t="str">
            <v>CPVC FITTING</v>
          </cell>
          <cell r="D150">
            <v>29.5</v>
          </cell>
        </row>
        <row r="151">
          <cell r="A151" t="str">
            <v>C523</v>
          </cell>
          <cell r="B151" t="str">
            <v>1"x1/2" BRASS 90° ELBOW</v>
          </cell>
          <cell r="C151" t="str">
            <v>CPVC FITTING</v>
          </cell>
          <cell r="D151">
            <v>36.5</v>
          </cell>
        </row>
        <row r="152">
          <cell r="A152" t="str">
            <v>C524</v>
          </cell>
          <cell r="B152" t="str">
            <v>1"x3/4" BRASS 90° ELBOW</v>
          </cell>
          <cell r="C152" t="str">
            <v>CPVC FITTING</v>
          </cell>
          <cell r="D152">
            <v>40</v>
          </cell>
        </row>
        <row r="153">
          <cell r="A153" t="str">
            <v>C526</v>
          </cell>
          <cell r="B153" t="str">
            <v>1/2" BRASS 90° ELBOW</v>
          </cell>
          <cell r="C153" t="str">
            <v>CPVC FITTING</v>
          </cell>
          <cell r="D153">
            <v>21.75</v>
          </cell>
        </row>
        <row r="154">
          <cell r="A154" t="str">
            <v>C527</v>
          </cell>
          <cell r="B154" t="str">
            <v>3/4" BRASS 90° ELBOW</v>
          </cell>
          <cell r="C154" t="str">
            <v>CPVC FITTING</v>
          </cell>
          <cell r="D154">
            <v>29.549999999999997</v>
          </cell>
        </row>
        <row r="155">
          <cell r="A155" t="str">
            <v>C528</v>
          </cell>
          <cell r="B155" t="str">
            <v>1" BRASS 90° ELBOW</v>
          </cell>
          <cell r="C155" t="str">
            <v>CPVC FITTING</v>
          </cell>
          <cell r="D155">
            <v>46.5</v>
          </cell>
        </row>
        <row r="156">
          <cell r="A156" t="str">
            <v>C529</v>
          </cell>
          <cell r="B156" t="str">
            <v>1-1/4" BRASS 90° ELBOW</v>
          </cell>
          <cell r="C156" t="str">
            <v>CPVC FITTING</v>
          </cell>
          <cell r="D156">
            <v>89.5</v>
          </cell>
        </row>
        <row r="157">
          <cell r="A157" t="str">
            <v>C601</v>
          </cell>
          <cell r="B157" t="str">
            <v>1/2" END CAP</v>
          </cell>
          <cell r="C157" t="str">
            <v>CPVC FITTING</v>
          </cell>
          <cell r="D157">
            <v>5.3</v>
          </cell>
        </row>
        <row r="158">
          <cell r="A158" t="str">
            <v>C602</v>
          </cell>
          <cell r="B158" t="str">
            <v>3/4"  END CAP</v>
          </cell>
          <cell r="C158" t="str">
            <v>CPVC FITTING</v>
          </cell>
          <cell r="D158">
            <v>7.65</v>
          </cell>
        </row>
        <row r="159">
          <cell r="A159" t="str">
            <v>C603</v>
          </cell>
          <cell r="B159" t="str">
            <v>1" END CAP</v>
          </cell>
          <cell r="C159" t="str">
            <v>CPVC FITTING</v>
          </cell>
          <cell r="D159">
            <v>15.675000000000001</v>
          </cell>
        </row>
        <row r="160">
          <cell r="A160" t="str">
            <v>C604</v>
          </cell>
          <cell r="B160" t="str">
            <v>1-1/4" END CAP</v>
          </cell>
          <cell r="C160" t="str">
            <v>CPVC FITTING</v>
          </cell>
          <cell r="D160">
            <v>27.5</v>
          </cell>
        </row>
        <row r="161">
          <cell r="A161" t="str">
            <v>C605</v>
          </cell>
          <cell r="B161" t="str">
            <v>1-1/2" END CAP</v>
          </cell>
          <cell r="C161" t="str">
            <v>CPVC FITTING</v>
          </cell>
          <cell r="D161">
            <v>41</v>
          </cell>
        </row>
        <row r="162">
          <cell r="A162" t="str">
            <v>C606</v>
          </cell>
          <cell r="B162" t="str">
            <v>2" END CAP</v>
          </cell>
          <cell r="C162" t="str">
            <v>CPVC FITTING</v>
          </cell>
          <cell r="D162">
            <v>87</v>
          </cell>
        </row>
        <row r="163">
          <cell r="A163" t="str">
            <v>C607</v>
          </cell>
          <cell r="B163" t="str">
            <v>2-1/2" END CAP</v>
          </cell>
          <cell r="C163" t="str">
            <v>CPVC FITTING</v>
          </cell>
          <cell r="D163">
            <v>203</v>
          </cell>
        </row>
        <row r="164">
          <cell r="A164" t="str">
            <v>C608</v>
          </cell>
          <cell r="B164" t="str">
            <v>3" END CAP</v>
          </cell>
          <cell r="C164" t="str">
            <v>CPVC FITTING</v>
          </cell>
          <cell r="D164">
            <v>289</v>
          </cell>
        </row>
        <row r="165">
          <cell r="A165" t="str">
            <v>C609</v>
          </cell>
          <cell r="B165" t="str">
            <v>4" END CAP</v>
          </cell>
          <cell r="C165" t="str">
            <v>CPVC FITTING</v>
          </cell>
          <cell r="D165">
            <v>505</v>
          </cell>
        </row>
        <row r="166">
          <cell r="A166" t="str">
            <v>C702</v>
          </cell>
          <cell r="B166" t="str">
            <v>3/4" TRANS. BUSH</v>
          </cell>
          <cell r="C166" t="str">
            <v>CPVC FITTING</v>
          </cell>
          <cell r="D166">
            <v>29.3</v>
          </cell>
        </row>
        <row r="167">
          <cell r="A167" t="str">
            <v>C703</v>
          </cell>
          <cell r="B167" t="str">
            <v>1" TRANS. BUSH</v>
          </cell>
          <cell r="C167" t="str">
            <v>CPVC FITTING</v>
          </cell>
          <cell r="D167">
            <v>25</v>
          </cell>
        </row>
        <row r="168">
          <cell r="A168" t="str">
            <v>C703N</v>
          </cell>
          <cell r="B168" t="str">
            <v>1" TRANS. BUSH</v>
          </cell>
          <cell r="C168" t="str">
            <v>CPVC FITTING</v>
          </cell>
          <cell r="D168">
            <v>12.9</v>
          </cell>
        </row>
        <row r="169">
          <cell r="A169" t="str">
            <v>C704</v>
          </cell>
          <cell r="B169" t="str">
            <v>1-1/4" TRANS. BUSH</v>
          </cell>
          <cell r="C169" t="str">
            <v>CPVC FITTING</v>
          </cell>
          <cell r="D169">
            <v>36.5</v>
          </cell>
        </row>
        <row r="170">
          <cell r="A170" t="str">
            <v>C731</v>
          </cell>
          <cell r="B170" t="str">
            <v>1"X1/2" MABT</v>
          </cell>
          <cell r="C170" t="str">
            <v>CPVC FITTING</v>
          </cell>
          <cell r="D170">
            <v>16.3</v>
          </cell>
        </row>
        <row r="171">
          <cell r="A171" t="str">
            <v>C732</v>
          </cell>
          <cell r="B171" t="str">
            <v>1"X3/4" MABT</v>
          </cell>
          <cell r="C171" t="str">
            <v>CPVC FITTING</v>
          </cell>
          <cell r="D171">
            <v>19</v>
          </cell>
        </row>
        <row r="172">
          <cell r="A172" t="str">
            <v>C-821</v>
          </cell>
          <cell r="B172" t="str">
            <v>3/4"X1/2" RED. BUSH</v>
          </cell>
          <cell r="C172" t="str">
            <v>CPVC FITTING</v>
          </cell>
          <cell r="D172">
            <v>7.5</v>
          </cell>
        </row>
        <row r="173">
          <cell r="A173" t="str">
            <v>C832</v>
          </cell>
          <cell r="B173" t="str">
            <v>1"x3/4" RED. BUSH</v>
          </cell>
          <cell r="C173" t="str">
            <v>CPVC FITTING</v>
          </cell>
          <cell r="D173">
            <v>12.25</v>
          </cell>
        </row>
        <row r="174">
          <cell r="A174" t="str">
            <v>C841</v>
          </cell>
          <cell r="B174" t="str">
            <v>1-1/4"x1/2" RED. BUSH</v>
          </cell>
          <cell r="C174" t="str">
            <v>CPVC FITTING</v>
          </cell>
          <cell r="D174">
            <v>23.65</v>
          </cell>
        </row>
        <row r="175">
          <cell r="A175" t="str">
            <v>C842</v>
          </cell>
          <cell r="B175" t="str">
            <v>1-1/4"x3/4" RED. BUSH</v>
          </cell>
          <cell r="C175" t="str">
            <v>CPVC FITTING</v>
          </cell>
          <cell r="D175">
            <v>24.75</v>
          </cell>
        </row>
        <row r="176">
          <cell r="A176" t="str">
            <v>C843</v>
          </cell>
          <cell r="B176" t="str">
            <v>1-1/4"x1" RED. BUSH</v>
          </cell>
          <cell r="C176" t="str">
            <v>CPVC FITTING</v>
          </cell>
          <cell r="D176">
            <v>17.7</v>
          </cell>
        </row>
        <row r="177">
          <cell r="A177" t="str">
            <v>C851</v>
          </cell>
          <cell r="B177" t="str">
            <v>1-1/2"x1/2" RED. BUSH</v>
          </cell>
          <cell r="C177" t="str">
            <v>CPVC FITTING</v>
          </cell>
          <cell r="D177">
            <v>34.5</v>
          </cell>
        </row>
        <row r="178">
          <cell r="A178" t="str">
            <v>C852</v>
          </cell>
          <cell r="B178" t="str">
            <v>1-1/2"x3/4" RED. BUSH</v>
          </cell>
          <cell r="C178" t="str">
            <v>CPVC FITTING</v>
          </cell>
          <cell r="D178">
            <v>36.75</v>
          </cell>
        </row>
        <row r="179">
          <cell r="A179" t="str">
            <v>C853</v>
          </cell>
          <cell r="B179" t="str">
            <v>1-1/2"x1" RED. BUSH</v>
          </cell>
          <cell r="C179" t="str">
            <v>CPVC FITTING</v>
          </cell>
          <cell r="D179">
            <v>36</v>
          </cell>
        </row>
        <row r="180">
          <cell r="A180" t="str">
            <v>C854</v>
          </cell>
          <cell r="B180" t="str">
            <v>1-1/2"x1-1/4" RED. BUSH</v>
          </cell>
          <cell r="C180" t="str">
            <v>CPVC FITTING</v>
          </cell>
          <cell r="D180">
            <v>24.25</v>
          </cell>
        </row>
        <row r="181">
          <cell r="A181" t="str">
            <v>C862</v>
          </cell>
          <cell r="B181" t="str">
            <v>2"x3/4" RED. BUSH</v>
          </cell>
          <cell r="C181" t="str">
            <v>CPVC FITTING</v>
          </cell>
          <cell r="D181">
            <v>77.5</v>
          </cell>
        </row>
        <row r="182">
          <cell r="A182" t="str">
            <v>C863</v>
          </cell>
          <cell r="B182" t="str">
            <v>2"x1" RED. BUSH</v>
          </cell>
          <cell r="C182" t="str">
            <v>CPVC FITTING</v>
          </cell>
          <cell r="D182">
            <v>77</v>
          </cell>
        </row>
        <row r="183">
          <cell r="A183" t="str">
            <v>C864</v>
          </cell>
          <cell r="B183" t="str">
            <v>2"x1-1/4" RED. BUSH</v>
          </cell>
          <cell r="C183" t="str">
            <v>CPVC FITTING</v>
          </cell>
          <cell r="D183">
            <v>81.5</v>
          </cell>
        </row>
        <row r="184">
          <cell r="A184" t="str">
            <v>C865</v>
          </cell>
          <cell r="B184" t="str">
            <v>2"x1-1/2" RED. BUSH</v>
          </cell>
          <cell r="C184" t="str">
            <v>CPVC FITTING</v>
          </cell>
          <cell r="D184">
            <v>69.5</v>
          </cell>
        </row>
        <row r="185">
          <cell r="A185" t="str">
            <v>C875</v>
          </cell>
          <cell r="B185" t="str">
            <v>2-1/2"X1-1/2" RED. BUSH</v>
          </cell>
          <cell r="C185" t="str">
            <v>CPVC FITTING</v>
          </cell>
          <cell r="D185">
            <v>178.5</v>
          </cell>
        </row>
        <row r="186">
          <cell r="A186" t="str">
            <v>C876</v>
          </cell>
          <cell r="B186" t="str">
            <v>2-1/2"x2" RED. BUSH</v>
          </cell>
          <cell r="C186" t="str">
            <v>CPVC FITTING</v>
          </cell>
          <cell r="D186">
            <v>161</v>
          </cell>
        </row>
        <row r="187">
          <cell r="A187" t="str">
            <v>C886</v>
          </cell>
          <cell r="B187" t="str">
            <v>3"X2" RED. BUSH</v>
          </cell>
          <cell r="C187" t="str">
            <v>CPVC FITTING</v>
          </cell>
          <cell r="D187">
            <v>335</v>
          </cell>
        </row>
        <row r="188">
          <cell r="A188" t="str">
            <v>C887</v>
          </cell>
          <cell r="B188" t="str">
            <v>3"X2-1/2" RED. BUSH</v>
          </cell>
          <cell r="C188" t="str">
            <v>CPVC FITTING</v>
          </cell>
          <cell r="D188">
            <v>239</v>
          </cell>
        </row>
        <row r="189">
          <cell r="A189" t="str">
            <v>C896</v>
          </cell>
          <cell r="B189" t="str">
            <v>4"x2" RED. BUSH</v>
          </cell>
          <cell r="C189" t="str">
            <v>CPVC FITTING</v>
          </cell>
          <cell r="D189">
            <v>499.5</v>
          </cell>
        </row>
        <row r="190">
          <cell r="A190" t="str">
            <v>C897</v>
          </cell>
          <cell r="B190" t="str">
            <v>4"x3" RED. BUSH</v>
          </cell>
          <cell r="C190" t="str">
            <v>CPVC FITTING</v>
          </cell>
          <cell r="D190">
            <v>423</v>
          </cell>
        </row>
        <row r="191">
          <cell r="A191" t="str">
            <v>C898</v>
          </cell>
          <cell r="B191" t="str">
            <v>4"X2-1/2" RED. BUSH</v>
          </cell>
          <cell r="C191" t="str">
            <v>CPVC FITTING</v>
          </cell>
          <cell r="D191">
            <v>574</v>
          </cell>
        </row>
        <row r="192">
          <cell r="A192" t="str">
            <v>C920</v>
          </cell>
          <cell r="B192" t="str">
            <v>3/4"x1/2" BRASS COUPLING</v>
          </cell>
          <cell r="C192" t="str">
            <v>CPVC FITTING</v>
          </cell>
          <cell r="D192">
            <v>19.25</v>
          </cell>
        </row>
        <row r="193">
          <cell r="A193" t="str">
            <v>C921</v>
          </cell>
          <cell r="B193" t="str">
            <v>3/4"x1/2" RED. COUPLING</v>
          </cell>
          <cell r="C193" t="str">
            <v>CPVC FITTING</v>
          </cell>
          <cell r="D193">
            <v>10</v>
          </cell>
        </row>
        <row r="194">
          <cell r="A194" t="str">
            <v>C932</v>
          </cell>
          <cell r="B194" t="str">
            <v>1"x3/4" RED. COUPLING</v>
          </cell>
          <cell r="C194" t="str">
            <v>CPVC FITTING</v>
          </cell>
          <cell r="D194">
            <v>19.5</v>
          </cell>
        </row>
        <row r="195">
          <cell r="A195" t="str">
            <v>C930</v>
          </cell>
          <cell r="B195" t="str">
            <v>1"x1/2" BRASS COUPLING</v>
          </cell>
          <cell r="C195" t="str">
            <v>CPVC FITTING</v>
          </cell>
          <cell r="D195">
            <v>30.5</v>
          </cell>
        </row>
        <row r="196">
          <cell r="A196" t="str">
            <v>C940</v>
          </cell>
          <cell r="B196" t="str">
            <v>1"x3/4" BRASS COUPLING</v>
          </cell>
          <cell r="C196" t="str">
            <v>CPVC FITTING</v>
          </cell>
          <cell r="D196">
            <v>25.5</v>
          </cell>
        </row>
        <row r="197">
          <cell r="A197" t="str">
            <v>C942</v>
          </cell>
          <cell r="B197" t="str">
            <v xml:space="preserve">1-1/4X3/4" RED COUPLER </v>
          </cell>
          <cell r="C197" t="str">
            <v>CPVC FITTING</v>
          </cell>
          <cell r="D197">
            <v>61.15</v>
          </cell>
        </row>
        <row r="198">
          <cell r="A198" t="str">
            <v>C943</v>
          </cell>
          <cell r="B198" t="str">
            <v>1-1/4"x1" RED. COUPLING</v>
          </cell>
          <cell r="C198" t="str">
            <v>CPVC FITTING</v>
          </cell>
          <cell r="D198">
            <v>32</v>
          </cell>
        </row>
        <row r="199">
          <cell r="A199" t="str">
            <v>C953</v>
          </cell>
          <cell r="B199" t="str">
            <v xml:space="preserve">1-1/2X1 RED COUPLER </v>
          </cell>
          <cell r="C199" t="str">
            <v>CPVC FITTING</v>
          </cell>
          <cell r="D199">
            <v>51.5</v>
          </cell>
        </row>
        <row r="200">
          <cell r="A200" t="str">
            <v>C954</v>
          </cell>
          <cell r="B200" t="str">
            <v>1-1/2X1-1/4 RED COUPLER</v>
          </cell>
          <cell r="C200" t="str">
            <v>CPVC FITTING</v>
          </cell>
          <cell r="D200">
            <v>56.9</v>
          </cell>
        </row>
        <row r="201">
          <cell r="A201" t="str">
            <v>PC1</v>
          </cell>
          <cell r="B201" t="str">
            <v>1/2" PIPE CLAMP</v>
          </cell>
          <cell r="C201" t="str">
            <v>CPVC FITTING</v>
          </cell>
          <cell r="D201">
            <v>1.43</v>
          </cell>
        </row>
        <row r="202">
          <cell r="A202" t="str">
            <v>PC2</v>
          </cell>
          <cell r="B202" t="str">
            <v>3/4" PIPE CLAMP</v>
          </cell>
          <cell r="C202" t="str">
            <v>CPVC FITTING</v>
          </cell>
          <cell r="D202">
            <v>1.51</v>
          </cell>
        </row>
        <row r="203">
          <cell r="A203" t="str">
            <v>PC3</v>
          </cell>
          <cell r="B203" t="str">
            <v>1" PIPE CLAMP</v>
          </cell>
          <cell r="C203" t="str">
            <v>CPVC FITTING</v>
          </cell>
          <cell r="D203">
            <v>2.12</v>
          </cell>
        </row>
        <row r="204">
          <cell r="A204" t="str">
            <v>PP1</v>
          </cell>
          <cell r="B204" t="str">
            <v>1/2" THREADING END PLUG</v>
          </cell>
          <cell r="C204" t="str">
            <v>CPVC FITTING</v>
          </cell>
          <cell r="D204">
            <v>15.35</v>
          </cell>
        </row>
        <row r="205">
          <cell r="A205" t="str">
            <v>PP2</v>
          </cell>
          <cell r="B205" t="str">
            <v>3/4" THREADING END PLUG</v>
          </cell>
          <cell r="C205" t="str">
            <v>CPVC FITTING</v>
          </cell>
          <cell r="D205">
            <v>19</v>
          </cell>
        </row>
        <row r="206">
          <cell r="A206" t="str">
            <v>CH72</v>
          </cell>
          <cell r="B206" t="str">
            <v>3/4" CPVC TRIANGLE CONCEALED VALVE</v>
          </cell>
          <cell r="C206" t="str">
            <v>CPVC FITTING</v>
          </cell>
          <cell r="D206">
            <v>53.1</v>
          </cell>
        </row>
        <row r="207">
          <cell r="A207" t="str">
            <v>CH74</v>
          </cell>
          <cell r="B207" t="str">
            <v>3/4" CPVC GREACIA CONCEALED VALVE</v>
          </cell>
          <cell r="C207" t="str">
            <v>CPVC FITTING</v>
          </cell>
          <cell r="D207">
            <v>53.1</v>
          </cell>
        </row>
        <row r="208">
          <cell r="A208" t="str">
            <v>CH76</v>
          </cell>
          <cell r="B208" t="str">
            <v>3/4" CPVC MACASA CONCEALED VALVE</v>
          </cell>
          <cell r="C208" t="str">
            <v>CPVC FITTING</v>
          </cell>
          <cell r="D208">
            <v>53.1</v>
          </cell>
        </row>
        <row r="209">
          <cell r="A209" t="str">
            <v>CH78</v>
          </cell>
          <cell r="B209" t="str">
            <v>3/4" CPVC URBONA CONCEALED VALVE</v>
          </cell>
          <cell r="C209" t="str">
            <v>CPVC FITTING</v>
          </cell>
          <cell r="D209">
            <v>53.1</v>
          </cell>
        </row>
        <row r="210">
          <cell r="A210" t="str">
            <v>CH79</v>
          </cell>
          <cell r="B210" t="str">
            <v>3/4" CPVC SAGA CONCEALED VALVE</v>
          </cell>
          <cell r="C210" t="str">
            <v>CPVC FITTING</v>
          </cell>
          <cell r="D210">
            <v>53.1</v>
          </cell>
        </row>
        <row r="211">
          <cell r="A211" t="str">
            <v>CH80</v>
          </cell>
          <cell r="B211" t="str">
            <v>3/4" CPVC VIVA CONCEALED VALVE</v>
          </cell>
          <cell r="C211" t="str">
            <v>CPVC FITTING</v>
          </cell>
          <cell r="D211">
            <v>53.1</v>
          </cell>
        </row>
        <row r="212">
          <cell r="A212" t="str">
            <v>CH72QS</v>
          </cell>
          <cell r="B212" t="str">
            <v>3/4" CPVC TRIANGLE CONCEALED VALVE</v>
          </cell>
          <cell r="C212" t="str">
            <v>CPVC FITTING</v>
          </cell>
          <cell r="D212">
            <v>53.1</v>
          </cell>
        </row>
        <row r="213">
          <cell r="A213" t="str">
            <v>CH74QS</v>
          </cell>
          <cell r="B213" t="str">
            <v>3/4" CPVC GREACIA CONCEALED VALVE</v>
          </cell>
          <cell r="C213" t="str">
            <v>CPVC FITTING</v>
          </cell>
          <cell r="D213">
            <v>53.1</v>
          </cell>
        </row>
        <row r="214">
          <cell r="A214" t="str">
            <v>CH76QS</v>
          </cell>
          <cell r="B214" t="str">
            <v>3/4" CPVC MACASA CONCEALED VALVE</v>
          </cell>
          <cell r="C214" t="str">
            <v>CPVC FITTING</v>
          </cell>
          <cell r="D214">
            <v>53.1</v>
          </cell>
        </row>
        <row r="215">
          <cell r="A215" t="str">
            <v>CH78QS</v>
          </cell>
          <cell r="B215" t="str">
            <v>3/4" CPVC URBONA CONCEALED VALVE</v>
          </cell>
          <cell r="C215" t="str">
            <v>CPVC FITTING</v>
          </cell>
          <cell r="D215">
            <v>53.1</v>
          </cell>
        </row>
        <row r="216">
          <cell r="A216" t="str">
            <v>CH79QS</v>
          </cell>
          <cell r="B216" t="str">
            <v>3/4" CPVC SAGA CONCEALED VALVE</v>
          </cell>
          <cell r="C216" t="str">
            <v>CPVC FITTING</v>
          </cell>
          <cell r="D216">
            <v>53.1</v>
          </cell>
        </row>
        <row r="217">
          <cell r="A217" t="str">
            <v>CH80QS</v>
          </cell>
          <cell r="B217" t="str">
            <v>3/4" CPVC VIVA CONCEALED VALVE</v>
          </cell>
          <cell r="C217" t="str">
            <v>CPVC FITTING</v>
          </cell>
          <cell r="D217">
            <v>53.1</v>
          </cell>
        </row>
        <row r="218">
          <cell r="A218" t="str">
            <v>CH72F</v>
          </cell>
          <cell r="B218" t="str">
            <v>3/4" CPVC TRIANGLE CONCEALED VALVE</v>
          </cell>
          <cell r="C218" t="str">
            <v>CPVC FITTING</v>
          </cell>
          <cell r="D218">
            <v>68.900000000000006</v>
          </cell>
        </row>
        <row r="219">
          <cell r="A219" t="str">
            <v>CH74F</v>
          </cell>
          <cell r="B219" t="str">
            <v>3/4" CPVC TRIANGLE CONCEALED VALVE</v>
          </cell>
          <cell r="C219" t="str">
            <v>CPVC FITTING</v>
          </cell>
          <cell r="D219">
            <v>68.900000000000006</v>
          </cell>
        </row>
        <row r="220">
          <cell r="A220" t="str">
            <v>CH76F</v>
          </cell>
          <cell r="B220" t="str">
            <v>3/4" CPVC TRIANGLE CONCEALED VALVE</v>
          </cell>
          <cell r="C220" t="str">
            <v>CPVC FITTING</v>
          </cell>
          <cell r="D220">
            <v>68.900000000000006</v>
          </cell>
        </row>
        <row r="221">
          <cell r="A221" t="str">
            <v>CH78F</v>
          </cell>
          <cell r="B221" t="str">
            <v>3/4" CPVC TRIANGLE CONCEALED VALVE</v>
          </cell>
          <cell r="C221" t="str">
            <v>CPVC FITTING</v>
          </cell>
          <cell r="D221">
            <v>68.900000000000006</v>
          </cell>
        </row>
        <row r="222">
          <cell r="A222" t="str">
            <v>CH79F</v>
          </cell>
          <cell r="B222" t="str">
            <v>3/4" CPVC TRIANGLE CONCEALED VALVE</v>
          </cell>
          <cell r="C222" t="str">
            <v>CPVC FITTING</v>
          </cell>
          <cell r="D222">
            <v>68.900000000000006</v>
          </cell>
        </row>
        <row r="223">
          <cell r="A223" t="str">
            <v>CH80F</v>
          </cell>
          <cell r="B223" t="str">
            <v>3/4" CPVC TRIANGLE CONCEALED VALVE</v>
          </cell>
          <cell r="C223" t="str">
            <v>CPVC FITTING</v>
          </cell>
          <cell r="D223">
            <v>68.900000000000006</v>
          </cell>
        </row>
        <row r="224">
          <cell r="A224" t="str">
            <v>CH82F</v>
          </cell>
          <cell r="B224" t="str">
            <v>3/4" CPVC TRIANGLE CONCEALED VALVE</v>
          </cell>
          <cell r="C224" t="str">
            <v>CPVC FITTING</v>
          </cell>
          <cell r="D224">
            <v>68.900000000000006</v>
          </cell>
        </row>
        <row r="225">
          <cell r="A225" t="str">
            <v>CHA72 F</v>
          </cell>
          <cell r="B225" t="str">
            <v>3/4" CPVC TRIANGLE CONCEALED VALVE(Acc.)</v>
          </cell>
          <cell r="C225" t="str">
            <v>CPVC FITTING</v>
          </cell>
          <cell r="D225">
            <v>0</v>
          </cell>
        </row>
        <row r="226">
          <cell r="A226" t="str">
            <v>CF12</v>
          </cell>
          <cell r="B226" t="str">
            <v xml:space="preserve">2-1/2" CPVC SOCKET FLANGE </v>
          </cell>
          <cell r="C226" t="str">
            <v>CPVC FITTING</v>
          </cell>
          <cell r="D226">
            <v>0</v>
          </cell>
        </row>
        <row r="227">
          <cell r="A227" t="str">
            <v>CF13</v>
          </cell>
          <cell r="B227" t="str">
            <v>3" CPVC SOCKET FLANGE</v>
          </cell>
          <cell r="C227" t="str">
            <v>CPVC FITTING</v>
          </cell>
          <cell r="D227">
            <v>692</v>
          </cell>
        </row>
        <row r="228">
          <cell r="A228" t="str">
            <v>CF14</v>
          </cell>
          <cell r="B228" t="str">
            <v>4" CPVC SOCKET FLANGE</v>
          </cell>
          <cell r="C228" t="str">
            <v>CPVC FITTING</v>
          </cell>
          <cell r="D228">
            <v>1277</v>
          </cell>
        </row>
        <row r="229">
          <cell r="A229" t="str">
            <v>C121</v>
          </cell>
          <cell r="B229" t="str">
            <v>1/2" CPVC SHORT BEBD</v>
          </cell>
          <cell r="C229" t="str">
            <v>CPVC FITTING</v>
          </cell>
          <cell r="D229">
            <v>0</v>
          </cell>
        </row>
        <row r="230">
          <cell r="A230" t="str">
            <v>C122</v>
          </cell>
          <cell r="B230" t="str">
            <v>3/4"" CPVC SHORT BEBD</v>
          </cell>
          <cell r="C230" t="str">
            <v>CPVC FITTING</v>
          </cell>
          <cell r="D230">
            <v>38</v>
          </cell>
        </row>
        <row r="231">
          <cell r="A231" t="str">
            <v>C123</v>
          </cell>
          <cell r="B231" t="str">
            <v>1" CPVC SHORT BEBD</v>
          </cell>
          <cell r="C231" t="str">
            <v>CPVC FITTING</v>
          </cell>
          <cell r="D231">
            <v>83</v>
          </cell>
        </row>
        <row r="232">
          <cell r="A232" t="str">
            <v>C124</v>
          </cell>
          <cell r="B232" t="str">
            <v>1-1/4" CPVC SHORT BEBD</v>
          </cell>
          <cell r="C232" t="str">
            <v>CPVC FITTING</v>
          </cell>
          <cell r="D232">
            <v>123</v>
          </cell>
        </row>
        <row r="233">
          <cell r="A233" t="str">
            <v>C125</v>
          </cell>
          <cell r="B233" t="str">
            <v>1-1/2" CPVC SHORT BEBD</v>
          </cell>
          <cell r="C233" t="str">
            <v>CPVC FITTING</v>
          </cell>
          <cell r="D233">
            <v>0</v>
          </cell>
        </row>
        <row r="234">
          <cell r="A234" t="str">
            <v>C126</v>
          </cell>
          <cell r="B234" t="str">
            <v>2" CPVC SHORT BEBD</v>
          </cell>
          <cell r="C234" t="str">
            <v>CPVC FITTING</v>
          </cell>
          <cell r="D234">
            <v>0</v>
          </cell>
        </row>
        <row r="235">
          <cell r="A235" t="str">
            <v>U21</v>
          </cell>
          <cell r="B235" t="str">
            <v>1/2" BALL VALVE</v>
          </cell>
          <cell r="C235" t="str">
            <v>UPVC FITTING</v>
          </cell>
          <cell r="D235">
            <v>74.28</v>
          </cell>
        </row>
        <row r="236">
          <cell r="A236" t="str">
            <v>U22</v>
          </cell>
          <cell r="B236" t="str">
            <v>3/4" BALL VALVE</v>
          </cell>
          <cell r="C236" t="str">
            <v>UPVC FITTING</v>
          </cell>
          <cell r="D236">
            <v>111.4</v>
          </cell>
        </row>
        <row r="237">
          <cell r="A237" t="str">
            <v>U23</v>
          </cell>
          <cell r="B237" t="str">
            <v>1" BALL VALVE</v>
          </cell>
          <cell r="C237" t="str">
            <v>UPVC FITTING</v>
          </cell>
          <cell r="D237">
            <v>184.2</v>
          </cell>
        </row>
        <row r="238">
          <cell r="A238" t="str">
            <v>U24</v>
          </cell>
          <cell r="B238" t="str">
            <v>1-1/4" BALL VALVE</v>
          </cell>
          <cell r="C238" t="str">
            <v>UPVC FITTING</v>
          </cell>
          <cell r="D238">
            <v>268.69</v>
          </cell>
        </row>
        <row r="239">
          <cell r="A239" t="str">
            <v>U25</v>
          </cell>
          <cell r="B239" t="str">
            <v>1-1/2" BALL VALVE</v>
          </cell>
          <cell r="C239" t="str">
            <v>UPVC FITTING</v>
          </cell>
          <cell r="D239">
            <v>366.04</v>
          </cell>
        </row>
        <row r="240">
          <cell r="A240" t="str">
            <v>U26</v>
          </cell>
          <cell r="B240" t="str">
            <v>2" BALL VALVE</v>
          </cell>
          <cell r="C240" t="str">
            <v>UPVC FITTING</v>
          </cell>
          <cell r="D240">
            <v>601.5</v>
          </cell>
        </row>
        <row r="241">
          <cell r="A241" t="str">
            <v>U21-L</v>
          </cell>
          <cell r="B241" t="str">
            <v>1/2" BALL VALVE (long handle)</v>
          </cell>
          <cell r="C241" t="str">
            <v>UPVC FITTING</v>
          </cell>
          <cell r="D241">
            <v>73.540000000000006</v>
          </cell>
        </row>
        <row r="242">
          <cell r="A242" t="str">
            <v>U22-L</v>
          </cell>
          <cell r="B242" t="str">
            <v>3/4" BALL VALVE (long handle)</v>
          </cell>
          <cell r="C242" t="str">
            <v>UPVC FITTING</v>
          </cell>
          <cell r="D242">
            <v>116.99</v>
          </cell>
        </row>
        <row r="243">
          <cell r="A243" t="str">
            <v>U23-L</v>
          </cell>
          <cell r="B243" t="str">
            <v>1" BALL VALVE (long handle)</v>
          </cell>
          <cell r="C243" t="str">
            <v>UPVC FITTING</v>
          </cell>
          <cell r="D243">
            <v>190.97</v>
          </cell>
        </row>
        <row r="244">
          <cell r="A244" t="str">
            <v>U24-L</v>
          </cell>
          <cell r="B244" t="str">
            <v>1-1/4" BALL VALVE (long handle)</v>
          </cell>
          <cell r="C244" t="str">
            <v>UPVC FITTING</v>
          </cell>
          <cell r="D244">
            <v>273.31</v>
          </cell>
        </row>
        <row r="245">
          <cell r="A245" t="str">
            <v>U25-L</v>
          </cell>
          <cell r="B245" t="str">
            <v>1-1/2" BALL VALVE (long handle)</v>
          </cell>
          <cell r="C245" t="str">
            <v>UPVC FITTING</v>
          </cell>
          <cell r="D245">
            <v>374.96</v>
          </cell>
        </row>
        <row r="246">
          <cell r="A246" t="str">
            <v>U26-L</v>
          </cell>
          <cell r="B246" t="str">
            <v>2" BALL VALVE (long handle)</v>
          </cell>
          <cell r="C246" t="str">
            <v>UPVC FITTING</v>
          </cell>
          <cell r="D246">
            <v>601.5</v>
          </cell>
        </row>
        <row r="247">
          <cell r="A247" t="str">
            <v>U27 L</v>
          </cell>
          <cell r="B247" t="str">
            <v>2-1/2" BALL VALVE (long handle)</v>
          </cell>
          <cell r="C247" t="str">
            <v>UPVC FITTING</v>
          </cell>
          <cell r="D247">
            <v>1.3</v>
          </cell>
        </row>
        <row r="248">
          <cell r="A248" t="str">
            <v>U28L</v>
          </cell>
          <cell r="B248" t="str">
            <v>3" BALL VALVE (long handle)</v>
          </cell>
          <cell r="C248" t="str">
            <v>UPVC FITTING</v>
          </cell>
          <cell r="D248">
            <v>1.8959999999999999</v>
          </cell>
        </row>
        <row r="249">
          <cell r="A249" t="str">
            <v>U29 L</v>
          </cell>
          <cell r="B249" t="str">
            <v>4" BALL VALVE (long handle)</v>
          </cell>
          <cell r="C249" t="str">
            <v>UPVC FITTING</v>
          </cell>
          <cell r="D249">
            <v>2.355</v>
          </cell>
        </row>
        <row r="250">
          <cell r="A250" t="str">
            <v>U21T</v>
          </cell>
          <cell r="B250" t="str">
            <v>1/2" UPVC BALL VALVE THR.</v>
          </cell>
          <cell r="C250" t="str">
            <v>UPVC FITTING</v>
          </cell>
          <cell r="D250">
            <v>71.2</v>
          </cell>
        </row>
        <row r="251">
          <cell r="A251" t="str">
            <v>U22T</v>
          </cell>
          <cell r="B251" t="str">
            <v>3/4" UPVC BALL VALVE THR.</v>
          </cell>
          <cell r="C251" t="str">
            <v>UPVC FITTING</v>
          </cell>
          <cell r="D251">
            <v>114.56</v>
          </cell>
        </row>
        <row r="252">
          <cell r="A252" t="str">
            <v>U23T</v>
          </cell>
          <cell r="B252" t="str">
            <v>1" UPVC BALL VALVE THR.</v>
          </cell>
          <cell r="C252" t="str">
            <v>UPVC FITTING</v>
          </cell>
          <cell r="D252">
            <v>181.6</v>
          </cell>
        </row>
        <row r="253">
          <cell r="A253" t="str">
            <v>U24T</v>
          </cell>
          <cell r="B253" t="str">
            <v>1-1/4" UPVC BALL VALVE THR.</v>
          </cell>
          <cell r="C253" t="str">
            <v>UPVC FITTING</v>
          </cell>
          <cell r="D253">
            <v>260</v>
          </cell>
        </row>
        <row r="254">
          <cell r="A254" t="str">
            <v>U25T</v>
          </cell>
          <cell r="B254" t="str">
            <v>1-1/2" UPVC BALL VALVE THR.</v>
          </cell>
          <cell r="C254" t="str">
            <v>UPVC FITTING</v>
          </cell>
          <cell r="D254">
            <v>399.86</v>
          </cell>
        </row>
        <row r="255">
          <cell r="A255" t="str">
            <v>U26T</v>
          </cell>
          <cell r="B255" t="str">
            <v>2" UPVC BALL VALVE THR.</v>
          </cell>
          <cell r="C255" t="str">
            <v>UPVC FITTING</v>
          </cell>
          <cell r="D255">
            <v>601.5</v>
          </cell>
        </row>
        <row r="256">
          <cell r="A256" t="str">
            <v>U21TL</v>
          </cell>
          <cell r="B256" t="str">
            <v>1/2" UPVC BALL VALVE  THR. (LONG LEVER )</v>
          </cell>
          <cell r="C256" t="str">
            <v>UPVC FITTING</v>
          </cell>
          <cell r="D256">
            <v>0</v>
          </cell>
        </row>
        <row r="257">
          <cell r="A257" t="str">
            <v>U22TL</v>
          </cell>
          <cell r="B257" t="str">
            <v>3/4" UPVC BALL VALVE  THR. (LONG LEVER )</v>
          </cell>
          <cell r="C257" t="str">
            <v>UPVC FITTING</v>
          </cell>
          <cell r="D257">
            <v>0</v>
          </cell>
        </row>
        <row r="258">
          <cell r="A258" t="str">
            <v>U23TL</v>
          </cell>
          <cell r="B258" t="str">
            <v>1" UPVC BALL VALVE  THR. (LONG LEVER )</v>
          </cell>
          <cell r="C258" t="str">
            <v>UPVC FITTING</v>
          </cell>
          <cell r="D258">
            <v>0</v>
          </cell>
        </row>
        <row r="259">
          <cell r="A259" t="str">
            <v>U24TL</v>
          </cell>
          <cell r="B259" t="str">
            <v>1-1/4" UPVC BALL VALVE  THR. (LONG LEVER )</v>
          </cell>
          <cell r="C259" t="str">
            <v>UPVC FITTING</v>
          </cell>
          <cell r="D259">
            <v>0</v>
          </cell>
        </row>
        <row r="260">
          <cell r="A260" t="str">
            <v>U25TL</v>
          </cell>
          <cell r="B260" t="str">
            <v>1-1/2" UPVC BALL VALVE  THR. (LONG LEVER )</v>
          </cell>
          <cell r="C260" t="str">
            <v>UPVC FITTING</v>
          </cell>
          <cell r="D260">
            <v>0</v>
          </cell>
        </row>
        <row r="261">
          <cell r="A261" t="str">
            <v>U26TL</v>
          </cell>
          <cell r="B261" t="str">
            <v>2" UPVC BALL VALVE  THR. (LONG LEVER )</v>
          </cell>
          <cell r="C261" t="str">
            <v>UPVC FITTING</v>
          </cell>
          <cell r="D261">
            <v>0</v>
          </cell>
        </row>
        <row r="262">
          <cell r="A262" t="str">
            <v>U22N</v>
          </cell>
          <cell r="B262" t="str">
            <v>3/4" BALL VALVE (long handle)</v>
          </cell>
          <cell r="C262" t="str">
            <v>UPVC FITTING</v>
          </cell>
          <cell r="D262">
            <v>112</v>
          </cell>
        </row>
        <row r="263">
          <cell r="A263" t="str">
            <v>U23N</v>
          </cell>
          <cell r="B263" t="str">
            <v>1" BALL VALVE (long handle)</v>
          </cell>
          <cell r="C263" t="str">
            <v>UPVC FITTING</v>
          </cell>
          <cell r="D263">
            <v>167</v>
          </cell>
        </row>
        <row r="264">
          <cell r="A264" t="str">
            <v>U24N</v>
          </cell>
          <cell r="B264" t="str">
            <v>1-1/4" BALL VALVE (long handle)</v>
          </cell>
          <cell r="C264" t="str">
            <v>UPVC FITTING</v>
          </cell>
          <cell r="D264">
            <v>276</v>
          </cell>
        </row>
        <row r="265">
          <cell r="A265" t="str">
            <v>U25N</v>
          </cell>
          <cell r="B265" t="str">
            <v>1-1/2" BALL VALVE (long handle)</v>
          </cell>
          <cell r="C265" t="str">
            <v>UPVC FITTING</v>
          </cell>
          <cell r="D265">
            <v>890</v>
          </cell>
        </row>
        <row r="266">
          <cell r="A266" t="str">
            <v>U26N</v>
          </cell>
          <cell r="B266" t="str">
            <v>2" BALL VALVE (long handle)</v>
          </cell>
          <cell r="C266" t="str">
            <v>UPVC FITTING</v>
          </cell>
          <cell r="D266">
            <v>0</v>
          </cell>
        </row>
        <row r="267">
          <cell r="A267" t="str">
            <v>U22NL</v>
          </cell>
          <cell r="B267" t="str">
            <v>3/4" BALL VALVE (long handle)</v>
          </cell>
          <cell r="C267" t="str">
            <v>UPVC FITTING</v>
          </cell>
          <cell r="D267">
            <v>112</v>
          </cell>
        </row>
        <row r="268">
          <cell r="A268" t="str">
            <v>U23NL</v>
          </cell>
          <cell r="B268" t="str">
            <v>1" BALL VALVE (long handle)</v>
          </cell>
          <cell r="C268" t="str">
            <v>UPVC FITTING</v>
          </cell>
          <cell r="D268">
            <v>172.8</v>
          </cell>
        </row>
        <row r="269">
          <cell r="A269" t="str">
            <v>U24NL</v>
          </cell>
          <cell r="B269" t="str">
            <v>1-1/4" BALL VALVE (long handle)</v>
          </cell>
          <cell r="C269" t="str">
            <v>UPVC FITTING</v>
          </cell>
          <cell r="D269">
            <v>276.89999999999998</v>
          </cell>
        </row>
        <row r="270">
          <cell r="A270" t="str">
            <v>U25NL</v>
          </cell>
          <cell r="B270" t="str">
            <v>1-1/2" BALL VALVE (long handle)</v>
          </cell>
          <cell r="C270" t="str">
            <v>UPVC FITTING</v>
          </cell>
          <cell r="D270">
            <v>446.5</v>
          </cell>
        </row>
        <row r="271">
          <cell r="A271" t="str">
            <v>U26NL</v>
          </cell>
          <cell r="B271" t="str">
            <v>2" BALL VALVE (long handle)</v>
          </cell>
          <cell r="C271" t="str">
            <v>UPVC FITTING</v>
          </cell>
          <cell r="D271">
            <v>0</v>
          </cell>
        </row>
        <row r="272">
          <cell r="A272" t="str">
            <v>U121</v>
          </cell>
          <cell r="B272" t="str">
            <v>1/2" UPVC SHORT BEBD</v>
          </cell>
          <cell r="C272" t="str">
            <v>UPVC FITTING</v>
          </cell>
          <cell r="D272">
            <v>52</v>
          </cell>
        </row>
        <row r="273">
          <cell r="A273" t="str">
            <v>U122</v>
          </cell>
          <cell r="B273" t="str">
            <v>3/4"" UPVC SHORT BEBD</v>
          </cell>
          <cell r="C273" t="str">
            <v>UPVC FITTING</v>
          </cell>
          <cell r="D273">
            <v>70.400000000000006</v>
          </cell>
        </row>
        <row r="274">
          <cell r="A274" t="str">
            <v>U123</v>
          </cell>
          <cell r="B274" t="str">
            <v>1" UPVC SHORT BEBD</v>
          </cell>
          <cell r="C274" t="str">
            <v>UPVC FITTING</v>
          </cell>
          <cell r="D274">
            <v>124</v>
          </cell>
        </row>
        <row r="275">
          <cell r="A275" t="str">
            <v>U124</v>
          </cell>
          <cell r="B275" t="str">
            <v>1-1/4" UPVC SHORT BEBD</v>
          </cell>
          <cell r="C275" t="str">
            <v>UPVC FITTING</v>
          </cell>
          <cell r="D275">
            <v>0</v>
          </cell>
        </row>
        <row r="276">
          <cell r="A276" t="str">
            <v>U125</v>
          </cell>
          <cell r="B276" t="str">
            <v>1-1/2" UPVC SHORT BEBD</v>
          </cell>
          <cell r="C276" t="str">
            <v>UPVC FITTING</v>
          </cell>
          <cell r="D276">
            <v>0</v>
          </cell>
        </row>
        <row r="277">
          <cell r="A277" t="str">
            <v>U126</v>
          </cell>
          <cell r="B277" t="str">
            <v>2" UPVC SHORT BEBD</v>
          </cell>
          <cell r="C277" t="str">
            <v>UPVC FITTING</v>
          </cell>
          <cell r="D277">
            <v>0</v>
          </cell>
        </row>
        <row r="278">
          <cell r="A278" t="str">
            <v>U31</v>
          </cell>
          <cell r="B278" t="str">
            <v>1/2" UNION</v>
          </cell>
          <cell r="C278" t="str">
            <v>UPVC FITTING</v>
          </cell>
          <cell r="D278">
            <v>56.949999999999996</v>
          </cell>
        </row>
        <row r="279">
          <cell r="A279" t="str">
            <v>U32</v>
          </cell>
          <cell r="B279" t="str">
            <v>3/4" UNION</v>
          </cell>
          <cell r="C279" t="str">
            <v>UPVC FITTING</v>
          </cell>
          <cell r="D279">
            <v>76.849999999999994</v>
          </cell>
        </row>
        <row r="280">
          <cell r="A280" t="str">
            <v>U33</v>
          </cell>
          <cell r="B280" t="str">
            <v xml:space="preserve">1" UNION </v>
          </cell>
          <cell r="C280" t="str">
            <v>UPVC FITTING</v>
          </cell>
          <cell r="D280">
            <v>107.65</v>
          </cell>
        </row>
        <row r="281">
          <cell r="A281" t="str">
            <v>U34</v>
          </cell>
          <cell r="B281" t="str">
            <v>1-1/4" UNION</v>
          </cell>
          <cell r="C281" t="str">
            <v>UPVC FITTING</v>
          </cell>
          <cell r="D281">
            <v>164</v>
          </cell>
        </row>
        <row r="282">
          <cell r="A282" t="str">
            <v>U35</v>
          </cell>
          <cell r="B282" t="str">
            <v xml:space="preserve">1-1/2" UNION </v>
          </cell>
          <cell r="C282" t="str">
            <v>UPVC FITTING</v>
          </cell>
          <cell r="D282">
            <v>286.5</v>
          </cell>
        </row>
        <row r="283">
          <cell r="A283" t="str">
            <v>U36</v>
          </cell>
          <cell r="B283" t="str">
            <v xml:space="preserve">2" UNION </v>
          </cell>
          <cell r="C283" t="str">
            <v>UPVC FITTING</v>
          </cell>
          <cell r="D283">
            <v>500.9</v>
          </cell>
        </row>
        <row r="284">
          <cell r="A284" t="str">
            <v>U37</v>
          </cell>
          <cell r="B284" t="str">
            <v xml:space="preserve">2-1/2" UNION </v>
          </cell>
          <cell r="C284" t="str">
            <v>UPVC FITTING</v>
          </cell>
          <cell r="D284">
            <v>873</v>
          </cell>
        </row>
        <row r="285">
          <cell r="A285" t="str">
            <v>U38</v>
          </cell>
          <cell r="B285" t="str">
            <v xml:space="preserve">3" UNION </v>
          </cell>
          <cell r="C285" t="str">
            <v>UPVC FITTING</v>
          </cell>
          <cell r="D285">
            <v>1339.9</v>
          </cell>
        </row>
        <row r="286">
          <cell r="A286" t="str">
            <v>U39</v>
          </cell>
          <cell r="B286" t="str">
            <v xml:space="preserve">4" UNION </v>
          </cell>
          <cell r="C286" t="str">
            <v>UPVC FITTING</v>
          </cell>
          <cell r="D286">
            <v>2281</v>
          </cell>
        </row>
        <row r="287">
          <cell r="A287" t="str">
            <v>U272</v>
          </cell>
          <cell r="B287" t="str">
            <v>3/4" TANK NIPPLE</v>
          </cell>
          <cell r="C287" t="str">
            <v>UPVC FITTING</v>
          </cell>
          <cell r="D287">
            <v>71.3</v>
          </cell>
        </row>
        <row r="288">
          <cell r="A288" t="str">
            <v>U273</v>
          </cell>
          <cell r="B288" t="str">
            <v>1" TANK NIPPLE</v>
          </cell>
          <cell r="C288" t="str">
            <v>UPVC FITTING</v>
          </cell>
          <cell r="D288">
            <v>78.5</v>
          </cell>
        </row>
        <row r="289">
          <cell r="A289" t="str">
            <v>U274</v>
          </cell>
          <cell r="B289" t="str">
            <v>1-1/4" TANK NIPPLE</v>
          </cell>
          <cell r="C289" t="str">
            <v>UPVC FITTING</v>
          </cell>
          <cell r="D289">
            <v>111.1</v>
          </cell>
        </row>
        <row r="290">
          <cell r="A290" t="str">
            <v>U275</v>
          </cell>
          <cell r="B290" t="str">
            <v>1-1/2" TANK NIPPLE</v>
          </cell>
          <cell r="C290" t="str">
            <v>UPVC FITTING</v>
          </cell>
          <cell r="D290">
            <v>127</v>
          </cell>
        </row>
        <row r="291">
          <cell r="A291" t="str">
            <v>U276</v>
          </cell>
          <cell r="B291" t="str">
            <v>2" TANK NIPPLE</v>
          </cell>
          <cell r="C291" t="str">
            <v>UPVC FITTING</v>
          </cell>
          <cell r="D291">
            <v>206</v>
          </cell>
        </row>
        <row r="292">
          <cell r="A292" t="str">
            <v>U272N</v>
          </cell>
          <cell r="B292" t="str">
            <v>3/4" TANK NIPPLE (NEW)</v>
          </cell>
          <cell r="C292" t="str">
            <v>UPVC FITTING</v>
          </cell>
          <cell r="D292">
            <v>70.8</v>
          </cell>
        </row>
        <row r="293">
          <cell r="A293" t="str">
            <v>U273N</v>
          </cell>
          <cell r="B293" t="str">
            <v>1" TANK NIPPLE (NEW)</v>
          </cell>
          <cell r="C293" t="str">
            <v>UPVC FITTING</v>
          </cell>
          <cell r="D293">
            <v>76.5</v>
          </cell>
        </row>
        <row r="294">
          <cell r="A294" t="str">
            <v>U274N</v>
          </cell>
          <cell r="B294" t="str">
            <v>1-1/4" TANK NIPPLE (NEW)</v>
          </cell>
          <cell r="C294" t="str">
            <v>UPVC FITTING</v>
          </cell>
          <cell r="D294">
            <v>114.25</v>
          </cell>
        </row>
        <row r="295">
          <cell r="A295" t="str">
            <v>U275N</v>
          </cell>
          <cell r="B295" t="str">
            <v>1-1/2" TANK NIPPLE (NEW)</v>
          </cell>
          <cell r="C295" t="str">
            <v>UPVC FITTING</v>
          </cell>
          <cell r="D295">
            <v>161</v>
          </cell>
        </row>
        <row r="296">
          <cell r="A296" t="str">
            <v>U276N</v>
          </cell>
          <cell r="B296" t="str">
            <v>2" TANK NIPPLE (NEW)</v>
          </cell>
          <cell r="C296" t="str">
            <v>UPVC FITTING</v>
          </cell>
          <cell r="D296">
            <v>223</v>
          </cell>
        </row>
        <row r="297">
          <cell r="A297" t="str">
            <v>U277N</v>
          </cell>
          <cell r="B297" t="str">
            <v>2-1/2" TANK NIPPLE (NEW)</v>
          </cell>
          <cell r="C297" t="str">
            <v>UPVC FITTING</v>
          </cell>
          <cell r="D297">
            <v>714</v>
          </cell>
        </row>
        <row r="298">
          <cell r="A298" t="str">
            <v>U278N</v>
          </cell>
          <cell r="B298" t="str">
            <v>3" TANK NIPPLE (NEW)</v>
          </cell>
          <cell r="C298" t="str">
            <v>UPVC FITTING</v>
          </cell>
          <cell r="D298">
            <v>1217</v>
          </cell>
        </row>
        <row r="299">
          <cell r="A299" t="str">
            <v>U279N</v>
          </cell>
          <cell r="B299" t="str">
            <v>4" TANK NIPPLE (NEW)</v>
          </cell>
          <cell r="C299" t="str">
            <v>UPVC FITTING</v>
          </cell>
          <cell r="D299">
            <v>2126</v>
          </cell>
        </row>
        <row r="300">
          <cell r="A300" t="str">
            <v>U252</v>
          </cell>
          <cell r="B300" t="str">
            <v>1-1/2"X3/4" REDUCER TEE</v>
          </cell>
          <cell r="C300" t="str">
            <v>UPVC FITTING</v>
          </cell>
          <cell r="D300">
            <v>246.2</v>
          </cell>
        </row>
        <row r="301">
          <cell r="A301" t="str">
            <v>U254</v>
          </cell>
          <cell r="B301" t="str">
            <v>1-1/2"X1-1/4" REDUCER TEE</v>
          </cell>
          <cell r="C301" t="str">
            <v>UPVC FITTING</v>
          </cell>
          <cell r="D301">
            <v>224.8</v>
          </cell>
        </row>
        <row r="302">
          <cell r="A302" t="str">
            <v>U262</v>
          </cell>
          <cell r="B302" t="str">
            <v>2"X3/4" REDUCER TEE</v>
          </cell>
          <cell r="C302" t="str">
            <v>UPVC FITTING</v>
          </cell>
          <cell r="D302">
            <v>386.8</v>
          </cell>
        </row>
        <row r="303">
          <cell r="A303" t="str">
            <v>U263</v>
          </cell>
          <cell r="B303" t="str">
            <v>2"X1" REDUCER TEE</v>
          </cell>
          <cell r="C303" t="str">
            <v>UPVC FITTING</v>
          </cell>
          <cell r="D303">
            <v>399.47</v>
          </cell>
        </row>
        <row r="304">
          <cell r="A304" t="str">
            <v>U264</v>
          </cell>
          <cell r="B304" t="str">
            <v>2"X1-1/4" REDUCER TEE</v>
          </cell>
          <cell r="C304" t="str">
            <v>UPVC FITTING</v>
          </cell>
          <cell r="D304">
            <v>382.4</v>
          </cell>
        </row>
        <row r="305">
          <cell r="A305" t="str">
            <v>U954</v>
          </cell>
          <cell r="B305" t="str">
            <v>1-1/2"X1-1/4" REDUCER COUPLING</v>
          </cell>
          <cell r="C305" t="str">
            <v>UPVC FITTING</v>
          </cell>
          <cell r="D305">
            <v>121.4</v>
          </cell>
        </row>
        <row r="306">
          <cell r="A306" t="str">
            <v>U961</v>
          </cell>
          <cell r="B306" t="str">
            <v>2"X1/2" REDUCER COUPLING</v>
          </cell>
          <cell r="C306" t="str">
            <v>UPVC FITTING</v>
          </cell>
          <cell r="D306">
            <v>226.85</v>
          </cell>
        </row>
        <row r="307">
          <cell r="A307" t="str">
            <v>U962</v>
          </cell>
          <cell r="B307" t="str">
            <v>2"X3/4" REDUCER COUPLING</v>
          </cell>
          <cell r="C307" t="str">
            <v>UPVC FITTING</v>
          </cell>
          <cell r="D307">
            <v>225.85</v>
          </cell>
        </row>
        <row r="308">
          <cell r="A308" t="str">
            <v>U963</v>
          </cell>
          <cell r="B308" t="str">
            <v>2"X1" REDUCER COUPLING</v>
          </cell>
          <cell r="C308" t="str">
            <v>UPVC FITTING</v>
          </cell>
          <cell r="D308">
            <v>238.52</v>
          </cell>
        </row>
        <row r="309">
          <cell r="A309" t="str">
            <v>U964</v>
          </cell>
          <cell r="B309" t="str">
            <v>2"X1-1/4" REDUCER COUPLING</v>
          </cell>
          <cell r="C309" t="str">
            <v>UPVC FITTING</v>
          </cell>
          <cell r="D309">
            <v>221.45</v>
          </cell>
        </row>
        <row r="310">
          <cell r="A310" t="str">
            <v>U965</v>
          </cell>
          <cell r="B310" t="str">
            <v>2"X1-1/2" REDUCER COUPLING</v>
          </cell>
          <cell r="C310" t="str">
            <v>UPVC FITTING</v>
          </cell>
          <cell r="D310">
            <v>205.25</v>
          </cell>
        </row>
        <row r="311">
          <cell r="A311" t="str">
            <v>U951</v>
          </cell>
          <cell r="B311" t="str">
            <v>1-1/2"x1/2" RED. COUPLING</v>
          </cell>
          <cell r="C311" t="str">
            <v>UPVC FITTING</v>
          </cell>
          <cell r="D311">
            <v>147.05000000000001</v>
          </cell>
        </row>
        <row r="312">
          <cell r="A312" t="str">
            <v>U11</v>
          </cell>
          <cell r="B312" t="str">
            <v>1/2"  SOB</v>
          </cell>
          <cell r="C312" t="str">
            <v>UPVC FITTING</v>
          </cell>
          <cell r="D312">
            <v>58.8</v>
          </cell>
        </row>
        <row r="313">
          <cell r="A313" t="str">
            <v>U12</v>
          </cell>
          <cell r="B313" t="str">
            <v>3/4" SOB</v>
          </cell>
          <cell r="C313" t="str">
            <v>UPVC FITTING</v>
          </cell>
          <cell r="D313">
            <v>103.5</v>
          </cell>
        </row>
        <row r="314">
          <cell r="A314" t="str">
            <v>U13</v>
          </cell>
          <cell r="B314" t="str">
            <v>1" SOB</v>
          </cell>
          <cell r="C314" t="str">
            <v>UPVC FITTING</v>
          </cell>
          <cell r="D314">
            <v>199.3</v>
          </cell>
        </row>
        <row r="315">
          <cell r="A315" t="str">
            <v>U14</v>
          </cell>
          <cell r="B315" t="str">
            <v>1-1/4" SOB</v>
          </cell>
          <cell r="C315" t="str">
            <v>UPVC FITTING</v>
          </cell>
          <cell r="D315">
            <v>267</v>
          </cell>
        </row>
        <row r="316">
          <cell r="A316" t="str">
            <v>U15</v>
          </cell>
          <cell r="B316" t="str">
            <v>1-1/2" SOB</v>
          </cell>
          <cell r="C316" t="str">
            <v>UPVC FITTING</v>
          </cell>
          <cell r="D316">
            <v>463</v>
          </cell>
        </row>
        <row r="317">
          <cell r="A317" t="str">
            <v>UC21</v>
          </cell>
          <cell r="B317" t="str">
            <v>1/2" UPVC PIPE CLAMP</v>
          </cell>
          <cell r="C317" t="str">
            <v>UPVC FITTING</v>
          </cell>
          <cell r="D317">
            <v>4.45</v>
          </cell>
        </row>
        <row r="318">
          <cell r="A318" t="str">
            <v>UC22</v>
          </cell>
          <cell r="B318" t="str">
            <v>3/4" UPVC PIPE CLAMP</v>
          </cell>
          <cell r="C318" t="str">
            <v>UPVC FITTING</v>
          </cell>
          <cell r="D318">
            <v>7.8</v>
          </cell>
        </row>
        <row r="319">
          <cell r="A319" t="str">
            <v>UC23</v>
          </cell>
          <cell r="B319" t="str">
            <v>1" UPVC PIPE CLAMP</v>
          </cell>
          <cell r="C319" t="str">
            <v>UPVC FITTING</v>
          </cell>
          <cell r="D319">
            <v>12.6</v>
          </cell>
        </row>
        <row r="320">
          <cell r="A320" t="str">
            <v>U41</v>
          </cell>
          <cell r="B320" t="str">
            <v>1/2" COUPLING</v>
          </cell>
          <cell r="C320" t="str">
            <v>UPVC FITTING</v>
          </cell>
          <cell r="D320">
            <v>20.75</v>
          </cell>
        </row>
        <row r="321">
          <cell r="A321" t="str">
            <v>U42</v>
          </cell>
          <cell r="B321" t="str">
            <v>3/4" COUPLING</v>
          </cell>
          <cell r="C321" t="str">
            <v>UPVC FITTING</v>
          </cell>
          <cell r="D321">
            <v>29.75</v>
          </cell>
        </row>
        <row r="322">
          <cell r="A322" t="str">
            <v>U43</v>
          </cell>
          <cell r="B322" t="str">
            <v>1" COUPLING</v>
          </cell>
          <cell r="C322" t="str">
            <v>UPVC FITTING</v>
          </cell>
          <cell r="D322">
            <v>47.5</v>
          </cell>
        </row>
        <row r="323">
          <cell r="A323" t="str">
            <v>U44</v>
          </cell>
          <cell r="B323" t="str">
            <v>1-1/4" COUPLING</v>
          </cell>
          <cell r="C323" t="str">
            <v>UPVC FITTING</v>
          </cell>
          <cell r="D323">
            <v>70.349999999999994</v>
          </cell>
        </row>
        <row r="324">
          <cell r="A324" t="str">
            <v>U45</v>
          </cell>
          <cell r="B324" t="str">
            <v>1-1/2" COUPLING</v>
          </cell>
          <cell r="C324" t="str">
            <v>UPVC FITTING</v>
          </cell>
          <cell r="D324">
            <v>90.6</v>
          </cell>
        </row>
        <row r="325">
          <cell r="A325" t="str">
            <v>U46</v>
          </cell>
          <cell r="B325" t="str">
            <v>2" COUPLING</v>
          </cell>
          <cell r="C325" t="str">
            <v>UPVC FITTING</v>
          </cell>
          <cell r="D325">
            <v>133.85</v>
          </cell>
        </row>
        <row r="326">
          <cell r="A326" t="str">
            <v>U47</v>
          </cell>
          <cell r="B326" t="str">
            <v>2-1/2" COUPLING</v>
          </cell>
          <cell r="C326" t="str">
            <v>UPVC FITTING</v>
          </cell>
          <cell r="D326">
            <v>290</v>
          </cell>
        </row>
        <row r="327">
          <cell r="A327" t="str">
            <v>U48</v>
          </cell>
          <cell r="B327" t="str">
            <v>3" COUPLING</v>
          </cell>
          <cell r="C327" t="str">
            <v>UPVC FITTING</v>
          </cell>
          <cell r="D327">
            <v>403.6</v>
          </cell>
        </row>
        <row r="328">
          <cell r="A328" t="str">
            <v>U49</v>
          </cell>
          <cell r="B328" t="str">
            <v>4" COUPLING</v>
          </cell>
          <cell r="C328" t="str">
            <v>UPVC FITTING</v>
          </cell>
          <cell r="D328">
            <v>628.79999999999995</v>
          </cell>
        </row>
        <row r="329">
          <cell r="A329" t="str">
            <v>U49N</v>
          </cell>
          <cell r="B329" t="str">
            <v>6" COUPLING</v>
          </cell>
          <cell r="C329" t="str">
            <v>UPVC FITTING</v>
          </cell>
          <cell r="D329">
            <v>933.5</v>
          </cell>
        </row>
        <row r="330">
          <cell r="A330" t="str">
            <v>U50</v>
          </cell>
          <cell r="B330" t="str">
            <v>3/4"x1/2" 90° ELBOW</v>
          </cell>
          <cell r="C330" t="str">
            <v>UPVC FITTING</v>
          </cell>
          <cell r="D330">
            <v>40.299999999999997</v>
          </cell>
        </row>
        <row r="331">
          <cell r="A331" t="str">
            <v>U51</v>
          </cell>
          <cell r="B331" t="str">
            <v>1/2" 90° ELBOW</v>
          </cell>
          <cell r="C331" t="str">
            <v>UPVC FITTING</v>
          </cell>
          <cell r="D331">
            <v>29.5</v>
          </cell>
        </row>
        <row r="332">
          <cell r="A332" t="str">
            <v>U52</v>
          </cell>
          <cell r="B332" t="str">
            <v>3/4" 90° ELBOW</v>
          </cell>
          <cell r="C332" t="str">
            <v>UPVC FITTING</v>
          </cell>
          <cell r="D332">
            <v>41.25</v>
          </cell>
        </row>
        <row r="333">
          <cell r="A333" t="str">
            <v>U53</v>
          </cell>
          <cell r="B333" t="str">
            <v>1" 90° ELBOW</v>
          </cell>
          <cell r="C333" t="str">
            <v>UPVC FITTING</v>
          </cell>
          <cell r="D333">
            <v>72.95</v>
          </cell>
        </row>
        <row r="334">
          <cell r="A334" t="str">
            <v>U54</v>
          </cell>
          <cell r="B334" t="str">
            <v>1-1/4" 90° ELBOW</v>
          </cell>
          <cell r="C334" t="str">
            <v>UPVC FITTING</v>
          </cell>
          <cell r="D334">
            <v>111.3</v>
          </cell>
        </row>
        <row r="335">
          <cell r="A335" t="str">
            <v>U55</v>
          </cell>
          <cell r="B335" t="str">
            <v>1-1/2" 90° ELBOW</v>
          </cell>
          <cell r="C335" t="str">
            <v>UPVC FITTING</v>
          </cell>
          <cell r="D335">
            <v>146.5</v>
          </cell>
        </row>
        <row r="336">
          <cell r="A336" t="str">
            <v>U56</v>
          </cell>
          <cell r="B336" t="str">
            <v>2" 90° ELBOW</v>
          </cell>
          <cell r="C336" t="str">
            <v>UPVC FITTING</v>
          </cell>
          <cell r="D336">
            <v>216.1</v>
          </cell>
        </row>
        <row r="337">
          <cell r="A337" t="str">
            <v>U57</v>
          </cell>
          <cell r="B337" t="str">
            <v>2-1/2" 90° ELBOW</v>
          </cell>
          <cell r="C337" t="str">
            <v>UPVC FITTING</v>
          </cell>
          <cell r="D337">
            <v>491.5</v>
          </cell>
        </row>
        <row r="338">
          <cell r="A338" t="str">
            <v>U58</v>
          </cell>
          <cell r="B338" t="str">
            <v>3" 90° ELBOW</v>
          </cell>
          <cell r="C338" t="str">
            <v>UPVC FITTING</v>
          </cell>
          <cell r="D338">
            <v>785.8</v>
          </cell>
        </row>
        <row r="339">
          <cell r="A339" t="str">
            <v>U59</v>
          </cell>
          <cell r="B339" t="str">
            <v>4" 90° ELBOW</v>
          </cell>
          <cell r="C339" t="str">
            <v>UPVC FITTING</v>
          </cell>
          <cell r="D339">
            <v>1285</v>
          </cell>
        </row>
        <row r="340">
          <cell r="A340" t="str">
            <v>U59N</v>
          </cell>
          <cell r="B340" t="str">
            <v>6" 90° ELBOW</v>
          </cell>
          <cell r="C340" t="str">
            <v>UPVC FITTING</v>
          </cell>
          <cell r="D340">
            <v>1.89</v>
          </cell>
        </row>
        <row r="341">
          <cell r="A341" t="str">
            <v>U61</v>
          </cell>
          <cell r="B341" t="str">
            <v>1/2" TEE</v>
          </cell>
          <cell r="C341" t="str">
            <v>UPVC FITTING</v>
          </cell>
          <cell r="D341">
            <v>41.7</v>
          </cell>
        </row>
        <row r="342">
          <cell r="A342" t="str">
            <v>U62</v>
          </cell>
          <cell r="B342" t="str">
            <v>3/4" TEE</v>
          </cell>
          <cell r="C342" t="str">
            <v>UPVC FITTING</v>
          </cell>
          <cell r="D342">
            <v>57.2</v>
          </cell>
        </row>
        <row r="343">
          <cell r="A343" t="str">
            <v>U63</v>
          </cell>
          <cell r="B343" t="str">
            <v>1" TEE</v>
          </cell>
          <cell r="C343" t="str">
            <v>UPVC FITTING</v>
          </cell>
          <cell r="D343">
            <v>94</v>
          </cell>
        </row>
        <row r="344">
          <cell r="A344" t="str">
            <v>U64</v>
          </cell>
          <cell r="B344" t="str">
            <v>1-1/4" TEE</v>
          </cell>
          <cell r="C344" t="str">
            <v>UPVC FITTING</v>
          </cell>
          <cell r="D344">
            <v>146.1</v>
          </cell>
        </row>
        <row r="345">
          <cell r="A345" t="str">
            <v>U65</v>
          </cell>
          <cell r="B345" t="str">
            <v>1-1/2" TEE</v>
          </cell>
          <cell r="C345" t="str">
            <v>UPVC FITTING</v>
          </cell>
          <cell r="D345">
            <v>194</v>
          </cell>
        </row>
        <row r="346">
          <cell r="A346" t="str">
            <v>U66</v>
          </cell>
          <cell r="B346" t="str">
            <v>2" TEE</v>
          </cell>
          <cell r="C346" t="str">
            <v>UPVC FITTING</v>
          </cell>
          <cell r="D346">
            <v>294.8</v>
          </cell>
        </row>
        <row r="347">
          <cell r="A347" t="str">
            <v>U67</v>
          </cell>
          <cell r="B347" t="str">
            <v>2-1/2" TEE</v>
          </cell>
          <cell r="C347" t="str">
            <v>UPVC FITTING</v>
          </cell>
          <cell r="D347">
            <v>647.20000000000005</v>
          </cell>
        </row>
        <row r="348">
          <cell r="A348" t="str">
            <v>U68</v>
          </cell>
          <cell r="B348" t="str">
            <v>3" TEE</v>
          </cell>
          <cell r="C348" t="str">
            <v>UPVC FITTING</v>
          </cell>
          <cell r="D348">
            <v>986.9</v>
          </cell>
        </row>
        <row r="349">
          <cell r="A349" t="str">
            <v>U69</v>
          </cell>
          <cell r="B349" t="str">
            <v>4" TEE</v>
          </cell>
          <cell r="C349" t="str">
            <v>UPVC FITTING</v>
          </cell>
          <cell r="D349">
            <v>1605</v>
          </cell>
        </row>
        <row r="350">
          <cell r="A350" t="str">
            <v>U69N</v>
          </cell>
          <cell r="B350" t="str">
            <v>6" TEE</v>
          </cell>
          <cell r="C350" t="str">
            <v>UPVC FITTING</v>
          </cell>
          <cell r="D350">
            <v>2384</v>
          </cell>
        </row>
        <row r="351">
          <cell r="A351" t="str">
            <v>U70</v>
          </cell>
          <cell r="B351" t="str">
            <v>3/4"x1/2" MABT</v>
          </cell>
          <cell r="C351" t="str">
            <v>UPVC FITTING</v>
          </cell>
          <cell r="D351">
            <v>32.25</v>
          </cell>
        </row>
        <row r="352">
          <cell r="A352" t="str">
            <v>U71</v>
          </cell>
          <cell r="B352" t="str">
            <v>1/2" MABT</v>
          </cell>
          <cell r="C352" t="str">
            <v>UPVC FITTING</v>
          </cell>
          <cell r="D352">
            <v>29</v>
          </cell>
        </row>
        <row r="353">
          <cell r="A353" t="str">
            <v>U72</v>
          </cell>
          <cell r="B353" t="str">
            <v>3/4" MABT</v>
          </cell>
          <cell r="C353" t="str">
            <v>UPVC FITTING</v>
          </cell>
          <cell r="D353">
            <v>36.25</v>
          </cell>
        </row>
        <row r="354">
          <cell r="A354" t="str">
            <v>U73</v>
          </cell>
          <cell r="B354" t="str">
            <v>1" MABT</v>
          </cell>
          <cell r="C354" t="str">
            <v>UPVC FITTING</v>
          </cell>
          <cell r="D354">
            <v>67</v>
          </cell>
        </row>
        <row r="355">
          <cell r="A355" t="str">
            <v>U74</v>
          </cell>
          <cell r="B355" t="str">
            <v>1-1/4" MABT</v>
          </cell>
          <cell r="C355" t="str">
            <v>UPVC FITTING</v>
          </cell>
          <cell r="D355">
            <v>80.349999999999994</v>
          </cell>
        </row>
        <row r="356">
          <cell r="A356" t="str">
            <v>U75</v>
          </cell>
          <cell r="B356" t="str">
            <v>1-1/2" MABT</v>
          </cell>
          <cell r="C356" t="str">
            <v>UPVC FITTING</v>
          </cell>
          <cell r="D356">
            <v>96</v>
          </cell>
        </row>
        <row r="357">
          <cell r="A357" t="str">
            <v>U76</v>
          </cell>
          <cell r="B357" t="str">
            <v>2" MABT</v>
          </cell>
          <cell r="C357" t="str">
            <v>UPVC FITTING</v>
          </cell>
          <cell r="D357">
            <v>150.44999999999999</v>
          </cell>
        </row>
        <row r="358">
          <cell r="A358" t="str">
            <v>U731</v>
          </cell>
          <cell r="B358" t="str">
            <v>1"x1/2" MABT</v>
          </cell>
          <cell r="C358" t="str">
            <v>UPVC FITTING</v>
          </cell>
          <cell r="D358">
            <v>41</v>
          </cell>
        </row>
        <row r="359">
          <cell r="A359" t="str">
            <v>U81</v>
          </cell>
          <cell r="B359" t="str">
            <v>1/2" FABT</v>
          </cell>
          <cell r="C359" t="str">
            <v>UPVC FITTING</v>
          </cell>
          <cell r="D359">
            <v>26.62</v>
          </cell>
        </row>
        <row r="360">
          <cell r="A360" t="str">
            <v>U82</v>
          </cell>
          <cell r="B360" t="str">
            <v>3/4" FABT</v>
          </cell>
          <cell r="C360" t="str">
            <v>UPVC FITTING</v>
          </cell>
          <cell r="D360">
            <v>29</v>
          </cell>
        </row>
        <row r="361">
          <cell r="A361" t="str">
            <v>U83</v>
          </cell>
          <cell r="B361" t="str">
            <v>1" FABT</v>
          </cell>
          <cell r="C361" t="str">
            <v>UPVC FITTING</v>
          </cell>
          <cell r="D361">
            <v>57</v>
          </cell>
        </row>
        <row r="362">
          <cell r="A362" t="str">
            <v>U84</v>
          </cell>
          <cell r="B362" t="str">
            <v>1-1/4" FABT</v>
          </cell>
          <cell r="C362" t="str">
            <v>UPVC FITTING</v>
          </cell>
          <cell r="D362">
            <v>80.2</v>
          </cell>
        </row>
        <row r="363">
          <cell r="A363" t="str">
            <v>U85</v>
          </cell>
          <cell r="B363" t="str">
            <v>1-1/2" FABT</v>
          </cell>
          <cell r="C363" t="str">
            <v>UPVC FITTING</v>
          </cell>
          <cell r="D363">
            <v>108</v>
          </cell>
        </row>
        <row r="364">
          <cell r="A364" t="str">
            <v>U86</v>
          </cell>
          <cell r="B364" t="str">
            <v>2" FABT</v>
          </cell>
          <cell r="C364" t="str">
            <v>UPVC FITTING</v>
          </cell>
          <cell r="D364">
            <v>157.19999999999999</v>
          </cell>
        </row>
        <row r="365">
          <cell r="A365" t="str">
            <v>U920</v>
          </cell>
          <cell r="B365" t="str">
            <v>3/4"X1/2" FABT</v>
          </cell>
          <cell r="C365" t="str">
            <v>UPVC FITTING</v>
          </cell>
          <cell r="D365">
            <v>31.75</v>
          </cell>
        </row>
        <row r="366">
          <cell r="A366" t="str">
            <v>U930</v>
          </cell>
          <cell r="B366" t="str">
            <v>1"x1/2" FABT</v>
          </cell>
          <cell r="C366" t="str">
            <v>UPVC FITTING</v>
          </cell>
          <cell r="D366">
            <v>39.049999999999997</v>
          </cell>
        </row>
        <row r="367">
          <cell r="A367" t="str">
            <v>U89</v>
          </cell>
          <cell r="B367" t="str">
            <v>3/4"X1/2" FAPT</v>
          </cell>
          <cell r="C367" t="str">
            <v>UPVC FITTING</v>
          </cell>
          <cell r="D367">
            <v>32.25</v>
          </cell>
        </row>
        <row r="368">
          <cell r="A368" t="str">
            <v>U90</v>
          </cell>
          <cell r="B368" t="str">
            <v>1"X1/2" FAPT</v>
          </cell>
          <cell r="C368" t="str">
            <v>UPVC FITTING</v>
          </cell>
          <cell r="D368">
            <v>57.75</v>
          </cell>
        </row>
        <row r="369">
          <cell r="A369" t="str">
            <v>U91</v>
          </cell>
          <cell r="B369" t="str">
            <v>1/2" FAPT</v>
          </cell>
          <cell r="C369" t="str">
            <v>UPVC FITTING</v>
          </cell>
          <cell r="D369">
            <v>20.55</v>
          </cell>
        </row>
        <row r="370">
          <cell r="A370" t="str">
            <v>U92</v>
          </cell>
          <cell r="B370" t="str">
            <v>3/4" FAPT</v>
          </cell>
          <cell r="C370" t="str">
            <v>UPVC FITTING</v>
          </cell>
          <cell r="D370">
            <v>29.6</v>
          </cell>
        </row>
        <row r="371">
          <cell r="A371" t="str">
            <v>U93</v>
          </cell>
          <cell r="B371" t="str">
            <v>1" FAPT</v>
          </cell>
          <cell r="C371" t="str">
            <v>UPVC FITTING</v>
          </cell>
          <cell r="D371">
            <v>50.25</v>
          </cell>
        </row>
        <row r="372">
          <cell r="A372" t="str">
            <v>U94</v>
          </cell>
          <cell r="B372" t="str">
            <v>1-1/4" FAPT</v>
          </cell>
          <cell r="C372" t="str">
            <v>UPVC FITTING</v>
          </cell>
          <cell r="D372">
            <v>68.7</v>
          </cell>
        </row>
        <row r="373">
          <cell r="A373" t="str">
            <v>U95</v>
          </cell>
          <cell r="B373" t="str">
            <v>1-1/2" FAPT</v>
          </cell>
          <cell r="C373" t="str">
            <v>UPVC FITTING</v>
          </cell>
          <cell r="D373">
            <v>92.7</v>
          </cell>
        </row>
        <row r="374">
          <cell r="A374" t="str">
            <v>U96</v>
          </cell>
          <cell r="B374" t="str">
            <v>2" FAPT</v>
          </cell>
          <cell r="C374" t="str">
            <v>UPVC FITTING</v>
          </cell>
          <cell r="D374">
            <v>129</v>
          </cell>
        </row>
        <row r="375">
          <cell r="A375" t="str">
            <v>U97</v>
          </cell>
          <cell r="B375" t="str">
            <v>2-1/2" FAPT</v>
          </cell>
          <cell r="C375" t="str">
            <v>UPVC FITTING</v>
          </cell>
          <cell r="D375">
            <v>194.9</v>
          </cell>
        </row>
        <row r="376">
          <cell r="A376" t="str">
            <v>U98</v>
          </cell>
          <cell r="B376" t="str">
            <v>3" FAPT</v>
          </cell>
          <cell r="C376" t="str">
            <v>UPVC FITTING</v>
          </cell>
          <cell r="D376">
            <v>333.5</v>
          </cell>
        </row>
        <row r="377">
          <cell r="A377" t="str">
            <v>U99</v>
          </cell>
          <cell r="B377" t="str">
            <v>4" FAPT</v>
          </cell>
          <cell r="C377" t="str">
            <v>UPVC FITTING</v>
          </cell>
          <cell r="D377">
            <v>562.5</v>
          </cell>
        </row>
        <row r="378">
          <cell r="A378" t="str">
            <v>U101</v>
          </cell>
          <cell r="B378" t="str">
            <v>1/2" MAPT</v>
          </cell>
          <cell r="C378" t="str">
            <v>UPVC FITTING</v>
          </cell>
          <cell r="D378">
            <v>14.92</v>
          </cell>
        </row>
        <row r="379">
          <cell r="A379" t="str">
            <v>U102</v>
          </cell>
          <cell r="B379" t="str">
            <v>3/4" MAPT</v>
          </cell>
          <cell r="C379" t="str">
            <v>UPVC FITTING</v>
          </cell>
          <cell r="D379">
            <v>23</v>
          </cell>
        </row>
        <row r="380">
          <cell r="A380" t="str">
            <v>U103</v>
          </cell>
          <cell r="B380" t="str">
            <v>1" MAPT</v>
          </cell>
          <cell r="C380" t="str">
            <v>UPVC FITTING</v>
          </cell>
          <cell r="D380">
            <v>42.5</v>
          </cell>
        </row>
        <row r="381">
          <cell r="A381" t="str">
            <v>U104</v>
          </cell>
          <cell r="B381" t="str">
            <v>1-1/4" MAPT</v>
          </cell>
          <cell r="C381" t="str">
            <v>UPVC FITTING</v>
          </cell>
          <cell r="D381">
            <v>59.75</v>
          </cell>
        </row>
        <row r="382">
          <cell r="A382" t="str">
            <v>U105</v>
          </cell>
          <cell r="B382" t="str">
            <v>1-1/2" MAPT</v>
          </cell>
          <cell r="C382" t="str">
            <v>UPVC FITTING</v>
          </cell>
          <cell r="D382">
            <v>75.2</v>
          </cell>
        </row>
        <row r="383">
          <cell r="A383" t="str">
            <v>U106</v>
          </cell>
          <cell r="B383" t="str">
            <v>2" MAPT</v>
          </cell>
          <cell r="C383" t="str">
            <v>UPVC FITTING</v>
          </cell>
          <cell r="D383">
            <v>109.2</v>
          </cell>
        </row>
        <row r="384">
          <cell r="A384" t="str">
            <v>U107</v>
          </cell>
          <cell r="B384" t="str">
            <v>2-1/2" MAPT</v>
          </cell>
          <cell r="C384" t="str">
            <v>UPVC FITTING</v>
          </cell>
          <cell r="D384">
            <v>201.5</v>
          </cell>
        </row>
        <row r="385">
          <cell r="A385" t="str">
            <v>U108</v>
          </cell>
          <cell r="B385" t="str">
            <v>3" MAPT</v>
          </cell>
          <cell r="C385" t="str">
            <v>UPVC FITTING</v>
          </cell>
          <cell r="D385">
            <v>274.3</v>
          </cell>
        </row>
        <row r="386">
          <cell r="A386" t="str">
            <v>U109</v>
          </cell>
          <cell r="B386" t="str">
            <v>4" MAPT</v>
          </cell>
          <cell r="C386" t="str">
            <v>UPVC FITTING</v>
          </cell>
          <cell r="D386">
            <v>551.5</v>
          </cell>
        </row>
        <row r="387">
          <cell r="A387" t="str">
            <v>U221</v>
          </cell>
          <cell r="B387" t="str">
            <v>3/4"x1/2" RED. TEE</v>
          </cell>
          <cell r="C387" t="str">
            <v>UPVC FITTING</v>
          </cell>
          <cell r="D387">
            <v>54.5</v>
          </cell>
        </row>
        <row r="388">
          <cell r="A388" t="str">
            <v>U231</v>
          </cell>
          <cell r="B388" t="str">
            <v>1"x1/2" RED. TEE</v>
          </cell>
          <cell r="C388" t="str">
            <v>UPVC FITTING</v>
          </cell>
          <cell r="D388">
            <v>85.25</v>
          </cell>
        </row>
        <row r="389">
          <cell r="A389" t="str">
            <v>U232</v>
          </cell>
          <cell r="B389" t="str">
            <v>1"x3/4" RED TEE</v>
          </cell>
          <cell r="C389" t="str">
            <v>UPVC FITTING</v>
          </cell>
          <cell r="D389">
            <v>89</v>
          </cell>
        </row>
        <row r="390">
          <cell r="A390" t="str">
            <v>U241</v>
          </cell>
          <cell r="B390" t="str">
            <v>1-1/4"X1/2" RED TEE</v>
          </cell>
          <cell r="C390" t="str">
            <v>UPVC FITTING</v>
          </cell>
          <cell r="D390">
            <v>128.85</v>
          </cell>
        </row>
        <row r="391">
          <cell r="A391" t="str">
            <v>U242</v>
          </cell>
          <cell r="B391" t="str">
            <v>1-1/4"X3/4" RED TEE</v>
          </cell>
          <cell r="C391" t="str">
            <v>UPVC FITTING</v>
          </cell>
          <cell r="D391">
            <v>130.80000000000001</v>
          </cell>
        </row>
        <row r="392">
          <cell r="A392" t="str">
            <v>U243</v>
          </cell>
          <cell r="B392" t="str">
            <v>1-1/4"X1" RED TEE</v>
          </cell>
          <cell r="C392" t="str">
            <v>UPVC FITTING</v>
          </cell>
          <cell r="D392">
            <v>174.1</v>
          </cell>
        </row>
        <row r="393">
          <cell r="A393" t="str">
            <v>U251</v>
          </cell>
          <cell r="B393" t="str">
            <v>1-1/2"x1/2" RED. TEE</v>
          </cell>
          <cell r="C393" t="str">
            <v>UPVC FITTING</v>
          </cell>
          <cell r="D393">
            <v>165</v>
          </cell>
        </row>
        <row r="394">
          <cell r="A394" t="str">
            <v>U253</v>
          </cell>
          <cell r="B394" t="str">
            <v>1-1/2"x1" RED. TEE</v>
          </cell>
          <cell r="C394" t="str">
            <v>UPVC FITTING</v>
          </cell>
          <cell r="D394">
            <v>169.8</v>
          </cell>
        </row>
        <row r="395">
          <cell r="A395" t="str">
            <v>U261</v>
          </cell>
          <cell r="B395" t="str">
            <v>2"x1/2" RED. TEE</v>
          </cell>
          <cell r="C395" t="str">
            <v>UPVC FITTING</v>
          </cell>
          <cell r="D395">
            <v>242.8</v>
          </cell>
        </row>
        <row r="396">
          <cell r="A396" t="str">
            <v>U265</v>
          </cell>
          <cell r="B396" t="str">
            <v>2"x1-1/2" RED. TEE</v>
          </cell>
          <cell r="C396" t="str">
            <v>UPVC FITTING</v>
          </cell>
          <cell r="D396">
            <v>273</v>
          </cell>
        </row>
        <row r="397">
          <cell r="A397" t="str">
            <v>U310</v>
          </cell>
          <cell r="B397" t="str">
            <v>1/2" CROSS TEE</v>
          </cell>
          <cell r="C397" t="str">
            <v>UPVC FITTING</v>
          </cell>
          <cell r="D397">
            <v>49.77</v>
          </cell>
        </row>
        <row r="398">
          <cell r="A398" t="str">
            <v>U320</v>
          </cell>
          <cell r="B398" t="str">
            <v>3/4" CROSS TEE</v>
          </cell>
          <cell r="C398" t="str">
            <v>UPVC FITTING</v>
          </cell>
          <cell r="D398">
            <v>67.150000000000006</v>
          </cell>
        </row>
        <row r="399">
          <cell r="A399" t="str">
            <v>U330</v>
          </cell>
          <cell r="B399" t="str">
            <v>1" CROSS TEE</v>
          </cell>
          <cell r="C399" t="str">
            <v>UPVC FITTING</v>
          </cell>
          <cell r="D399">
            <v>109.5</v>
          </cell>
        </row>
        <row r="400">
          <cell r="A400" t="str">
            <v>U340</v>
          </cell>
          <cell r="B400" t="str">
            <v>1-1/4" CROSS TEE</v>
          </cell>
          <cell r="C400" t="str">
            <v>UPVC FITTING</v>
          </cell>
          <cell r="D400">
            <v>186.5</v>
          </cell>
        </row>
        <row r="401">
          <cell r="A401" t="str">
            <v>U321</v>
          </cell>
          <cell r="B401" t="str">
            <v>1/2" BRASS TEE</v>
          </cell>
          <cell r="C401" t="str">
            <v>UPVC FITTING</v>
          </cell>
          <cell r="D401">
            <v>46.759999999999991</v>
          </cell>
        </row>
        <row r="402">
          <cell r="A402" t="str">
            <v>U322</v>
          </cell>
          <cell r="B402" t="str">
            <v>3/4"x1/2" BRASS TEE</v>
          </cell>
          <cell r="C402" t="str">
            <v>UPVC FITTING</v>
          </cell>
          <cell r="D402">
            <v>62.62</v>
          </cell>
        </row>
        <row r="403">
          <cell r="A403" t="str">
            <v>U323</v>
          </cell>
          <cell r="B403" t="str">
            <v>1"x1/2" BRASS TEE</v>
          </cell>
          <cell r="C403" t="str">
            <v>UPVC FITTING</v>
          </cell>
          <cell r="D403">
            <v>89.75</v>
          </cell>
        </row>
        <row r="404">
          <cell r="A404" t="str">
            <v>U324</v>
          </cell>
          <cell r="B404" t="str">
            <v>1"x3/4" BRASS TEE</v>
          </cell>
          <cell r="C404" t="str">
            <v>UPVC FITTING</v>
          </cell>
          <cell r="D404">
            <v>86.5</v>
          </cell>
        </row>
        <row r="405">
          <cell r="A405" t="str">
            <v>U502</v>
          </cell>
          <cell r="B405" t="str">
            <v>3/4" 45° ELBOW</v>
          </cell>
          <cell r="C405" t="str">
            <v>UPVC FITTING</v>
          </cell>
          <cell r="D405">
            <v>38.950000000000003</v>
          </cell>
        </row>
        <row r="406">
          <cell r="A406" t="str">
            <v>U503</v>
          </cell>
          <cell r="B406" t="str">
            <v>1" 45° ELBOW</v>
          </cell>
          <cell r="C406" t="str">
            <v>UPVC FITTING</v>
          </cell>
          <cell r="D406">
            <v>62</v>
          </cell>
        </row>
        <row r="407">
          <cell r="A407" t="str">
            <v>U504</v>
          </cell>
          <cell r="B407" t="str">
            <v>1-1/4" 45° ELBOW</v>
          </cell>
          <cell r="C407" t="str">
            <v>UPVC FITTING</v>
          </cell>
          <cell r="D407">
            <v>98.5</v>
          </cell>
        </row>
        <row r="408">
          <cell r="A408" t="str">
            <v>U505</v>
          </cell>
          <cell r="B408" t="str">
            <v>1-1/2" 45° ELBOW</v>
          </cell>
          <cell r="C408" t="str">
            <v>UPVC FITTING</v>
          </cell>
          <cell r="D408">
            <v>129.5</v>
          </cell>
        </row>
        <row r="409">
          <cell r="A409" t="str">
            <v>U506</v>
          </cell>
          <cell r="B409" t="str">
            <v>2" 45° ELBOW</v>
          </cell>
          <cell r="C409" t="str">
            <v>UPVC FITTING</v>
          </cell>
          <cell r="D409">
            <v>192</v>
          </cell>
        </row>
        <row r="410">
          <cell r="A410" t="str">
            <v>U521</v>
          </cell>
          <cell r="B410" t="str">
            <v>3/4"x1/2" BRASS 90° ELBOW</v>
          </cell>
          <cell r="C410" t="str">
            <v>UPVC FITTING</v>
          </cell>
          <cell r="D410">
            <v>50.13</v>
          </cell>
        </row>
        <row r="411">
          <cell r="A411" t="str">
            <v>U523</v>
          </cell>
          <cell r="B411" t="str">
            <v>1"x1/2" BRASS 90° ELBOW</v>
          </cell>
          <cell r="C411" t="str">
            <v>UPVC FITTING</v>
          </cell>
          <cell r="D411">
            <v>66.75</v>
          </cell>
        </row>
        <row r="412">
          <cell r="A412" t="str">
            <v>U524</v>
          </cell>
          <cell r="B412" t="str">
            <v>1"x3/4" BRASS 90° ELBOW</v>
          </cell>
          <cell r="C412" t="str">
            <v>UPVC FITTING</v>
          </cell>
          <cell r="D412">
            <v>63.75</v>
          </cell>
        </row>
        <row r="413">
          <cell r="A413" t="str">
            <v>U526</v>
          </cell>
          <cell r="B413" t="str">
            <v>1/2" BRASS 90° ELBOW</v>
          </cell>
          <cell r="C413" t="str">
            <v>UPVC FITTING</v>
          </cell>
          <cell r="D413">
            <v>49.25</v>
          </cell>
        </row>
        <row r="414">
          <cell r="A414" t="str">
            <v>U527</v>
          </cell>
          <cell r="B414" t="str">
            <v>3/4"x3/4" BRASS 90° ELBOW</v>
          </cell>
          <cell r="C414" t="str">
            <v>UPVC FITTING</v>
          </cell>
          <cell r="D414">
            <v>46.25</v>
          </cell>
        </row>
        <row r="415">
          <cell r="A415" t="str">
            <v>U531</v>
          </cell>
          <cell r="B415" t="str">
            <v>1"x1/2" RED. 90° ELBOW</v>
          </cell>
          <cell r="C415" t="str">
            <v>UPVC FITTING</v>
          </cell>
          <cell r="D415">
            <v>61.3</v>
          </cell>
        </row>
        <row r="416">
          <cell r="A416" t="str">
            <v>U532</v>
          </cell>
          <cell r="B416" t="str">
            <v>1"x3/4" RED. 90° ELBOW</v>
          </cell>
          <cell r="C416" t="str">
            <v>UPVC FITTING</v>
          </cell>
          <cell r="D416">
            <v>65.3</v>
          </cell>
        </row>
        <row r="417">
          <cell r="A417" t="str">
            <v>U533</v>
          </cell>
          <cell r="B417" t="str">
            <v>1-1/4"x1/2" RED. 90° ELBOW</v>
          </cell>
          <cell r="C417" t="str">
            <v>UPVC FITTING</v>
          </cell>
          <cell r="D417">
            <v>80</v>
          </cell>
        </row>
        <row r="418">
          <cell r="A418" t="str">
            <v>U534</v>
          </cell>
          <cell r="B418" t="str">
            <v>1-1/4"x3/4" RED. 90° ELBOW</v>
          </cell>
          <cell r="C418" t="str">
            <v>UPVC FITTING</v>
          </cell>
          <cell r="D418">
            <v>85</v>
          </cell>
        </row>
        <row r="419">
          <cell r="A419" t="str">
            <v>U535</v>
          </cell>
          <cell r="B419" t="str">
            <v>1-1/4"X1" RED. 90° ELBOW</v>
          </cell>
          <cell r="C419" t="str">
            <v>UPVC FITTING</v>
          </cell>
          <cell r="D419">
            <v>104.8</v>
          </cell>
        </row>
        <row r="420">
          <cell r="A420" t="str">
            <v>U536</v>
          </cell>
          <cell r="B420" t="str">
            <v>1-1/2''x1/2" RED. 90° ELBOW</v>
          </cell>
          <cell r="C420" t="str">
            <v>UPVC FITTING</v>
          </cell>
          <cell r="D420">
            <v>97</v>
          </cell>
        </row>
        <row r="421">
          <cell r="A421" t="str">
            <v>U537</v>
          </cell>
          <cell r="B421" t="str">
            <v>1-1/2''x3/4" RED. 90° ELBOW</v>
          </cell>
          <cell r="C421" t="str">
            <v>UPVC FITTING</v>
          </cell>
          <cell r="D421">
            <v>108</v>
          </cell>
        </row>
        <row r="422">
          <cell r="A422" t="str">
            <v>U538</v>
          </cell>
          <cell r="B422" t="str">
            <v>1-1/2"X1" RED. 90° ELBOW</v>
          </cell>
          <cell r="C422" t="str">
            <v>UPVC FITTING</v>
          </cell>
          <cell r="D422">
            <v>128</v>
          </cell>
        </row>
        <row r="423">
          <cell r="A423" t="str">
            <v>U539</v>
          </cell>
          <cell r="B423" t="str">
            <v>1-1/2"X1-1/4" RED. 90° ELBOW</v>
          </cell>
          <cell r="C423" t="str">
            <v>UPVC FITTING</v>
          </cell>
          <cell r="D423">
            <v>153</v>
          </cell>
        </row>
        <row r="424">
          <cell r="A424" t="str">
            <v>U601</v>
          </cell>
          <cell r="B424" t="str">
            <v>1/2" END CAP</v>
          </cell>
          <cell r="C424" t="str">
            <v>UPVC FITTING</v>
          </cell>
          <cell r="D424">
            <v>12.9</v>
          </cell>
        </row>
        <row r="425">
          <cell r="A425" t="str">
            <v>U602</v>
          </cell>
          <cell r="B425" t="str">
            <v>3/4" END CAP</v>
          </cell>
          <cell r="C425" t="str">
            <v>UPVC FITTING</v>
          </cell>
          <cell r="D425">
            <v>18</v>
          </cell>
        </row>
        <row r="426">
          <cell r="A426" t="str">
            <v>U603</v>
          </cell>
          <cell r="B426" t="str">
            <v>1" END CAP</v>
          </cell>
          <cell r="C426" t="str">
            <v>UPVC FITTING</v>
          </cell>
          <cell r="D426">
            <v>29.8</v>
          </cell>
        </row>
        <row r="427">
          <cell r="A427" t="str">
            <v>U604</v>
          </cell>
          <cell r="B427" t="str">
            <v>1-1/4" END CAP</v>
          </cell>
          <cell r="C427" t="str">
            <v>UPVC FITTING</v>
          </cell>
          <cell r="D427">
            <v>47.8</v>
          </cell>
        </row>
        <row r="428">
          <cell r="A428" t="str">
            <v>U605</v>
          </cell>
          <cell r="B428" t="str">
            <v>1-1/2" END CAP</v>
          </cell>
          <cell r="C428" t="str">
            <v>UPVC FITTING</v>
          </cell>
          <cell r="D428">
            <v>60.1</v>
          </cell>
        </row>
        <row r="429">
          <cell r="A429" t="str">
            <v>U606</v>
          </cell>
          <cell r="B429" t="str">
            <v>2" END CAP</v>
          </cell>
          <cell r="C429" t="str">
            <v>UPVC FITTING</v>
          </cell>
          <cell r="D429">
            <v>94</v>
          </cell>
        </row>
        <row r="430">
          <cell r="A430" t="str">
            <v>U607</v>
          </cell>
          <cell r="B430" t="str">
            <v>2-1/2" END CAP</v>
          </cell>
          <cell r="C430" t="str">
            <v>UPVC FITTING</v>
          </cell>
          <cell r="D430">
            <v>189.8</v>
          </cell>
        </row>
        <row r="431">
          <cell r="A431" t="str">
            <v>U608</v>
          </cell>
          <cell r="B431" t="str">
            <v>3" END CAP</v>
          </cell>
          <cell r="C431" t="str">
            <v>UPVC FITTING</v>
          </cell>
          <cell r="D431">
            <v>277</v>
          </cell>
        </row>
        <row r="432">
          <cell r="A432" t="str">
            <v>U609</v>
          </cell>
          <cell r="B432" t="str">
            <v>4" END CAP</v>
          </cell>
          <cell r="C432" t="str">
            <v>UPVC FITTING</v>
          </cell>
          <cell r="D432">
            <v>476</v>
          </cell>
        </row>
        <row r="433">
          <cell r="A433" t="str">
            <v>U821</v>
          </cell>
          <cell r="B433" t="str">
            <v>3/4"x1/2" RED. BUSH</v>
          </cell>
          <cell r="C433" t="str">
            <v>UPVC FITTING</v>
          </cell>
          <cell r="D433">
            <v>9.8000000000000007</v>
          </cell>
        </row>
        <row r="434">
          <cell r="A434" t="str">
            <v>U831</v>
          </cell>
          <cell r="B434" t="str">
            <v>1"x1/2" RED. BUSH</v>
          </cell>
          <cell r="C434" t="str">
            <v>UPVC FITTING</v>
          </cell>
          <cell r="D434">
            <v>23.7</v>
          </cell>
        </row>
        <row r="435">
          <cell r="A435" t="str">
            <v>U832</v>
          </cell>
          <cell r="B435" t="str">
            <v>1"X3/4" RED. BUSH</v>
          </cell>
          <cell r="C435" t="str">
            <v>UPVC FITTING</v>
          </cell>
          <cell r="D435">
            <v>16.25</v>
          </cell>
        </row>
        <row r="436">
          <cell r="A436" t="str">
            <v>U841</v>
          </cell>
          <cell r="B436" t="str">
            <v>1-1/4"x1/2" RED. BUSH</v>
          </cell>
          <cell r="C436" t="str">
            <v>UPVC FITTING</v>
          </cell>
          <cell r="D436">
            <v>42.6</v>
          </cell>
        </row>
        <row r="437">
          <cell r="A437" t="str">
            <v>U842</v>
          </cell>
          <cell r="B437" t="str">
            <v>1-1/4"X3/4" RED. BUSH</v>
          </cell>
          <cell r="C437" t="str">
            <v>UPVC FITTING</v>
          </cell>
          <cell r="D437">
            <v>40.200000000000003</v>
          </cell>
        </row>
        <row r="438">
          <cell r="A438" t="str">
            <v>U843</v>
          </cell>
          <cell r="B438" t="str">
            <v>1-1/4"x1" RED. BUSH</v>
          </cell>
          <cell r="C438" t="str">
            <v>UPVC FITTING</v>
          </cell>
          <cell r="D438">
            <v>28</v>
          </cell>
        </row>
        <row r="439">
          <cell r="A439" t="str">
            <v>U851</v>
          </cell>
          <cell r="B439" t="str">
            <v>1-1/2"x1/2" RED. BUSH</v>
          </cell>
          <cell r="C439" t="str">
            <v>UPVC FITTING</v>
          </cell>
          <cell r="D439">
            <v>56.45</v>
          </cell>
        </row>
        <row r="440">
          <cell r="A440" t="str">
            <v>U852</v>
          </cell>
          <cell r="B440" t="str">
            <v>1-1/2"x3/4" RED. BUSH</v>
          </cell>
          <cell r="C440" t="str">
            <v>UPVC FITTING</v>
          </cell>
          <cell r="D440">
            <v>52.2</v>
          </cell>
        </row>
        <row r="441">
          <cell r="A441" t="str">
            <v>U853</v>
          </cell>
          <cell r="B441" t="str">
            <v>1-1/2"x1" RED. BUSH</v>
          </cell>
          <cell r="C441" t="str">
            <v>UPVC FITTING</v>
          </cell>
          <cell r="D441">
            <v>50.9</v>
          </cell>
        </row>
        <row r="442">
          <cell r="A442" t="str">
            <v>U854</v>
          </cell>
          <cell r="B442" t="str">
            <v>1-1/2"x1-1/4" RED. BUSH</v>
          </cell>
          <cell r="C442" t="str">
            <v>UPVC FITTING</v>
          </cell>
          <cell r="D442">
            <v>30.8</v>
          </cell>
        </row>
        <row r="443">
          <cell r="A443" t="str">
            <v>U861</v>
          </cell>
          <cell r="B443" t="str">
            <v>2"x1/2" RED. BUSH</v>
          </cell>
          <cell r="C443" t="str">
            <v>UPVC FITTING</v>
          </cell>
          <cell r="D443">
            <v>93</v>
          </cell>
        </row>
        <row r="444">
          <cell r="A444" t="str">
            <v>U862</v>
          </cell>
          <cell r="B444" t="str">
            <v>2"x3/4" RED. BUSH</v>
          </cell>
          <cell r="C444" t="str">
            <v>UPVC FITTING</v>
          </cell>
          <cell r="D444">
            <v>90.5</v>
          </cell>
        </row>
        <row r="445">
          <cell r="A445" t="str">
            <v>U863</v>
          </cell>
          <cell r="B445" t="str">
            <v>2"x1"  RED. BUSH</v>
          </cell>
          <cell r="C445" t="str">
            <v>UPVC FITTING</v>
          </cell>
          <cell r="D445">
            <v>104.675</v>
          </cell>
        </row>
        <row r="446">
          <cell r="A446" t="str">
            <v>U864</v>
          </cell>
          <cell r="B446" t="str">
            <v>2"x1-1/4"  RED. BUSH</v>
          </cell>
          <cell r="C446" t="str">
            <v>UPVC FITTING</v>
          </cell>
          <cell r="D446">
            <v>87.6</v>
          </cell>
        </row>
        <row r="447">
          <cell r="A447" t="str">
            <v>U865</v>
          </cell>
          <cell r="B447" t="str">
            <v>2"x1-1/2" RED. BUSH</v>
          </cell>
          <cell r="C447" t="str">
            <v>UPVC FITTING</v>
          </cell>
          <cell r="D447">
            <v>71</v>
          </cell>
        </row>
        <row r="448">
          <cell r="A448" t="str">
            <v>U875</v>
          </cell>
          <cell r="B448" t="str">
            <v>2-1/2"X1-1/2" RED. BUSH</v>
          </cell>
          <cell r="C448" t="str">
            <v>UPVC FITTING</v>
          </cell>
          <cell r="D448">
            <v>159.19999999999999</v>
          </cell>
        </row>
        <row r="449">
          <cell r="A449" t="str">
            <v>U876</v>
          </cell>
          <cell r="B449" t="str">
            <v>2-1/2"x2" RED. BUSH</v>
          </cell>
          <cell r="C449" t="str">
            <v>UPVC FITTING</v>
          </cell>
          <cell r="D449">
            <v>110.3</v>
          </cell>
        </row>
        <row r="450">
          <cell r="A450" t="str">
            <v>U886</v>
          </cell>
          <cell r="B450" t="str">
            <v>3"X2" RED. BUSH</v>
          </cell>
          <cell r="C450" t="str">
            <v>UPVC FITTING</v>
          </cell>
          <cell r="D450">
            <v>292.5</v>
          </cell>
        </row>
        <row r="451">
          <cell r="A451" t="str">
            <v>U887</v>
          </cell>
          <cell r="B451" t="str">
            <v>3"X2-1/2" RED. BUSH</v>
          </cell>
          <cell r="C451" t="str">
            <v>UPVC FITTING</v>
          </cell>
          <cell r="D451">
            <v>228</v>
          </cell>
        </row>
        <row r="452">
          <cell r="A452" t="str">
            <v>U896</v>
          </cell>
          <cell r="B452" t="str">
            <v>4"x2" RED. BUSH</v>
          </cell>
          <cell r="C452" t="str">
            <v>UPVC FITTING</v>
          </cell>
          <cell r="D452">
            <v>435.6</v>
          </cell>
        </row>
        <row r="453">
          <cell r="A453" t="str">
            <v>U897</v>
          </cell>
          <cell r="B453" t="str">
            <v>4"x3" RED. BUSH</v>
          </cell>
          <cell r="C453" t="str">
            <v>UPVC FITTING</v>
          </cell>
          <cell r="D453">
            <v>399.1</v>
          </cell>
        </row>
        <row r="454">
          <cell r="A454" t="str">
            <v>U898</v>
          </cell>
          <cell r="B454" t="str">
            <v>4"X2-1/2" RED. BUSH</v>
          </cell>
          <cell r="C454" t="str">
            <v>UPVC FITTING</v>
          </cell>
          <cell r="D454">
            <v>546</v>
          </cell>
        </row>
        <row r="455">
          <cell r="A455" t="str">
            <v>U921</v>
          </cell>
          <cell r="B455" t="str">
            <v>3/4"x1/2" RED. COUPLING</v>
          </cell>
          <cell r="C455" t="str">
            <v>UPVC FITTING</v>
          </cell>
          <cell r="D455">
            <v>27.024999999999999</v>
          </cell>
        </row>
        <row r="456">
          <cell r="A456" t="str">
            <v>U931</v>
          </cell>
          <cell r="B456" t="str">
            <v>1"x1/2" RED. COUPLING</v>
          </cell>
          <cell r="C456" t="str">
            <v>UPVC FITTING</v>
          </cell>
          <cell r="D456">
            <v>43.25</v>
          </cell>
        </row>
        <row r="457">
          <cell r="A457" t="str">
            <v>U932</v>
          </cell>
          <cell r="B457" t="str">
            <v>1"X3/4" RED. COUPLING</v>
          </cell>
          <cell r="C457" t="str">
            <v>UPVC FITTING</v>
          </cell>
          <cell r="D457">
            <v>44.6</v>
          </cell>
        </row>
        <row r="458">
          <cell r="A458" t="str">
            <v>U941</v>
          </cell>
          <cell r="B458" t="str">
            <v>1-1/4"x1/2" RED. COUPLING</v>
          </cell>
          <cell r="C458" t="str">
            <v>UPVC FITTING</v>
          </cell>
          <cell r="D458">
            <v>54.25</v>
          </cell>
        </row>
        <row r="459">
          <cell r="A459" t="str">
            <v>U942</v>
          </cell>
          <cell r="B459" t="str">
            <v>1-1/4"x3/4" RED. COUPLING</v>
          </cell>
          <cell r="C459" t="str">
            <v>UPVC FITTING</v>
          </cell>
          <cell r="D459">
            <v>56</v>
          </cell>
        </row>
        <row r="460">
          <cell r="A460" t="str">
            <v>U943</v>
          </cell>
          <cell r="B460" t="str">
            <v>1-1/4"X1" RED. COUPLING</v>
          </cell>
          <cell r="C460" t="str">
            <v>UPVC FITTING</v>
          </cell>
          <cell r="D460">
            <v>63</v>
          </cell>
        </row>
        <row r="461">
          <cell r="A461" t="str">
            <v>U952</v>
          </cell>
          <cell r="B461" t="str">
            <v>1-1/2"x3/4" RED. COUPLING</v>
          </cell>
          <cell r="C461" t="str">
            <v>UPVC FITTING</v>
          </cell>
          <cell r="D461">
            <v>75.599999999999994</v>
          </cell>
        </row>
        <row r="462">
          <cell r="A462" t="str">
            <v>U953</v>
          </cell>
          <cell r="B462" t="str">
            <v>1-1/2"x1" RED. COUPLING</v>
          </cell>
          <cell r="C462" t="str">
            <v>UPVC FITTING</v>
          </cell>
          <cell r="D462">
            <v>82.25</v>
          </cell>
        </row>
        <row r="463">
          <cell r="A463" t="str">
            <v>UH-80</v>
          </cell>
          <cell r="B463" t="str">
            <v>3/4" UPVC  VIVA CONCEALED VALVE Q/T</v>
          </cell>
          <cell r="C463" t="str">
            <v>UPVC FITTING</v>
          </cell>
          <cell r="D463">
            <v>73.8</v>
          </cell>
        </row>
        <row r="464">
          <cell r="A464" t="str">
            <v>UH-79</v>
          </cell>
          <cell r="B464" t="str">
            <v>3/4" UPVC  SPA CONCEALED VALVE Q/T</v>
          </cell>
          <cell r="C464" t="str">
            <v>UPVC FITTING</v>
          </cell>
          <cell r="D464">
            <v>73.8</v>
          </cell>
        </row>
        <row r="465">
          <cell r="A465" t="str">
            <v>UH-78</v>
          </cell>
          <cell r="B465" t="str">
            <v>3/4" UPVC  URBONA CONCEALED VALVE Q/T</v>
          </cell>
          <cell r="C465" t="str">
            <v>UPVC FITTING</v>
          </cell>
          <cell r="D465">
            <v>73.8</v>
          </cell>
        </row>
        <row r="466">
          <cell r="A466" t="str">
            <v>UH76</v>
          </cell>
          <cell r="B466" t="str">
            <v>3/4" UPVC  MACASA CONCEALED VALVE Q/T</v>
          </cell>
          <cell r="C466" t="str">
            <v>UPVC FITTING</v>
          </cell>
          <cell r="D466">
            <v>73.8</v>
          </cell>
        </row>
        <row r="467">
          <cell r="A467" t="str">
            <v>UH-74</v>
          </cell>
          <cell r="B467" t="str">
            <v>3/4" UPVC  GREACIA CONCEALED VALVE Q/T</v>
          </cell>
          <cell r="C467" t="str">
            <v>UPVC FITTING</v>
          </cell>
          <cell r="D467">
            <v>73.8</v>
          </cell>
        </row>
        <row r="468">
          <cell r="A468" t="str">
            <v>UH72</v>
          </cell>
          <cell r="B468" t="str">
            <v>3/4" UPVC  TRIANGULAR CONCEALED VALVE Q/T</v>
          </cell>
          <cell r="C468" t="str">
            <v>UPVC FITTING</v>
          </cell>
          <cell r="D468">
            <v>73.8</v>
          </cell>
        </row>
        <row r="469">
          <cell r="A469" t="str">
            <v>UH80-S</v>
          </cell>
          <cell r="B469" t="str">
            <v>3/4" UPVC  VIVA CONCEALED VALVE Q/T</v>
          </cell>
          <cell r="C469" t="str">
            <v>UPVC FITTING</v>
          </cell>
          <cell r="D469">
            <v>73.8</v>
          </cell>
        </row>
        <row r="470">
          <cell r="A470" t="str">
            <v>UH79-S</v>
          </cell>
          <cell r="B470" t="str">
            <v>3/4" UPVC  SPA CONCEALED VALVE Q/T</v>
          </cell>
          <cell r="C470" t="str">
            <v>UPVC FITTING</v>
          </cell>
          <cell r="D470">
            <v>73.8</v>
          </cell>
        </row>
        <row r="471">
          <cell r="A471" t="str">
            <v>UH78-S</v>
          </cell>
          <cell r="B471" t="str">
            <v>3/4" UPVC  URBONA CONCEALED VALVE Q/T</v>
          </cell>
          <cell r="C471" t="str">
            <v>UPVC FITTING</v>
          </cell>
          <cell r="D471">
            <v>73.8</v>
          </cell>
        </row>
        <row r="472">
          <cell r="A472" t="str">
            <v>UH76-S</v>
          </cell>
          <cell r="B472" t="str">
            <v>3/4" UPVC  MACASA CONCEALED VALVE Q/T</v>
          </cell>
          <cell r="C472" t="str">
            <v>UPVC FITTING</v>
          </cell>
          <cell r="D472">
            <v>73.8</v>
          </cell>
        </row>
        <row r="473">
          <cell r="A473" t="str">
            <v>UH74-S</v>
          </cell>
          <cell r="B473" t="str">
            <v>3/4" UPVC  GREACIA CONCEALED VALVE Q/T</v>
          </cell>
          <cell r="C473" t="str">
            <v>UPVC FITTING</v>
          </cell>
          <cell r="D473">
            <v>73.8</v>
          </cell>
        </row>
        <row r="474">
          <cell r="A474" t="str">
            <v>UH72-S</v>
          </cell>
          <cell r="B474" t="str">
            <v>3/4" UPVC  TRIANGULAR CONCEALED VALVE Q/T</v>
          </cell>
          <cell r="C474" t="str">
            <v>UPVC FITTING</v>
          </cell>
          <cell r="D474">
            <v>73.8</v>
          </cell>
        </row>
        <row r="475">
          <cell r="A475" t="str">
            <v>UH90</v>
          </cell>
          <cell r="B475" t="str">
            <v>1/2" UPVC  VIVA CONCEALED VALVE Q/T</v>
          </cell>
          <cell r="C475" t="str">
            <v>UPVC FITTING</v>
          </cell>
          <cell r="D475">
            <v>73.8</v>
          </cell>
        </row>
        <row r="476">
          <cell r="A476" t="str">
            <v>UH89</v>
          </cell>
          <cell r="B476" t="str">
            <v>1/2" UPVC  SPA CONCEALED VALVE Q/T</v>
          </cell>
          <cell r="C476" t="str">
            <v>UPVC FITTING</v>
          </cell>
          <cell r="D476">
            <v>73.8</v>
          </cell>
        </row>
        <row r="477">
          <cell r="A477" t="str">
            <v>UH88</v>
          </cell>
          <cell r="B477" t="str">
            <v>1/2" UPVC  URBONA CONCEALED VALVE Q/T</v>
          </cell>
          <cell r="C477" t="str">
            <v>UPVC FITTING</v>
          </cell>
          <cell r="D477">
            <v>73.8</v>
          </cell>
        </row>
        <row r="478">
          <cell r="A478" t="str">
            <v>UH86</v>
          </cell>
          <cell r="B478" t="str">
            <v>1/2" UPVC  MACASA CONCEALED VALVE Q/T</v>
          </cell>
          <cell r="C478" t="str">
            <v>UPVC FITTING</v>
          </cell>
          <cell r="D478">
            <v>73.8</v>
          </cell>
        </row>
        <row r="479">
          <cell r="A479" t="str">
            <v>UH84</v>
          </cell>
          <cell r="B479" t="str">
            <v>1/2" UPVC  GREACIA CONCEALED VALVE Q/T</v>
          </cell>
          <cell r="C479" t="str">
            <v>UPVC FITTING</v>
          </cell>
          <cell r="D479">
            <v>73.8</v>
          </cell>
        </row>
        <row r="480">
          <cell r="A480" t="str">
            <v>UH82</v>
          </cell>
          <cell r="B480" t="str">
            <v>1/2" UPVC TRIANGULAR CONCEALED VALVE Q/T</v>
          </cell>
          <cell r="C480" t="str">
            <v>UPVC FITTING</v>
          </cell>
          <cell r="D480">
            <v>73.8</v>
          </cell>
        </row>
        <row r="481">
          <cell r="A481" t="str">
            <v>UH90-S</v>
          </cell>
          <cell r="B481" t="str">
            <v>1/2" UPVC  VIVA CONCEALED VALVE Q/T</v>
          </cell>
          <cell r="C481" t="str">
            <v>UPVC FITTING</v>
          </cell>
          <cell r="D481">
            <v>73.8</v>
          </cell>
        </row>
        <row r="482">
          <cell r="A482" t="str">
            <v>UH89-S</v>
          </cell>
          <cell r="B482" t="str">
            <v>1/2" UPVC  SPA CONCEALED VALVE Q/T</v>
          </cell>
          <cell r="C482" t="str">
            <v>UPVC FITTING</v>
          </cell>
          <cell r="D482">
            <v>73.8</v>
          </cell>
        </row>
        <row r="483">
          <cell r="A483" t="str">
            <v>UH88-S</v>
          </cell>
          <cell r="B483" t="str">
            <v>1/2" UPVC  URBONA CONCEALED VALVE Q/T</v>
          </cell>
          <cell r="C483" t="str">
            <v>UPVC FITTING</v>
          </cell>
          <cell r="D483">
            <v>73.8</v>
          </cell>
        </row>
        <row r="484">
          <cell r="A484" t="str">
            <v>UH86-S</v>
          </cell>
          <cell r="B484" t="str">
            <v>1/2" UPVC  MACASA CONCEALED VALVE Q/T</v>
          </cell>
          <cell r="C484" t="str">
            <v>UPVC FITTING</v>
          </cell>
          <cell r="D484">
            <v>73.8</v>
          </cell>
        </row>
        <row r="485">
          <cell r="A485" t="str">
            <v>UH84-S</v>
          </cell>
          <cell r="B485" t="str">
            <v>1/2" UPVC  GREACIA CONCEALED VALVE Q/T</v>
          </cell>
          <cell r="C485" t="str">
            <v>UPVC FITTING</v>
          </cell>
          <cell r="D485">
            <v>73.8</v>
          </cell>
        </row>
        <row r="486">
          <cell r="A486" t="str">
            <v>UH82-S</v>
          </cell>
          <cell r="B486" t="str">
            <v>1/2" UPVC TRIANGULAR CONCEALED VALVE Q/T</v>
          </cell>
          <cell r="C486" t="str">
            <v>UPVC FITTING</v>
          </cell>
          <cell r="D486">
            <v>73.8</v>
          </cell>
        </row>
        <row r="487">
          <cell r="A487" t="str">
            <v>UF12</v>
          </cell>
          <cell r="B487" t="str">
            <v>2-1/2" UPVC SOCKET FLANGE</v>
          </cell>
          <cell r="C487" t="str">
            <v>UPVC FITTING</v>
          </cell>
          <cell r="D487">
            <v>406</v>
          </cell>
        </row>
        <row r="488">
          <cell r="A488" t="str">
            <v>UF13</v>
          </cell>
          <cell r="B488" t="str">
            <v>3" UPVC SOCKET FLANGE</v>
          </cell>
          <cell r="C488" t="str">
            <v>UPVC FITTING</v>
          </cell>
          <cell r="D488">
            <v>655</v>
          </cell>
        </row>
        <row r="489">
          <cell r="A489" t="str">
            <v>UF14</v>
          </cell>
          <cell r="B489" t="str">
            <v>4" UPVC SOCKET FLANGE</v>
          </cell>
          <cell r="C489" t="str">
            <v>UPVC FITTING</v>
          </cell>
          <cell r="D489">
            <v>1185</v>
          </cell>
        </row>
        <row r="490">
          <cell r="A490">
            <v>5710</v>
          </cell>
          <cell r="B490" t="str">
            <v>SWR  FITTING BEND 45° (75 MM)</v>
          </cell>
          <cell r="C490" t="str">
            <v>SWR FITTING</v>
          </cell>
          <cell r="D490">
            <v>165</v>
          </cell>
        </row>
        <row r="491">
          <cell r="A491">
            <v>5910</v>
          </cell>
          <cell r="B491" t="str">
            <v>SWR  FITTING BEND 45° (90 MM)</v>
          </cell>
          <cell r="C491" t="str">
            <v>SWR FITTING</v>
          </cell>
          <cell r="D491">
            <v>225</v>
          </cell>
        </row>
        <row r="492">
          <cell r="A492">
            <v>5110</v>
          </cell>
          <cell r="B492" t="str">
            <v>SWR  FITTING BEND 45° (110 MM)</v>
          </cell>
          <cell r="C492" t="str">
            <v>SWR FITTING</v>
          </cell>
          <cell r="D492">
            <v>322</v>
          </cell>
        </row>
        <row r="493">
          <cell r="A493">
            <v>5610</v>
          </cell>
          <cell r="B493" t="str">
            <v>SWR  FITTING BEND 45° (160 MM)</v>
          </cell>
          <cell r="C493" t="str">
            <v>SWR FITTING</v>
          </cell>
          <cell r="D493">
            <v>785</v>
          </cell>
        </row>
        <row r="494">
          <cell r="A494">
            <v>5711</v>
          </cell>
          <cell r="B494" t="str">
            <v>SWR  FITTING BEND 87.5° (75 MM)</v>
          </cell>
          <cell r="C494" t="str">
            <v>SWR FITTING</v>
          </cell>
          <cell r="D494">
            <v>192.5</v>
          </cell>
        </row>
        <row r="495">
          <cell r="A495">
            <v>5911</v>
          </cell>
          <cell r="B495" t="str">
            <v>SWR  FITTING BEND 87.5° (90 MM)</v>
          </cell>
          <cell r="C495" t="str">
            <v>SWR FITTING</v>
          </cell>
          <cell r="D495">
            <v>266</v>
          </cell>
        </row>
        <row r="496">
          <cell r="A496">
            <v>5111</v>
          </cell>
          <cell r="B496" t="str">
            <v>SWR  FITTING BEND 87.5° (110 MM)</v>
          </cell>
          <cell r="C496" t="str">
            <v>SWR FITTING</v>
          </cell>
          <cell r="D496">
            <v>420.6</v>
          </cell>
        </row>
        <row r="497">
          <cell r="A497">
            <v>5611</v>
          </cell>
          <cell r="B497" t="str">
            <v>SWR  FITTING BEND 87.5° (160 MM)</v>
          </cell>
          <cell r="C497" t="str">
            <v>SWR FITTING</v>
          </cell>
          <cell r="D497">
            <v>963</v>
          </cell>
        </row>
        <row r="498">
          <cell r="A498">
            <v>5712</v>
          </cell>
          <cell r="B498" t="str">
            <v>SWR  FITTING BEND 87.5° (75 MM) W/D</v>
          </cell>
          <cell r="C498" t="str">
            <v>SWR FITTING</v>
          </cell>
          <cell r="D498">
            <v>202</v>
          </cell>
        </row>
        <row r="499">
          <cell r="A499">
            <v>5912</v>
          </cell>
          <cell r="B499" t="str">
            <v>SWR  FITTING BEND 87.5° (90 MM) W/D</v>
          </cell>
          <cell r="C499" t="str">
            <v>SWR FITTING</v>
          </cell>
          <cell r="D499">
            <v>271</v>
          </cell>
        </row>
        <row r="500">
          <cell r="A500">
            <v>5112</v>
          </cell>
          <cell r="B500" t="str">
            <v>SWR  FITTING BEND 87.5° (110 MM) WD</v>
          </cell>
          <cell r="C500" t="str">
            <v>SWR FITTING</v>
          </cell>
          <cell r="D500">
            <v>408.5</v>
          </cell>
        </row>
        <row r="501">
          <cell r="A501">
            <v>5612</v>
          </cell>
          <cell r="B501" t="str">
            <v>SWR  FITTING BEND 87.5° (160 MM) WD</v>
          </cell>
          <cell r="C501" t="str">
            <v>SWR FITTING</v>
          </cell>
          <cell r="D501">
            <v>984</v>
          </cell>
        </row>
        <row r="502">
          <cell r="A502">
            <v>5714</v>
          </cell>
          <cell r="B502" t="str">
            <v>SWR  FITTING BEND 87.5° (75 MM) W LD</v>
          </cell>
          <cell r="C502" t="str">
            <v>SWR FITTING</v>
          </cell>
          <cell r="D502">
            <v>194</v>
          </cell>
        </row>
        <row r="503">
          <cell r="A503">
            <v>5114</v>
          </cell>
          <cell r="B503" t="str">
            <v>SWR  FITTING BEND 87.5° (110 MM) W LD</v>
          </cell>
          <cell r="C503" t="str">
            <v>SWR FITTING</v>
          </cell>
          <cell r="D503">
            <v>401.8</v>
          </cell>
        </row>
        <row r="504">
          <cell r="A504">
            <v>5715</v>
          </cell>
          <cell r="B504" t="str">
            <v>SWR  FITTING BEND 87.5° (75 MM) W RD</v>
          </cell>
          <cell r="C504" t="str">
            <v>SWR FITTING</v>
          </cell>
          <cell r="D504">
            <v>194</v>
          </cell>
        </row>
        <row r="505">
          <cell r="A505">
            <v>5115</v>
          </cell>
          <cell r="B505" t="str">
            <v>SWR  FITTING BEND 87.5° (110 MM) WRD</v>
          </cell>
          <cell r="C505" t="str">
            <v>SWR FITTING</v>
          </cell>
          <cell r="D505">
            <v>401.8</v>
          </cell>
        </row>
        <row r="506">
          <cell r="A506">
            <v>5721</v>
          </cell>
          <cell r="B506" t="str">
            <v>SWR  FITTING COUPLER (75 MM)</v>
          </cell>
          <cell r="C506" t="str">
            <v>SWR FITTING</v>
          </cell>
          <cell r="D506">
            <v>135</v>
          </cell>
        </row>
        <row r="507">
          <cell r="A507">
            <v>5921</v>
          </cell>
          <cell r="B507" t="str">
            <v>SWR  FITTING COUPLER (90 MM)</v>
          </cell>
          <cell r="C507" t="str">
            <v>SWR FITTING</v>
          </cell>
          <cell r="D507">
            <v>194</v>
          </cell>
        </row>
        <row r="508">
          <cell r="A508">
            <v>5121</v>
          </cell>
          <cell r="B508" t="str">
            <v>SWR  FITTING COUPLER (110 MM)</v>
          </cell>
          <cell r="C508" t="str">
            <v>SWR FITTING</v>
          </cell>
          <cell r="D508">
            <v>281</v>
          </cell>
        </row>
        <row r="509">
          <cell r="A509">
            <v>5621</v>
          </cell>
          <cell r="B509" t="str">
            <v>SWR  FITTING COUPLER (160 MM)</v>
          </cell>
          <cell r="C509" t="str">
            <v>SWR FITTING</v>
          </cell>
          <cell r="D509">
            <v>617</v>
          </cell>
        </row>
        <row r="510">
          <cell r="A510">
            <v>5722</v>
          </cell>
          <cell r="B510" t="str">
            <v>SWR  FITTING  REPAIR COUPLER (75 MM)</v>
          </cell>
          <cell r="C510" t="str">
            <v>SWR FITTING</v>
          </cell>
          <cell r="D510">
            <v>136</v>
          </cell>
        </row>
        <row r="511">
          <cell r="A511">
            <v>5922</v>
          </cell>
          <cell r="B511" t="str">
            <v>SWR  FITTING  REPAIR COUPLER (90 MM)</v>
          </cell>
          <cell r="C511" t="str">
            <v>SWR FITTING</v>
          </cell>
          <cell r="D511">
            <v>189</v>
          </cell>
        </row>
        <row r="512">
          <cell r="A512">
            <v>5122</v>
          </cell>
          <cell r="B512" t="str">
            <v>SWR  FITTING  REPAIR COUPLER (110 MM)</v>
          </cell>
          <cell r="C512" t="str">
            <v>SWR FITTING</v>
          </cell>
          <cell r="D512">
            <v>278</v>
          </cell>
        </row>
        <row r="513">
          <cell r="A513">
            <v>5622</v>
          </cell>
          <cell r="B513" t="str">
            <v>SWR  FITTING  REPAIR COUPLER (160 MM)</v>
          </cell>
          <cell r="C513" t="str">
            <v>SWR FITTING</v>
          </cell>
          <cell r="D513">
            <v>600.5</v>
          </cell>
        </row>
        <row r="514">
          <cell r="A514">
            <v>5731</v>
          </cell>
          <cell r="B514" t="str">
            <v>SWR  FITTING CROSS TEE (75 MM)</v>
          </cell>
          <cell r="C514" t="str">
            <v>SWR FITTING</v>
          </cell>
          <cell r="D514">
            <v>327.2</v>
          </cell>
        </row>
        <row r="515">
          <cell r="A515">
            <v>5131</v>
          </cell>
          <cell r="B515" t="str">
            <v>SWR  FITTING CROSS TEE  (110 MM)</v>
          </cell>
          <cell r="C515" t="str">
            <v>SWR FITTING</v>
          </cell>
          <cell r="D515">
            <v>647.79999999999995</v>
          </cell>
        </row>
        <row r="516">
          <cell r="A516">
            <v>5732</v>
          </cell>
          <cell r="B516" t="str">
            <v>SWR  FITTING CROSS T WD (75 MM)</v>
          </cell>
          <cell r="C516" t="str">
            <v>SWR FITTING</v>
          </cell>
          <cell r="D516">
            <v>327.39999999999998</v>
          </cell>
        </row>
        <row r="517">
          <cell r="A517">
            <v>5132</v>
          </cell>
          <cell r="B517" t="str">
            <v>SWR  FITTING CROSS T WD  (110 MM)</v>
          </cell>
          <cell r="C517" t="str">
            <v>SWR FITTING</v>
          </cell>
          <cell r="D517">
            <v>656.5</v>
          </cell>
        </row>
        <row r="518">
          <cell r="A518">
            <v>5733</v>
          </cell>
          <cell r="B518" t="str">
            <v>SWR  FITTING SINGLE TEE (75 MM)</v>
          </cell>
          <cell r="C518" t="str">
            <v>SWR FITTING</v>
          </cell>
          <cell r="D518">
            <v>267</v>
          </cell>
        </row>
        <row r="519">
          <cell r="A519">
            <v>5933</v>
          </cell>
          <cell r="B519" t="str">
            <v>SWR  FITTING SINGLE TEE (90 MM)</v>
          </cell>
          <cell r="C519" t="str">
            <v>SWR FITTING</v>
          </cell>
          <cell r="D519">
            <v>368</v>
          </cell>
        </row>
        <row r="520">
          <cell r="A520">
            <v>5133</v>
          </cell>
          <cell r="B520" t="str">
            <v>SWR  FITTING SINGLE TEE (110 MM)</v>
          </cell>
          <cell r="C520" t="str">
            <v>SWR FITTING</v>
          </cell>
          <cell r="D520">
            <v>532</v>
          </cell>
        </row>
        <row r="521">
          <cell r="A521">
            <v>5633</v>
          </cell>
          <cell r="B521" t="str">
            <v>SWR  FITTING SINGLE TEE (160 MM)</v>
          </cell>
          <cell r="C521" t="str">
            <v>SWR FITTING</v>
          </cell>
          <cell r="D521">
            <v>1285</v>
          </cell>
        </row>
        <row r="522">
          <cell r="A522">
            <v>5734</v>
          </cell>
          <cell r="B522" t="str">
            <v>SWR  FITTING SINGLE T WD (75 MM)</v>
          </cell>
          <cell r="C522" t="str">
            <v>SWR FITTING</v>
          </cell>
          <cell r="D522">
            <v>281</v>
          </cell>
        </row>
        <row r="523">
          <cell r="A523">
            <v>5934</v>
          </cell>
          <cell r="B523" t="str">
            <v>SWR  FITTING SINGLE T WD (90 MM)</v>
          </cell>
          <cell r="C523" t="str">
            <v>SWR FITTING</v>
          </cell>
          <cell r="D523">
            <v>409</v>
          </cell>
        </row>
        <row r="524">
          <cell r="A524">
            <v>5134</v>
          </cell>
          <cell r="B524" t="str">
            <v>SWR  FITTING SINGLE T WD  (110 MM)</v>
          </cell>
          <cell r="C524" t="str">
            <v>SWR FITTING</v>
          </cell>
          <cell r="D524">
            <v>543</v>
          </cell>
        </row>
        <row r="525">
          <cell r="A525">
            <v>5634</v>
          </cell>
          <cell r="B525" t="str">
            <v>SWR  FITTING SINGLE T WD  (160 MM)</v>
          </cell>
          <cell r="C525" t="str">
            <v>SWR FITTING</v>
          </cell>
          <cell r="D525">
            <v>1330</v>
          </cell>
        </row>
        <row r="526">
          <cell r="A526">
            <v>5741</v>
          </cell>
          <cell r="B526" t="str">
            <v>SWR  FITTING SINGLE Y (75 MM)</v>
          </cell>
          <cell r="C526" t="str">
            <v>SWR FITTING</v>
          </cell>
          <cell r="D526">
            <v>319</v>
          </cell>
        </row>
        <row r="527">
          <cell r="A527">
            <v>5941</v>
          </cell>
          <cell r="B527" t="str">
            <v>SWR  FITTING SINGLE Y (90 MM)</v>
          </cell>
          <cell r="C527" t="str">
            <v>SWR FITTING</v>
          </cell>
          <cell r="D527">
            <v>449</v>
          </cell>
        </row>
        <row r="528">
          <cell r="A528">
            <v>5141</v>
          </cell>
          <cell r="B528" t="str">
            <v>SWR  FITTING SINGLE Y (110 MM)</v>
          </cell>
          <cell r="C528" t="str">
            <v>SWR FITTING</v>
          </cell>
          <cell r="D528">
            <v>669</v>
          </cell>
        </row>
        <row r="529">
          <cell r="A529">
            <v>5641</v>
          </cell>
          <cell r="B529" t="str">
            <v>SWR  FITTING SINGLE Y (160 MM)</v>
          </cell>
          <cell r="C529" t="str">
            <v>SWR FITTING</v>
          </cell>
          <cell r="D529">
            <v>0</v>
          </cell>
        </row>
        <row r="530">
          <cell r="A530">
            <v>5742</v>
          </cell>
          <cell r="B530" t="str">
            <v>SWR  FITTING SINGLE Y WD (75 MM)</v>
          </cell>
          <cell r="C530" t="str">
            <v>SWR FITTING</v>
          </cell>
          <cell r="D530">
            <v>338.2</v>
          </cell>
        </row>
        <row r="531">
          <cell r="A531">
            <v>5942</v>
          </cell>
          <cell r="B531" t="str">
            <v>SWR  FITTING SINGLE Y WD (90 MM)</v>
          </cell>
          <cell r="C531" t="str">
            <v>SWR FITTING</v>
          </cell>
          <cell r="D531">
            <v>476</v>
          </cell>
        </row>
        <row r="532">
          <cell r="A532">
            <v>5142</v>
          </cell>
          <cell r="B532" t="str">
            <v>SWR  FITTING SINGLE Y WD (110 MM)</v>
          </cell>
          <cell r="C532" t="str">
            <v>SWR FITTING</v>
          </cell>
          <cell r="D532">
            <v>721.6</v>
          </cell>
        </row>
        <row r="533">
          <cell r="A533">
            <v>5642</v>
          </cell>
          <cell r="B533" t="str">
            <v>SWR  FITTING SINGLE Y WD (160 MM)</v>
          </cell>
          <cell r="C533" t="str">
            <v>SWR FITTING</v>
          </cell>
          <cell r="D533">
            <v>0</v>
          </cell>
        </row>
        <row r="534">
          <cell r="A534">
            <v>5743</v>
          </cell>
          <cell r="B534" t="str">
            <v>SWR  FITTING REVERS Y 45* (75 MM)</v>
          </cell>
          <cell r="C534" t="str">
            <v>SWR FITTING</v>
          </cell>
          <cell r="D534">
            <v>313.3</v>
          </cell>
        </row>
        <row r="535">
          <cell r="A535">
            <v>5143</v>
          </cell>
          <cell r="B535" t="str">
            <v>SWR  FITTING REVERS Y 45* (110 MM)</v>
          </cell>
          <cell r="C535" t="str">
            <v>SWR FITTING</v>
          </cell>
          <cell r="D535">
            <v>0</v>
          </cell>
        </row>
        <row r="536">
          <cell r="A536">
            <v>5744</v>
          </cell>
          <cell r="B536" t="str">
            <v>SWR  FITTING DOUBLE  Y (75 MM)</v>
          </cell>
          <cell r="C536" t="str">
            <v>SWR FITTING</v>
          </cell>
          <cell r="D536">
            <v>409</v>
          </cell>
        </row>
        <row r="537">
          <cell r="A537">
            <v>5144</v>
          </cell>
          <cell r="B537" t="str">
            <v>SWR  FITTING DOUBLE  Y (110 MM)</v>
          </cell>
          <cell r="C537" t="str">
            <v>SWR FITTING</v>
          </cell>
          <cell r="D537">
            <v>881.5</v>
          </cell>
        </row>
        <row r="538">
          <cell r="A538">
            <v>5745</v>
          </cell>
          <cell r="B538" t="str">
            <v>SWR  FITTING DOUBLE  Y WD (75 MM)</v>
          </cell>
          <cell r="C538" t="str">
            <v>SWR FITTING</v>
          </cell>
          <cell r="D538">
            <v>416</v>
          </cell>
        </row>
        <row r="539">
          <cell r="A539">
            <v>5145</v>
          </cell>
          <cell r="B539" t="str">
            <v>SWR  FITTING DOUBLE  Y WD (110 MM)</v>
          </cell>
          <cell r="C539" t="str">
            <v>SWR FITTING</v>
          </cell>
          <cell r="D539">
            <v>891.5</v>
          </cell>
        </row>
        <row r="540">
          <cell r="A540">
            <v>5746</v>
          </cell>
          <cell r="B540" t="str">
            <v>SWR  FITTING REVERS Y 45* (75 MM) W/D</v>
          </cell>
          <cell r="C540" t="str">
            <v>SWR FITTING</v>
          </cell>
          <cell r="D540">
            <v>316</v>
          </cell>
        </row>
        <row r="541">
          <cell r="A541">
            <v>5146</v>
          </cell>
          <cell r="B541" t="str">
            <v>SWR  FITTING REVERS Y 45* (110 MM) W/D</v>
          </cell>
          <cell r="C541" t="str">
            <v>SWR FITTING</v>
          </cell>
          <cell r="D541">
            <v>0</v>
          </cell>
        </row>
        <row r="542">
          <cell r="A542">
            <v>5951</v>
          </cell>
          <cell r="B542" t="str">
            <v>SWR  FITTING REDUCING TEE (90 X75 MM)</v>
          </cell>
          <cell r="C542" t="str">
            <v>SWR FITTING</v>
          </cell>
          <cell r="D542">
            <v>342</v>
          </cell>
        </row>
        <row r="543">
          <cell r="A543">
            <v>5151</v>
          </cell>
          <cell r="B543" t="str">
            <v>SWR  FITTING REDUCING TEE (110 X75 MM)</v>
          </cell>
          <cell r="C543" t="str">
            <v>SWR FITTING</v>
          </cell>
          <cell r="D543">
            <v>470</v>
          </cell>
        </row>
        <row r="544">
          <cell r="A544">
            <v>5751</v>
          </cell>
          <cell r="B544" t="str">
            <v>SWR  FITTING REDUCING TEE (160 X75 MM)</v>
          </cell>
          <cell r="C544" t="str">
            <v>SWR FITTING</v>
          </cell>
          <cell r="D544">
            <v>1068</v>
          </cell>
        </row>
        <row r="545">
          <cell r="A545">
            <v>5651</v>
          </cell>
          <cell r="B545" t="str">
            <v>SWR  FITTING REDUCING TEE (160 X110 MM)</v>
          </cell>
          <cell r="C545" t="str">
            <v>SWR FITTING</v>
          </cell>
          <cell r="D545">
            <v>1160</v>
          </cell>
        </row>
        <row r="546">
          <cell r="A546">
            <v>5152</v>
          </cell>
          <cell r="B546" t="str">
            <v>SWR  FITTING REDUCING T WD (110 X75 MM)</v>
          </cell>
          <cell r="C546" t="str">
            <v>SWR FITTING</v>
          </cell>
          <cell r="D546">
            <v>508</v>
          </cell>
        </row>
        <row r="547">
          <cell r="A547">
            <v>5952</v>
          </cell>
          <cell r="B547" t="str">
            <v>SWR  FITTING REDUCING T WD (90 X75 MM)</v>
          </cell>
          <cell r="C547" t="str">
            <v>SWR FITTING</v>
          </cell>
          <cell r="D547">
            <v>0</v>
          </cell>
        </row>
        <row r="548">
          <cell r="A548">
            <v>5652</v>
          </cell>
          <cell r="B548" t="str">
            <v>SWR  FITTING REDUCING T WD (160 X110 MM)</v>
          </cell>
          <cell r="C548" t="str">
            <v>SWR FITTING</v>
          </cell>
          <cell r="D548">
            <v>1173</v>
          </cell>
        </row>
        <row r="549">
          <cell r="A549">
            <v>5752</v>
          </cell>
          <cell r="B549" t="str">
            <v>SWR  FITTING REDUCING T WD (160 X75 MM)</v>
          </cell>
          <cell r="C549" t="str">
            <v>SWR FITTING</v>
          </cell>
          <cell r="D549">
            <v>1108</v>
          </cell>
        </row>
        <row r="550">
          <cell r="A550">
            <v>5155</v>
          </cell>
          <cell r="B550" t="str">
            <v>SWR  FITTING REDUCER Y (110X75MM)</v>
          </cell>
          <cell r="C550" t="str">
            <v>SWR FITTING</v>
          </cell>
          <cell r="D550">
            <v>526</v>
          </cell>
        </row>
        <row r="551">
          <cell r="A551">
            <v>5156</v>
          </cell>
          <cell r="B551" t="str">
            <v>SWR  FITTING REDUCER Y WD (110X75MM)</v>
          </cell>
          <cell r="C551" t="str">
            <v>SWR FITTING</v>
          </cell>
          <cell r="D551">
            <v>552</v>
          </cell>
        </row>
        <row r="552">
          <cell r="A552">
            <v>5157</v>
          </cell>
          <cell r="B552" t="str">
            <v>SWR  FITTING REDUCER (110X75MM) COUPLER</v>
          </cell>
          <cell r="C552" t="str">
            <v>SWR FITTING</v>
          </cell>
          <cell r="D552">
            <v>225.3</v>
          </cell>
        </row>
        <row r="553">
          <cell r="A553">
            <v>5957</v>
          </cell>
          <cell r="B553" t="str">
            <v xml:space="preserve">SWR  FITTING REDUCER COUPLER (110X90MM) </v>
          </cell>
          <cell r="C553" t="str">
            <v>SWR FITTING</v>
          </cell>
          <cell r="D553">
            <v>229</v>
          </cell>
        </row>
        <row r="554">
          <cell r="A554">
            <v>5657</v>
          </cell>
          <cell r="B554" t="str">
            <v xml:space="preserve">SWR  FITTING REDUCER COUPLER (160X110MM) </v>
          </cell>
          <cell r="C554" t="str">
            <v>SWR FITTING</v>
          </cell>
          <cell r="D554">
            <v>507</v>
          </cell>
        </row>
        <row r="555">
          <cell r="A555">
            <v>5758</v>
          </cell>
          <cell r="B555" t="str">
            <v>SWR  FITTING CLEANSING PIPE (75 MM)</v>
          </cell>
          <cell r="C555" t="str">
            <v>SWR FITTING</v>
          </cell>
          <cell r="D555">
            <v>221.5</v>
          </cell>
        </row>
        <row r="556">
          <cell r="A556">
            <v>5158</v>
          </cell>
          <cell r="B556" t="str">
            <v>SWR  FITTING CLEANSING PIPE (110 MM)</v>
          </cell>
          <cell r="C556" t="str">
            <v>SWR FITTING</v>
          </cell>
          <cell r="D556">
            <v>455</v>
          </cell>
        </row>
        <row r="557">
          <cell r="A557">
            <v>5761</v>
          </cell>
          <cell r="B557" t="str">
            <v>SWR  FITTING VENT COWL (75 MM)</v>
          </cell>
          <cell r="C557" t="str">
            <v>SWR FITTING</v>
          </cell>
          <cell r="D557">
            <v>38.6</v>
          </cell>
        </row>
        <row r="558">
          <cell r="A558">
            <v>5961</v>
          </cell>
          <cell r="B558" t="str">
            <v>SWR  FITTING VENT COWL (90 MM)</v>
          </cell>
          <cell r="C558" t="str">
            <v>SWR FITTING</v>
          </cell>
          <cell r="D558">
            <v>63</v>
          </cell>
        </row>
        <row r="559">
          <cell r="A559">
            <v>5161</v>
          </cell>
          <cell r="B559" t="str">
            <v>SWR  FITTING VENT COWL (110 MM)</v>
          </cell>
          <cell r="C559" t="str">
            <v>SWR FITTING</v>
          </cell>
          <cell r="D559">
            <v>76.099999999999994</v>
          </cell>
        </row>
        <row r="560">
          <cell r="A560">
            <v>5661</v>
          </cell>
          <cell r="B560" t="str">
            <v>SWR  FITTING VENT COWL (160 MM)</v>
          </cell>
          <cell r="C560" t="str">
            <v>SWR FITTING</v>
          </cell>
          <cell r="D560">
            <v>166</v>
          </cell>
        </row>
        <row r="561">
          <cell r="A561">
            <v>5762</v>
          </cell>
          <cell r="B561" t="str">
            <v>SWR  FITTING PIPE CLIP (75 MM)</v>
          </cell>
          <cell r="C561" t="str">
            <v>SWR FITTING</v>
          </cell>
          <cell r="D561">
            <v>42.3</v>
          </cell>
        </row>
        <row r="562">
          <cell r="A562">
            <v>5962</v>
          </cell>
          <cell r="B562" t="str">
            <v>SWR  FITTING PIPE CLIP (90 MM)</v>
          </cell>
          <cell r="C562" t="str">
            <v>SWR FITTING</v>
          </cell>
          <cell r="D562">
            <v>38</v>
          </cell>
        </row>
        <row r="563">
          <cell r="A563">
            <v>5162</v>
          </cell>
          <cell r="B563" t="str">
            <v>SWR  FITTING PIPE CLIP (110 MM)</v>
          </cell>
          <cell r="C563" t="str">
            <v>SWR FITTING</v>
          </cell>
          <cell r="D563">
            <v>55</v>
          </cell>
        </row>
        <row r="564">
          <cell r="A564">
            <v>5662</v>
          </cell>
          <cell r="B564" t="str">
            <v>SWR  FITTING PIPE CLIP (160 MM)</v>
          </cell>
          <cell r="C564" t="str">
            <v>SWR FITTING</v>
          </cell>
          <cell r="D564">
            <v>108.5</v>
          </cell>
        </row>
        <row r="565">
          <cell r="A565">
            <v>5763</v>
          </cell>
          <cell r="B565" t="str">
            <v>SWR  FITTING NAHANI TRAP &amp; JALI (75 MM)</v>
          </cell>
          <cell r="C565" t="str">
            <v>SWR FITTING</v>
          </cell>
          <cell r="D565">
            <v>344</v>
          </cell>
        </row>
        <row r="566">
          <cell r="A566">
            <v>5963</v>
          </cell>
          <cell r="B566" t="str">
            <v>SWR  FITTING NAHANI TRAP &amp; JALI (90 MM)</v>
          </cell>
          <cell r="C566" t="str">
            <v>SWR FITTING</v>
          </cell>
          <cell r="D566">
            <v>404</v>
          </cell>
        </row>
        <row r="567">
          <cell r="A567">
            <v>5163</v>
          </cell>
          <cell r="B567" t="str">
            <v>SWR  FITTING NAHANI TRAP &amp; JALI (110 MM)</v>
          </cell>
          <cell r="C567" t="str">
            <v>SWR FITTING</v>
          </cell>
          <cell r="D567">
            <v>423</v>
          </cell>
        </row>
        <row r="568">
          <cell r="A568" t="str">
            <v>5763-W</v>
          </cell>
          <cell r="B568" t="str">
            <v>SWR  FITTING NAHANI TRAP WITHOUT ROUND JALI (75 MM)</v>
          </cell>
          <cell r="C568" t="str">
            <v>SWR FITTING</v>
          </cell>
          <cell r="D568">
            <v>344</v>
          </cell>
        </row>
        <row r="569">
          <cell r="A569" t="str">
            <v>5163-W</v>
          </cell>
          <cell r="B569" t="str">
            <v>SWR  FITTING NAHANI TRAP WITHOUT ROUND JALI (110MM)</v>
          </cell>
          <cell r="C569" t="str">
            <v>SWR FITTING</v>
          </cell>
          <cell r="D569">
            <v>423</v>
          </cell>
        </row>
        <row r="570">
          <cell r="A570" t="str">
            <v>5963-W</v>
          </cell>
          <cell r="B570" t="str">
            <v>SWR  FITTING NAHANI TRAP WITHOUT ROUND JALI (90MM)</v>
          </cell>
          <cell r="C570" t="str">
            <v>SWR FITTING</v>
          </cell>
          <cell r="D570">
            <v>404</v>
          </cell>
        </row>
        <row r="571">
          <cell r="A571">
            <v>5764</v>
          </cell>
          <cell r="B571" t="str">
            <v>SWR 75MM DOOR CAP</v>
          </cell>
          <cell r="C571" t="str">
            <v>SWR FITTING</v>
          </cell>
          <cell r="D571">
            <v>41.53</v>
          </cell>
        </row>
        <row r="572">
          <cell r="A572">
            <v>5964</v>
          </cell>
          <cell r="B572" t="str">
            <v>SWR 90MM DOOR CAP</v>
          </cell>
          <cell r="C572" t="str">
            <v>SWR FITTING</v>
          </cell>
          <cell r="D572">
            <v>59</v>
          </cell>
        </row>
        <row r="573">
          <cell r="A573">
            <v>5164</v>
          </cell>
          <cell r="B573" t="str">
            <v>SWR 110MM DOOR CAP</v>
          </cell>
          <cell r="C573" t="str">
            <v>SWR FITTING</v>
          </cell>
          <cell r="D573">
            <v>82.3</v>
          </cell>
        </row>
        <row r="574">
          <cell r="A574">
            <v>5664</v>
          </cell>
          <cell r="B574" t="str">
            <v>SWR 160MM DOOR CAP</v>
          </cell>
          <cell r="C574" t="str">
            <v>SWR FITTING</v>
          </cell>
          <cell r="D574">
            <v>146</v>
          </cell>
        </row>
        <row r="575">
          <cell r="A575">
            <v>5765</v>
          </cell>
          <cell r="B575" t="str">
            <v>SWR FITTING ROUND JALI (110MM)</v>
          </cell>
          <cell r="C575" t="str">
            <v>SWR FITTING</v>
          </cell>
          <cell r="D575">
            <v>53</v>
          </cell>
        </row>
        <row r="576">
          <cell r="A576">
            <v>4761</v>
          </cell>
          <cell r="B576" t="str">
            <v>SWR FITTING VENT COWL(63MM)</v>
          </cell>
          <cell r="C576" t="str">
            <v>SWR FITTING</v>
          </cell>
          <cell r="D576">
            <v>29</v>
          </cell>
        </row>
        <row r="577">
          <cell r="A577">
            <v>5171</v>
          </cell>
          <cell r="B577" t="str">
            <v>P TRAP (110x110 MM)</v>
          </cell>
          <cell r="C577" t="str">
            <v>SWR FITTING</v>
          </cell>
          <cell r="D577">
            <v>802</v>
          </cell>
        </row>
        <row r="578">
          <cell r="A578" t="str">
            <v>5171N</v>
          </cell>
          <cell r="B578" t="str">
            <v>P TRAP (110x110 MM) (NEW)</v>
          </cell>
          <cell r="C578" t="str">
            <v>SWR FITTING</v>
          </cell>
        </row>
        <row r="579">
          <cell r="A579">
            <v>5771</v>
          </cell>
          <cell r="B579" t="str">
            <v>SWR  FITTING P TRAP (125X110MM)</v>
          </cell>
          <cell r="C579" t="str">
            <v>SWR FITTING</v>
          </cell>
          <cell r="D579">
            <v>896</v>
          </cell>
        </row>
        <row r="580">
          <cell r="A580" t="str">
            <v>5771-W</v>
          </cell>
          <cell r="B580" t="str">
            <v>SWR  FITTING P TRAP (125X110MM)</v>
          </cell>
          <cell r="C580" t="str">
            <v>SWR FITTING</v>
          </cell>
          <cell r="D580">
            <v>896</v>
          </cell>
        </row>
        <row r="581">
          <cell r="A581">
            <v>5172</v>
          </cell>
          <cell r="B581" t="str">
            <v>Q TRAP (110X110MM)</v>
          </cell>
          <cell r="C581" t="str">
            <v>SWR FITTING</v>
          </cell>
          <cell r="D581">
            <v>900.6</v>
          </cell>
        </row>
        <row r="582">
          <cell r="A582">
            <v>5772</v>
          </cell>
          <cell r="B582" t="str">
            <v>Q TRAP (125X110MM)</v>
          </cell>
          <cell r="C582" t="str">
            <v>SWR FITTING</v>
          </cell>
          <cell r="D582">
            <v>900.6</v>
          </cell>
        </row>
        <row r="583">
          <cell r="A583">
            <v>5173</v>
          </cell>
          <cell r="B583" t="str">
            <v>SWR  FITTING S TRAP (110 X110MM)</v>
          </cell>
          <cell r="C583" t="str">
            <v>SWR FITTING</v>
          </cell>
          <cell r="D583">
            <v>960</v>
          </cell>
        </row>
        <row r="584">
          <cell r="A584">
            <v>5773</v>
          </cell>
          <cell r="B584" t="str">
            <v>SWR  FITTING S TRAP (125X110 MM)</v>
          </cell>
          <cell r="C584" t="str">
            <v>SWR FITTING</v>
          </cell>
          <cell r="D584">
            <v>1054</v>
          </cell>
        </row>
        <row r="585">
          <cell r="A585">
            <v>5791</v>
          </cell>
          <cell r="B585" t="str">
            <v>SWR  FITTING FLOOR TRAP (110X75 MM)</v>
          </cell>
          <cell r="C585" t="str">
            <v>SWR FITTING</v>
          </cell>
          <cell r="D585">
            <v>269.7</v>
          </cell>
        </row>
        <row r="586">
          <cell r="A586" t="str">
            <v>5710S</v>
          </cell>
          <cell r="B586" t="str">
            <v xml:space="preserve">75 MM 45° BEND </v>
          </cell>
          <cell r="C586" t="str">
            <v>SWR FITTING</v>
          </cell>
          <cell r="D586">
            <v>141</v>
          </cell>
        </row>
        <row r="587">
          <cell r="A587" t="str">
            <v>5910S</v>
          </cell>
          <cell r="B587" t="str">
            <v xml:space="preserve">90 MM 45° BEND </v>
          </cell>
          <cell r="C587" t="str">
            <v>SWR FITTING</v>
          </cell>
          <cell r="D587">
            <v>190</v>
          </cell>
        </row>
        <row r="588">
          <cell r="A588" t="str">
            <v>5110S</v>
          </cell>
          <cell r="B588" t="str">
            <v xml:space="preserve">110 MM 45° BEND </v>
          </cell>
          <cell r="C588" t="str">
            <v>SWR FITTING</v>
          </cell>
          <cell r="D588">
            <v>258</v>
          </cell>
        </row>
        <row r="589">
          <cell r="A589" t="str">
            <v>5610S</v>
          </cell>
          <cell r="B589" t="str">
            <v xml:space="preserve">160 MM 45° BEND </v>
          </cell>
          <cell r="C589" t="str">
            <v>SWR FITTING</v>
          </cell>
          <cell r="D589">
            <v>662</v>
          </cell>
        </row>
        <row r="590">
          <cell r="A590" t="str">
            <v>5711S</v>
          </cell>
          <cell r="B590" t="str">
            <v xml:space="preserve">75 MM BEND </v>
          </cell>
          <cell r="C590" t="str">
            <v>SWR FITTING</v>
          </cell>
          <cell r="D590">
            <v>165</v>
          </cell>
        </row>
        <row r="591">
          <cell r="A591" t="str">
            <v>5911S</v>
          </cell>
          <cell r="B591" t="str">
            <v xml:space="preserve">90 MM BEND </v>
          </cell>
          <cell r="C591" t="str">
            <v>SWR FITTING</v>
          </cell>
          <cell r="D591">
            <v>221</v>
          </cell>
        </row>
        <row r="592">
          <cell r="A592" t="str">
            <v>5111S</v>
          </cell>
          <cell r="B592" t="str">
            <v xml:space="preserve">110 MM BEND </v>
          </cell>
          <cell r="C592" t="str">
            <v>SWR FITTING</v>
          </cell>
          <cell r="D592">
            <v>327</v>
          </cell>
        </row>
        <row r="593">
          <cell r="A593" t="str">
            <v>5611S</v>
          </cell>
          <cell r="B593" t="str">
            <v xml:space="preserve">160 MM BEND </v>
          </cell>
          <cell r="C593" t="str">
            <v>SWR FITTING</v>
          </cell>
          <cell r="D593">
            <v>817</v>
          </cell>
        </row>
        <row r="594">
          <cell r="A594" t="str">
            <v>5712S</v>
          </cell>
          <cell r="B594" t="str">
            <v xml:space="preserve">75 MM BEND WITH DOOR </v>
          </cell>
          <cell r="C594" t="str">
            <v>SWR FITTING</v>
          </cell>
          <cell r="D594">
            <v>176</v>
          </cell>
        </row>
        <row r="595">
          <cell r="A595" t="str">
            <v>5912S</v>
          </cell>
          <cell r="B595" t="str">
            <v xml:space="preserve">90MM BEND WITH DOOR </v>
          </cell>
          <cell r="C595" t="str">
            <v>SWR FITTING</v>
          </cell>
          <cell r="D595">
            <v>232</v>
          </cell>
        </row>
        <row r="596">
          <cell r="A596" t="str">
            <v>5112S</v>
          </cell>
          <cell r="B596" t="str">
            <v xml:space="preserve">110 MM BEND WITH DOOR </v>
          </cell>
          <cell r="C596" t="str">
            <v>SWR FITTING</v>
          </cell>
          <cell r="D596">
            <v>344</v>
          </cell>
        </row>
        <row r="597">
          <cell r="A597" t="str">
            <v>5612S</v>
          </cell>
          <cell r="B597" t="str">
            <v xml:space="preserve">160 MM BEND WITH DOOR </v>
          </cell>
          <cell r="C597" t="str">
            <v>SWR FITTING</v>
          </cell>
          <cell r="D597">
            <v>827</v>
          </cell>
        </row>
        <row r="598">
          <cell r="A598" t="str">
            <v>5721S</v>
          </cell>
          <cell r="B598" t="str">
            <v>75 MM COUPLER</v>
          </cell>
          <cell r="C598" t="str">
            <v>SWR FITTING</v>
          </cell>
          <cell r="D598">
            <v>99.5</v>
          </cell>
        </row>
        <row r="599">
          <cell r="A599" t="str">
            <v>5921S</v>
          </cell>
          <cell r="B599" t="str">
            <v>90 MM COUPLER</v>
          </cell>
          <cell r="C599" t="str">
            <v>SWR FITTING</v>
          </cell>
          <cell r="D599">
            <v>138</v>
          </cell>
        </row>
        <row r="600">
          <cell r="A600" t="str">
            <v>5121S</v>
          </cell>
          <cell r="B600" t="str">
            <v>110 MM COUPLER</v>
          </cell>
          <cell r="C600" t="str">
            <v>SWR FITTING</v>
          </cell>
          <cell r="D600">
            <v>179.7</v>
          </cell>
        </row>
        <row r="601">
          <cell r="A601" t="str">
            <v>5621S</v>
          </cell>
          <cell r="B601" t="str">
            <v>160 MM COUPLER</v>
          </cell>
          <cell r="C601" t="str">
            <v>SWR FITTING</v>
          </cell>
          <cell r="D601">
            <v>405.5</v>
          </cell>
        </row>
        <row r="602">
          <cell r="A602" t="str">
            <v>5722S</v>
          </cell>
          <cell r="B602" t="str">
            <v xml:space="preserve">75 MM REPAIER COUPLER </v>
          </cell>
          <cell r="C602" t="str">
            <v>SWR FITTING</v>
          </cell>
          <cell r="D602">
            <v>98</v>
          </cell>
        </row>
        <row r="603">
          <cell r="A603" t="str">
            <v>5922S</v>
          </cell>
          <cell r="B603" t="str">
            <v xml:space="preserve">90 MM REPAIER COUPLER </v>
          </cell>
          <cell r="C603" t="str">
            <v>SWR FITTING</v>
          </cell>
          <cell r="D603">
            <v>137</v>
          </cell>
        </row>
        <row r="604">
          <cell r="A604" t="str">
            <v>5122S</v>
          </cell>
          <cell r="B604" t="str">
            <v xml:space="preserve">110 MM REPAIER COUPLER </v>
          </cell>
          <cell r="C604" t="str">
            <v>SWR FITTING</v>
          </cell>
          <cell r="D604">
            <v>177</v>
          </cell>
        </row>
        <row r="605">
          <cell r="A605" t="str">
            <v>5622S</v>
          </cell>
          <cell r="B605" t="str">
            <v xml:space="preserve">160MM REPAIER COUPLER </v>
          </cell>
          <cell r="C605" t="str">
            <v>SWR FITTING</v>
          </cell>
          <cell r="D605">
            <v>401</v>
          </cell>
        </row>
        <row r="606">
          <cell r="A606" t="str">
            <v>5733S</v>
          </cell>
          <cell r="B606" t="str">
            <v>75 MM TEE</v>
          </cell>
          <cell r="C606" t="str">
            <v>SWR FITTING</v>
          </cell>
          <cell r="D606">
            <v>251</v>
          </cell>
        </row>
        <row r="607">
          <cell r="A607" t="str">
            <v>5933S</v>
          </cell>
          <cell r="B607" t="str">
            <v>90 MM TEE</v>
          </cell>
          <cell r="C607" t="str">
            <v>SWR FITTING</v>
          </cell>
          <cell r="D607">
            <v>324</v>
          </cell>
        </row>
        <row r="608">
          <cell r="A608" t="str">
            <v>5133S</v>
          </cell>
          <cell r="B608" t="str">
            <v>110 MM TEE</v>
          </cell>
          <cell r="C608" t="str">
            <v>SWR FITTING</v>
          </cell>
          <cell r="D608">
            <v>452.5</v>
          </cell>
        </row>
        <row r="609">
          <cell r="A609" t="str">
            <v>5633S</v>
          </cell>
          <cell r="B609" t="str">
            <v>160 MM TEE</v>
          </cell>
          <cell r="C609" t="str">
            <v>SWR FITTING</v>
          </cell>
          <cell r="D609">
            <v>1151</v>
          </cell>
        </row>
        <row r="610">
          <cell r="A610" t="str">
            <v>5734S</v>
          </cell>
          <cell r="B610" t="str">
            <v xml:space="preserve">75 MM TEE WITH DOOR </v>
          </cell>
          <cell r="C610" t="str">
            <v>SWR FITTING</v>
          </cell>
          <cell r="D610">
            <v>269</v>
          </cell>
        </row>
        <row r="611">
          <cell r="A611" t="str">
            <v>5934S</v>
          </cell>
          <cell r="B611" t="str">
            <v xml:space="preserve">90 MM TEE WITH DOOR </v>
          </cell>
          <cell r="C611" t="str">
            <v>SWR FITTING</v>
          </cell>
          <cell r="D611">
            <v>339</v>
          </cell>
        </row>
        <row r="612">
          <cell r="A612" t="str">
            <v>5134S</v>
          </cell>
          <cell r="B612" t="str">
            <v xml:space="preserve">110 MM TEE WITH DOOR </v>
          </cell>
          <cell r="C612" t="str">
            <v>SWR FITTING</v>
          </cell>
          <cell r="D612">
            <v>481</v>
          </cell>
        </row>
        <row r="613">
          <cell r="A613" t="str">
            <v>5634S</v>
          </cell>
          <cell r="B613" t="str">
            <v xml:space="preserve">160 MM TEE WITH DOOR </v>
          </cell>
          <cell r="C613" t="str">
            <v>SWR FITTING</v>
          </cell>
          <cell r="D613">
            <v>1142</v>
          </cell>
        </row>
        <row r="614">
          <cell r="A614" t="str">
            <v>5741S</v>
          </cell>
          <cell r="B614" t="str">
            <v>75 MM SINGLE Y</v>
          </cell>
          <cell r="C614" t="str">
            <v>SWR FITTING</v>
          </cell>
          <cell r="D614">
            <v>308</v>
          </cell>
        </row>
        <row r="615">
          <cell r="A615" t="str">
            <v>5941S</v>
          </cell>
          <cell r="B615" t="str">
            <v>90 MM SINGLE Y</v>
          </cell>
          <cell r="C615" t="str">
            <v>SWR FITTING</v>
          </cell>
          <cell r="D615">
            <v>401</v>
          </cell>
        </row>
        <row r="616">
          <cell r="A616" t="str">
            <v>5141S</v>
          </cell>
          <cell r="B616" t="str">
            <v>110 MM SINGLE Y</v>
          </cell>
          <cell r="C616" t="str">
            <v>SWR FITTING</v>
          </cell>
          <cell r="D616">
            <v>587</v>
          </cell>
        </row>
        <row r="617">
          <cell r="A617" t="str">
            <v>5641S</v>
          </cell>
          <cell r="B617" t="str">
            <v>160 MM SINGLE Y</v>
          </cell>
          <cell r="C617" t="str">
            <v>SWR FITTING</v>
          </cell>
          <cell r="D617">
            <v>1513</v>
          </cell>
        </row>
        <row r="618">
          <cell r="A618" t="str">
            <v>5742S</v>
          </cell>
          <cell r="B618" t="str">
            <v xml:space="preserve">75 MM SINGLE Y WITH DOOR </v>
          </cell>
          <cell r="C618" t="str">
            <v>SWR FITTING</v>
          </cell>
          <cell r="D618">
            <v>317</v>
          </cell>
        </row>
        <row r="619">
          <cell r="A619" t="str">
            <v>5942S</v>
          </cell>
          <cell r="B619" t="str">
            <v xml:space="preserve">90 MM SINGLE Y WITH DOOR </v>
          </cell>
          <cell r="C619" t="str">
            <v>SWR FITTING</v>
          </cell>
          <cell r="D619">
            <v>412</v>
          </cell>
        </row>
        <row r="620">
          <cell r="A620" t="str">
            <v>5142S</v>
          </cell>
          <cell r="B620" t="str">
            <v xml:space="preserve">110 MM SINGLE Y WITH DOOR </v>
          </cell>
          <cell r="C620" t="str">
            <v>SWR FITTING</v>
          </cell>
          <cell r="D620">
            <v>614</v>
          </cell>
        </row>
        <row r="621">
          <cell r="A621" t="str">
            <v>5642S</v>
          </cell>
          <cell r="B621" t="str">
            <v xml:space="preserve">160 MM SINGLE Y WITH DOOR </v>
          </cell>
          <cell r="C621" t="str">
            <v>SWR FITTING</v>
          </cell>
          <cell r="D621">
            <v>1.514</v>
          </cell>
        </row>
        <row r="622">
          <cell r="A622" t="str">
            <v>A-264</v>
          </cell>
          <cell r="B622" t="str">
            <v>COUPLING 40 MM</v>
          </cell>
          <cell r="C622" t="str">
            <v>AGRI FITTING</v>
          </cell>
          <cell r="D622">
            <v>33.700000000000003</v>
          </cell>
        </row>
        <row r="623">
          <cell r="A623" t="str">
            <v>A-265</v>
          </cell>
          <cell r="B623" t="str">
            <v>COUPLING 50 MM</v>
          </cell>
          <cell r="C623" t="str">
            <v>AGRI FITTING</v>
          </cell>
          <cell r="D623">
            <v>55.2</v>
          </cell>
        </row>
        <row r="624">
          <cell r="A624" t="str">
            <v>A-266</v>
          </cell>
          <cell r="B624" t="str">
            <v>COUPLING 63 MM</v>
          </cell>
          <cell r="C624" t="str">
            <v>AGRI FITTING</v>
          </cell>
          <cell r="D624">
            <v>88.35</v>
          </cell>
        </row>
        <row r="625">
          <cell r="A625" t="str">
            <v>A-267</v>
          </cell>
          <cell r="B625" t="str">
            <v>COUPLING 75 MM</v>
          </cell>
          <cell r="C625" t="str">
            <v>AGRI FITTING</v>
          </cell>
          <cell r="D625">
            <v>128.9</v>
          </cell>
        </row>
        <row r="626">
          <cell r="A626" t="str">
            <v>A-268</v>
          </cell>
          <cell r="B626" t="str">
            <v>COUPLING 90 MM</v>
          </cell>
          <cell r="C626" t="str">
            <v>AGRI FITTING</v>
          </cell>
          <cell r="D626">
            <v>191</v>
          </cell>
        </row>
        <row r="627">
          <cell r="A627" t="str">
            <v>A-269</v>
          </cell>
          <cell r="B627" t="str">
            <v>COUPLING 110 MM</v>
          </cell>
          <cell r="C627" t="str">
            <v>AGRI FITTING</v>
          </cell>
          <cell r="D627">
            <v>295.60000000000002</v>
          </cell>
        </row>
        <row r="628">
          <cell r="A628" t="str">
            <v>A-270</v>
          </cell>
          <cell r="B628" t="str">
            <v>COUPLING 125MM</v>
          </cell>
          <cell r="C628" t="str">
            <v>AGRI FITTING</v>
          </cell>
          <cell r="D628">
            <v>400</v>
          </cell>
        </row>
        <row r="629">
          <cell r="A629" t="str">
            <v>A-271</v>
          </cell>
          <cell r="B629" t="str">
            <v>COUPLING 140 MM</v>
          </cell>
          <cell r="C629" t="str">
            <v>AGRI FITTING</v>
          </cell>
          <cell r="D629">
            <v>543.5</v>
          </cell>
        </row>
        <row r="630">
          <cell r="A630" t="str">
            <v>A-272</v>
          </cell>
          <cell r="B630" t="str">
            <v>COUPLING 160 MM</v>
          </cell>
          <cell r="C630" t="str">
            <v>AGRI FITTING</v>
          </cell>
          <cell r="D630">
            <v>756.7</v>
          </cell>
        </row>
        <row r="631">
          <cell r="A631" t="str">
            <v>A-364</v>
          </cell>
          <cell r="B631" t="str">
            <v>TEE 40 MM</v>
          </cell>
          <cell r="C631" t="str">
            <v>AGRI FITTING</v>
          </cell>
          <cell r="D631">
            <v>78.900000000000006</v>
          </cell>
        </row>
        <row r="632">
          <cell r="A632" t="str">
            <v>A-365</v>
          </cell>
          <cell r="B632" t="str">
            <v>TEE 50 MM</v>
          </cell>
          <cell r="C632" t="str">
            <v>AGRI FITTING</v>
          </cell>
          <cell r="D632">
            <v>123.5</v>
          </cell>
        </row>
        <row r="633">
          <cell r="A633" t="str">
            <v>A-366</v>
          </cell>
          <cell r="B633" t="str">
            <v>TEE 63 MM</v>
          </cell>
          <cell r="C633" t="str">
            <v>AGRI FITTING</v>
          </cell>
          <cell r="D633">
            <v>200.2</v>
          </cell>
        </row>
        <row r="634">
          <cell r="A634" t="str">
            <v>A-367</v>
          </cell>
          <cell r="B634" t="str">
            <v>TEE 75 MM</v>
          </cell>
          <cell r="C634" t="str">
            <v>AGRI FITTING</v>
          </cell>
          <cell r="D634">
            <v>305.5</v>
          </cell>
        </row>
        <row r="635">
          <cell r="A635" t="str">
            <v>A-368</v>
          </cell>
          <cell r="B635" t="str">
            <v>TEE  90 MM</v>
          </cell>
          <cell r="C635" t="str">
            <v>AGRI FITTING</v>
          </cell>
          <cell r="D635">
            <v>461</v>
          </cell>
        </row>
        <row r="636">
          <cell r="A636" t="str">
            <v>A-369</v>
          </cell>
          <cell r="B636" t="str">
            <v>TEE 110 MM</v>
          </cell>
          <cell r="C636" t="str">
            <v>AGRI FITTING</v>
          </cell>
          <cell r="D636">
            <v>725</v>
          </cell>
        </row>
        <row r="637">
          <cell r="A637" t="str">
            <v>A-370</v>
          </cell>
          <cell r="B637" t="str">
            <v>TEE 125 MM</v>
          </cell>
          <cell r="C637" t="str">
            <v>AGRI FITTING</v>
          </cell>
          <cell r="D637">
            <v>967.5</v>
          </cell>
        </row>
        <row r="638">
          <cell r="A638" t="str">
            <v>A-371</v>
          </cell>
          <cell r="B638" t="str">
            <v>TEE 140 MM</v>
          </cell>
          <cell r="C638" t="str">
            <v>AGRI FITTING</v>
          </cell>
          <cell r="D638">
            <v>1333</v>
          </cell>
        </row>
        <row r="639">
          <cell r="A639" t="str">
            <v>A-372</v>
          </cell>
          <cell r="B639" t="str">
            <v>TEE 160 MM</v>
          </cell>
          <cell r="C639" t="str">
            <v>AGRI FITTING</v>
          </cell>
          <cell r="D639">
            <v>1840</v>
          </cell>
        </row>
        <row r="640">
          <cell r="A640" t="str">
            <v>A-464</v>
          </cell>
          <cell r="B640" t="str">
            <v>ELBOW 40 MM</v>
          </cell>
          <cell r="C640" t="str">
            <v>AGRI FITTING</v>
          </cell>
          <cell r="D640">
            <v>61.5</v>
          </cell>
        </row>
        <row r="641">
          <cell r="A641" t="str">
            <v>A-465</v>
          </cell>
          <cell r="B641" t="str">
            <v>ELBOW 50 MM</v>
          </cell>
          <cell r="C641" t="str">
            <v>AGRI FITTING</v>
          </cell>
          <cell r="D641">
            <v>97.5</v>
          </cell>
        </row>
        <row r="642">
          <cell r="A642" t="str">
            <v>A-466</v>
          </cell>
          <cell r="B642" t="str">
            <v>ELBOW 63 MM</v>
          </cell>
          <cell r="C642" t="str">
            <v>AGRI FITTING</v>
          </cell>
          <cell r="D642">
            <v>152.69999999999999</v>
          </cell>
        </row>
        <row r="643">
          <cell r="A643" t="str">
            <v>A-467</v>
          </cell>
          <cell r="B643" t="str">
            <v>ELBOW 75 MM</v>
          </cell>
          <cell r="C643" t="str">
            <v>AGRI FITTING</v>
          </cell>
          <cell r="D643">
            <v>232.8</v>
          </cell>
        </row>
        <row r="644">
          <cell r="A644" t="str">
            <v>A-468</v>
          </cell>
          <cell r="B644" t="str">
            <v>ELBOW 90 MM</v>
          </cell>
          <cell r="C644" t="str">
            <v>AGRI FITTING</v>
          </cell>
          <cell r="D644">
            <v>344</v>
          </cell>
        </row>
        <row r="645">
          <cell r="A645" t="str">
            <v>A-469</v>
          </cell>
          <cell r="B645" t="str">
            <v>ELBOW 110 MM</v>
          </cell>
          <cell r="C645" t="str">
            <v>AGRI FITTING</v>
          </cell>
          <cell r="D645">
            <v>533</v>
          </cell>
        </row>
        <row r="646">
          <cell r="A646" t="str">
            <v>A-470</v>
          </cell>
          <cell r="B646" t="str">
            <v>ELBOW 125 MM</v>
          </cell>
          <cell r="C646" t="str">
            <v>AGRI FITTING</v>
          </cell>
          <cell r="D646">
            <v>797</v>
          </cell>
        </row>
        <row r="647">
          <cell r="A647" t="str">
            <v>A-471</v>
          </cell>
          <cell r="B647" t="str">
            <v>ELBOW 140 MM</v>
          </cell>
          <cell r="C647" t="str">
            <v>AGRI FITTING</v>
          </cell>
          <cell r="D647">
            <v>1051</v>
          </cell>
        </row>
        <row r="648">
          <cell r="A648" t="str">
            <v>A-472</v>
          </cell>
          <cell r="B648" t="str">
            <v>ELBOW 160 MM</v>
          </cell>
          <cell r="C648" t="str">
            <v>AGRI FITTING</v>
          </cell>
          <cell r="D648">
            <v>1568</v>
          </cell>
        </row>
        <row r="649">
          <cell r="A649" t="str">
            <v>A-564</v>
          </cell>
          <cell r="B649" t="str">
            <v>END CAP 40 MM</v>
          </cell>
          <cell r="C649" t="str">
            <v>AGRI FITTING</v>
          </cell>
          <cell r="D649">
            <v>24.6</v>
          </cell>
        </row>
        <row r="650">
          <cell r="A650" t="str">
            <v>A-565</v>
          </cell>
          <cell r="B650" t="str">
            <v>END CAP 50 MM</v>
          </cell>
          <cell r="C650" t="str">
            <v>AGRI FITTING</v>
          </cell>
          <cell r="D650">
            <v>40</v>
          </cell>
        </row>
        <row r="651">
          <cell r="A651" t="str">
            <v>A-566</v>
          </cell>
          <cell r="B651" t="str">
            <v>END CAP 63 MM</v>
          </cell>
          <cell r="C651" t="str">
            <v>AGRI FITTING</v>
          </cell>
          <cell r="D651">
            <v>64.099999999999994</v>
          </cell>
        </row>
        <row r="652">
          <cell r="A652" t="str">
            <v>A-567</v>
          </cell>
          <cell r="B652" t="str">
            <v>END CAP 75 MM</v>
          </cell>
          <cell r="C652" t="str">
            <v>AGRI FITTING</v>
          </cell>
          <cell r="D652">
            <v>89.7</v>
          </cell>
        </row>
        <row r="653">
          <cell r="A653" t="str">
            <v>A-568</v>
          </cell>
          <cell r="B653" t="str">
            <v>END CAP 90 MM</v>
          </cell>
          <cell r="C653" t="str">
            <v>AGRI FITTING</v>
          </cell>
          <cell r="D653">
            <v>138.5</v>
          </cell>
        </row>
        <row r="654">
          <cell r="A654" t="str">
            <v>A-569</v>
          </cell>
          <cell r="B654" t="str">
            <v>END CAP 110 MM</v>
          </cell>
          <cell r="C654" t="str">
            <v>AGRI FITTING</v>
          </cell>
          <cell r="D654">
            <v>218</v>
          </cell>
        </row>
        <row r="655">
          <cell r="A655" t="str">
            <v>A-570</v>
          </cell>
          <cell r="B655" t="str">
            <v>END CAP 125 MM</v>
          </cell>
          <cell r="C655" t="str">
            <v>AGRI FITTING</v>
          </cell>
          <cell r="D655">
            <v>278</v>
          </cell>
        </row>
        <row r="656">
          <cell r="A656" t="str">
            <v>A-571</v>
          </cell>
          <cell r="B656" t="str">
            <v>END CAP 140 MM</v>
          </cell>
          <cell r="C656" t="str">
            <v>AGRI FITTING</v>
          </cell>
          <cell r="D656">
            <v>381.2</v>
          </cell>
        </row>
        <row r="657">
          <cell r="A657" t="str">
            <v>A-572</v>
          </cell>
          <cell r="B657" t="str">
            <v>END CAP 160 MM</v>
          </cell>
          <cell r="C657" t="str">
            <v>AGRI FITTING</v>
          </cell>
          <cell r="D657">
            <v>542</v>
          </cell>
        </row>
        <row r="658">
          <cell r="A658" t="str">
            <v>A-661</v>
          </cell>
          <cell r="B658" t="str">
            <v>REDUCER TEE 75X50 MM</v>
          </cell>
          <cell r="C658" t="str">
            <v>AGRI FITTING</v>
          </cell>
          <cell r="D658">
            <v>233.5</v>
          </cell>
        </row>
        <row r="659">
          <cell r="A659" t="str">
            <v>A-662</v>
          </cell>
          <cell r="B659" t="str">
            <v>REDUCER TEE 75X63 MM</v>
          </cell>
          <cell r="C659" t="str">
            <v>AGRI FITTING</v>
          </cell>
          <cell r="D659">
            <v>271.5</v>
          </cell>
        </row>
        <row r="660">
          <cell r="A660" t="str">
            <v>A-663</v>
          </cell>
          <cell r="B660" t="str">
            <v xml:space="preserve"> REDUCER TEE  90X63 MM</v>
          </cell>
          <cell r="C660" t="str">
            <v>AGRI FITTING</v>
          </cell>
          <cell r="D660">
            <v>360.5</v>
          </cell>
        </row>
        <row r="661">
          <cell r="A661" t="str">
            <v>A-664</v>
          </cell>
          <cell r="B661" t="str">
            <v>REDUCER TEE 90X75 MM</v>
          </cell>
          <cell r="C661" t="str">
            <v>AGRI FITTING</v>
          </cell>
          <cell r="D661">
            <v>389.4</v>
          </cell>
        </row>
        <row r="662">
          <cell r="A662" t="str">
            <v>A-665</v>
          </cell>
          <cell r="B662" t="str">
            <v>REDUCER TEE 110X63 MM</v>
          </cell>
          <cell r="C662" t="str">
            <v>AGRI FITTING</v>
          </cell>
          <cell r="D662">
            <v>507.5</v>
          </cell>
        </row>
        <row r="663">
          <cell r="A663" t="str">
            <v>A-666</v>
          </cell>
          <cell r="B663" t="str">
            <v>REDUCER TEE 110X75 MM</v>
          </cell>
          <cell r="C663" t="str">
            <v>AGRI FITTING</v>
          </cell>
          <cell r="D663">
            <v>556</v>
          </cell>
        </row>
        <row r="664">
          <cell r="A664" t="str">
            <v>A-667</v>
          </cell>
          <cell r="B664" t="str">
            <v>REDUCER TEE110X90 MM</v>
          </cell>
          <cell r="C664" t="str">
            <v>AGRI FITTING</v>
          </cell>
          <cell r="D664">
            <v>618</v>
          </cell>
        </row>
        <row r="665">
          <cell r="A665" t="str">
            <v>A-668</v>
          </cell>
          <cell r="B665" t="str">
            <v>REDUCER TEE 140X75 MM</v>
          </cell>
          <cell r="C665" t="str">
            <v>AGRI FITTING</v>
          </cell>
          <cell r="D665">
            <v>0</v>
          </cell>
        </row>
        <row r="666">
          <cell r="A666" t="str">
            <v>A-669</v>
          </cell>
          <cell r="B666" t="str">
            <v>REDUCER TEE 140X90 MM</v>
          </cell>
          <cell r="C666" t="str">
            <v>AGRI FITTING</v>
          </cell>
          <cell r="D666">
            <v>972</v>
          </cell>
        </row>
        <row r="667">
          <cell r="A667" t="str">
            <v>A-670</v>
          </cell>
          <cell r="B667" t="str">
            <v>REDUCER TEE 160X75 MM</v>
          </cell>
          <cell r="C667" t="str">
            <v>AGRI FITTING</v>
          </cell>
          <cell r="D667">
            <v>1205</v>
          </cell>
        </row>
        <row r="668">
          <cell r="A668" t="str">
            <v>A-671</v>
          </cell>
          <cell r="B668" t="str">
            <v>REDUCER TEE 160X90 MM</v>
          </cell>
          <cell r="C668" t="str">
            <v>AGRI FITTING</v>
          </cell>
          <cell r="D668">
            <v>1282</v>
          </cell>
        </row>
        <row r="669">
          <cell r="A669" t="str">
            <v>A-672</v>
          </cell>
          <cell r="B669" t="str">
            <v>REDUCER TEE 160X110 MM</v>
          </cell>
          <cell r="C669" t="str">
            <v>AGRI FITTING</v>
          </cell>
          <cell r="D669">
            <v>1396</v>
          </cell>
        </row>
        <row r="670">
          <cell r="A670" t="str">
            <v>A-761</v>
          </cell>
          <cell r="B670" t="str">
            <v>REDUCER COUPLER 75X50</v>
          </cell>
          <cell r="C670" t="str">
            <v>AGRI FITTING</v>
          </cell>
          <cell r="D670">
            <v>1005</v>
          </cell>
        </row>
        <row r="671">
          <cell r="A671" t="str">
            <v>A-762</v>
          </cell>
          <cell r="B671" t="str">
            <v>REDUCERCOUPLER 75X63</v>
          </cell>
          <cell r="C671" t="str">
            <v>AGRI FITTING</v>
          </cell>
          <cell r="D671">
            <v>111.7</v>
          </cell>
        </row>
        <row r="672">
          <cell r="A672" t="str">
            <v>A-763</v>
          </cell>
          <cell r="B672" t="str">
            <v>REDUCER COUPLER 90X50</v>
          </cell>
          <cell r="C672" t="str">
            <v>AGRI FITTING</v>
          </cell>
          <cell r="D672">
            <v>144</v>
          </cell>
        </row>
        <row r="673">
          <cell r="A673" t="str">
            <v>A-764</v>
          </cell>
          <cell r="B673" t="str">
            <v>REDUCER COUPLER 90X63</v>
          </cell>
          <cell r="C673" t="str">
            <v>AGRI FITTING</v>
          </cell>
          <cell r="D673">
            <v>150</v>
          </cell>
        </row>
        <row r="674">
          <cell r="A674" t="str">
            <v>A-765</v>
          </cell>
          <cell r="B674" t="str">
            <v>REDUCER COUPLER 90X75</v>
          </cell>
          <cell r="C674" t="str">
            <v>AGRI FITTING</v>
          </cell>
          <cell r="D674">
            <v>166.5</v>
          </cell>
        </row>
        <row r="675">
          <cell r="A675" t="str">
            <v>A-766</v>
          </cell>
          <cell r="B675" t="str">
            <v>REDUCER COUPLER 110X63</v>
          </cell>
          <cell r="C675" t="str">
            <v>AGRI FITTING</v>
          </cell>
          <cell r="D675">
            <v>227.5</v>
          </cell>
        </row>
        <row r="676">
          <cell r="A676" t="str">
            <v>A-767</v>
          </cell>
          <cell r="B676" t="str">
            <v>REDUCER COUPLER 110X75</v>
          </cell>
          <cell r="C676" t="str">
            <v>AGRI FITTING</v>
          </cell>
          <cell r="D676">
            <v>241</v>
          </cell>
        </row>
        <row r="677">
          <cell r="A677" t="str">
            <v>A-768</v>
          </cell>
          <cell r="B677" t="str">
            <v>REDUCER COUPLER 110X90</v>
          </cell>
          <cell r="C677" t="str">
            <v>AGRI FITTING</v>
          </cell>
          <cell r="D677">
            <v>256.8</v>
          </cell>
        </row>
        <row r="678">
          <cell r="A678" t="str">
            <v>A-769</v>
          </cell>
          <cell r="B678" t="str">
            <v>REDUCER COUPLER 140X90</v>
          </cell>
          <cell r="C678" t="str">
            <v>AGRI FITTING</v>
          </cell>
          <cell r="D678">
            <v>427</v>
          </cell>
        </row>
        <row r="679">
          <cell r="A679" t="str">
            <v>A-770</v>
          </cell>
          <cell r="B679" t="str">
            <v>REDUCER COUPLER  160X110</v>
          </cell>
          <cell r="C679" t="str">
            <v>AGRI FITTING</v>
          </cell>
          <cell r="D679">
            <v>625</v>
          </cell>
        </row>
        <row r="680">
          <cell r="A680" t="str">
            <v>A-242</v>
          </cell>
          <cell r="B680" t="str">
            <v>160MM COUPLER4 KG/CM2</v>
          </cell>
          <cell r="C680" t="str">
            <v>AGRI FITTING</v>
          </cell>
          <cell r="D680">
            <v>579.4</v>
          </cell>
        </row>
        <row r="681">
          <cell r="A681" t="str">
            <v>A-243</v>
          </cell>
          <cell r="B681" t="str">
            <v>200MM COUPLER4 KG/CM2</v>
          </cell>
          <cell r="C681" t="str">
            <v>AGRI FITTING</v>
          </cell>
          <cell r="D681">
            <v>1025</v>
          </cell>
        </row>
        <row r="682">
          <cell r="A682" t="str">
            <v>A-246</v>
          </cell>
          <cell r="B682" t="str">
            <v>63MM COUPLER4 KG/CM2</v>
          </cell>
          <cell r="C682" t="str">
            <v>AGRI FITTING</v>
          </cell>
          <cell r="D682">
            <v>74</v>
          </cell>
        </row>
        <row r="683">
          <cell r="A683" t="str">
            <v>A-247</v>
          </cell>
          <cell r="B683" t="str">
            <v>75MM COUPLER4 KG/CM2</v>
          </cell>
          <cell r="C683" t="str">
            <v>AGRI FITTING</v>
          </cell>
          <cell r="D683">
            <v>106.5</v>
          </cell>
        </row>
        <row r="684">
          <cell r="A684" t="str">
            <v>A-248</v>
          </cell>
          <cell r="B684" t="str">
            <v>90MM COUPLER4 KG/CM2</v>
          </cell>
          <cell r="C684" t="str">
            <v>AGRI FITTING</v>
          </cell>
          <cell r="D684">
            <v>155</v>
          </cell>
        </row>
        <row r="685">
          <cell r="A685" t="str">
            <v>A-249</v>
          </cell>
          <cell r="B685" t="str">
            <v>110MM COUPLER4 KG/CM2</v>
          </cell>
          <cell r="C685" t="str">
            <v>AGRI FITTING</v>
          </cell>
          <cell r="D685">
            <v>242</v>
          </cell>
        </row>
        <row r="686">
          <cell r="A686" t="str">
            <v>A-340</v>
          </cell>
          <cell r="B686" t="str">
            <v>125MM EQUAL TEE4 KG/CM2</v>
          </cell>
          <cell r="C686" t="str">
            <v>AGRI FITTING</v>
          </cell>
          <cell r="D686">
            <v>0</v>
          </cell>
        </row>
        <row r="687">
          <cell r="A687" t="str">
            <v>A-342</v>
          </cell>
          <cell r="B687" t="str">
            <v>160MM EQUAL TEE4 KG/CM2</v>
          </cell>
          <cell r="C687" t="str">
            <v>AGRI FITTING</v>
          </cell>
          <cell r="D687">
            <v>1576</v>
          </cell>
        </row>
        <row r="688">
          <cell r="A688" t="str">
            <v>A-343</v>
          </cell>
          <cell r="B688" t="str">
            <v>200MM EQUAL TEE4 KG/CM2</v>
          </cell>
          <cell r="C688" t="str">
            <v>AGRI FITTING</v>
          </cell>
          <cell r="D688">
            <v>2640</v>
          </cell>
        </row>
        <row r="689">
          <cell r="A689" t="str">
            <v>A-346</v>
          </cell>
          <cell r="B689" t="str">
            <v>63MM EQUAL TEE4 KG/CM2</v>
          </cell>
          <cell r="C689" t="str">
            <v>AGRI FITTING</v>
          </cell>
          <cell r="D689">
            <v>181</v>
          </cell>
        </row>
        <row r="690">
          <cell r="A690" t="str">
            <v>A-347</v>
          </cell>
          <cell r="B690" t="str">
            <v>75MM EQUAL TEE4 KG/CM2</v>
          </cell>
          <cell r="C690" t="str">
            <v>AGRI FITTING</v>
          </cell>
          <cell r="D690">
            <v>267.39999999999998</v>
          </cell>
        </row>
        <row r="691">
          <cell r="A691" t="str">
            <v>A-348</v>
          </cell>
          <cell r="B691" t="str">
            <v>90MM EQUAL TEE4 KG/CM2</v>
          </cell>
          <cell r="C691" t="str">
            <v>AGRI FITTING</v>
          </cell>
          <cell r="D691">
            <v>397</v>
          </cell>
        </row>
        <row r="692">
          <cell r="A692" t="str">
            <v>A-349</v>
          </cell>
          <cell r="B692" t="str">
            <v>110MM EQUAL TEE4 KG/CM2</v>
          </cell>
          <cell r="C692" t="str">
            <v>AGRI FITTING</v>
          </cell>
          <cell r="D692">
            <v>621.20000000000005</v>
          </cell>
        </row>
        <row r="693">
          <cell r="A693" t="str">
            <v>A-442</v>
          </cell>
          <cell r="B693" t="str">
            <v>160MM ELBOW 4 KG/CM2</v>
          </cell>
          <cell r="C693" t="str">
            <v>AGRI FITTING</v>
          </cell>
          <cell r="D693">
            <v>1275</v>
          </cell>
        </row>
        <row r="694">
          <cell r="A694" t="str">
            <v>A-443</v>
          </cell>
          <cell r="B694" t="str">
            <v>200MM ELBOW 4 KG/CM2</v>
          </cell>
          <cell r="C694" t="str">
            <v>AGRI FITTING</v>
          </cell>
          <cell r="D694">
            <v>1831</v>
          </cell>
        </row>
        <row r="695">
          <cell r="A695" t="str">
            <v>A-446</v>
          </cell>
          <cell r="B695" t="str">
            <v>63MM ELBOW 4 KG/CM2</v>
          </cell>
          <cell r="C695" t="str">
            <v>AGRI FITTING</v>
          </cell>
          <cell r="D695">
            <v>128.5</v>
          </cell>
        </row>
        <row r="696">
          <cell r="A696" t="str">
            <v>A-447</v>
          </cell>
          <cell r="B696" t="str">
            <v>75MM ELBOW 4 KG/CM2</v>
          </cell>
          <cell r="C696" t="str">
            <v>AGRI FITTING</v>
          </cell>
          <cell r="D696">
            <v>190</v>
          </cell>
        </row>
        <row r="697">
          <cell r="A697" t="str">
            <v>A-448</v>
          </cell>
          <cell r="B697" t="str">
            <v>90MM ELBOW 4 KG/CM2</v>
          </cell>
          <cell r="C697" t="str">
            <v>AGRI FITTING</v>
          </cell>
          <cell r="D697">
            <v>282</v>
          </cell>
        </row>
        <row r="698">
          <cell r="A698" t="str">
            <v>A-449</v>
          </cell>
          <cell r="B698" t="str">
            <v>110MM ELBOW 4 KG/CM2</v>
          </cell>
          <cell r="C698" t="str">
            <v>AGRI FITTING</v>
          </cell>
          <cell r="D698">
            <v>463</v>
          </cell>
        </row>
        <row r="699">
          <cell r="A699" t="str">
            <v>A-542</v>
          </cell>
          <cell r="B699" t="str">
            <v>160MM END CAP4 KG/CM2</v>
          </cell>
          <cell r="C699" t="str">
            <v>AGRI FITTING</v>
          </cell>
          <cell r="D699">
            <v>422</v>
          </cell>
        </row>
        <row r="700">
          <cell r="A700" t="str">
            <v>A-543</v>
          </cell>
          <cell r="B700" t="str">
            <v>200MM END CAP4 KG/CM2</v>
          </cell>
          <cell r="C700" t="str">
            <v>AGRI FITTING</v>
          </cell>
          <cell r="D700">
            <v>843</v>
          </cell>
        </row>
        <row r="701">
          <cell r="A701" t="str">
            <v>A-546</v>
          </cell>
          <cell r="B701" t="str">
            <v>63MM END CAP4 KG/CM2</v>
          </cell>
          <cell r="C701" t="str">
            <v>AGRI FITTING</v>
          </cell>
          <cell r="D701">
            <v>54</v>
          </cell>
        </row>
        <row r="702">
          <cell r="A702" t="str">
            <v>A-547</v>
          </cell>
          <cell r="B702" t="str">
            <v>75MM END CAP4 KG/CM2</v>
          </cell>
          <cell r="C702" t="str">
            <v>AGRI FITTING</v>
          </cell>
          <cell r="D702">
            <v>78</v>
          </cell>
        </row>
        <row r="703">
          <cell r="A703" t="str">
            <v>A-548</v>
          </cell>
          <cell r="B703" t="str">
            <v>90MM END CAP4 KG/CM2</v>
          </cell>
          <cell r="C703" t="str">
            <v>AGRI FITTING</v>
          </cell>
          <cell r="D703">
            <v>112.8</v>
          </cell>
        </row>
        <row r="704">
          <cell r="A704" t="str">
            <v>A-549</v>
          </cell>
          <cell r="B704" t="str">
            <v>110MM END CAP4 KG/CM2</v>
          </cell>
          <cell r="C704" t="str">
            <v>AGRI FITTING</v>
          </cell>
          <cell r="D704">
            <v>174</v>
          </cell>
        </row>
        <row r="705">
          <cell r="A705" t="str">
            <v>PS-1</v>
          </cell>
          <cell r="B705" t="str">
            <v>1/2" CPVC SDR 11 CLASS 1</v>
          </cell>
          <cell r="C705" t="str">
            <v>CPVC PIPE</v>
          </cell>
          <cell r="D705">
            <v>0.37</v>
          </cell>
        </row>
        <row r="706">
          <cell r="A706" t="str">
            <v>PS-2</v>
          </cell>
          <cell r="B706" t="str">
            <v>3/4" CPVC SDR 11 CLASS 1</v>
          </cell>
          <cell r="C706" t="str">
            <v>CPVC PIPE</v>
          </cell>
          <cell r="D706">
            <v>0.62</v>
          </cell>
        </row>
        <row r="707">
          <cell r="A707" t="str">
            <v>PS-3</v>
          </cell>
          <cell r="B707" t="str">
            <v>1" CPVC SDR 11 CLASS 1</v>
          </cell>
          <cell r="C707" t="str">
            <v>CPVC PIPE</v>
          </cell>
          <cell r="D707">
            <v>0.99</v>
          </cell>
        </row>
        <row r="708">
          <cell r="A708" t="str">
            <v>PS-4</v>
          </cell>
          <cell r="B708" t="str">
            <v>1-1/4" CPVC SDR 11 CLASS 1</v>
          </cell>
          <cell r="C708" t="str">
            <v>CPVC PIPE</v>
          </cell>
          <cell r="D708">
            <v>1.52</v>
          </cell>
        </row>
        <row r="709">
          <cell r="A709" t="str">
            <v>PS-5</v>
          </cell>
          <cell r="B709" t="str">
            <v>1-1/2" CPVC SDR 11 CLASS 1</v>
          </cell>
          <cell r="C709" t="str">
            <v>CPVC PIPE</v>
          </cell>
          <cell r="D709">
            <v>2.1</v>
          </cell>
        </row>
        <row r="710">
          <cell r="A710" t="str">
            <v>PS-6</v>
          </cell>
          <cell r="B710" t="str">
            <v>2" CPVC SDR 11 CLASS 1</v>
          </cell>
          <cell r="C710" t="str">
            <v>CPVC PIPE</v>
          </cell>
          <cell r="D710">
            <v>3.58</v>
          </cell>
        </row>
        <row r="711">
          <cell r="A711" t="str">
            <v>PS-7</v>
          </cell>
          <cell r="B711" t="str">
            <v>2-1/2" CPVC SDR 11 CLASS 1</v>
          </cell>
          <cell r="C711" t="str">
            <v>CPVC PIPE</v>
          </cell>
          <cell r="D711">
            <v>6.6</v>
          </cell>
        </row>
        <row r="712">
          <cell r="A712" t="str">
            <v>PS-8</v>
          </cell>
          <cell r="B712" t="str">
            <v>3" CPVC SDR 11 CLASS 1</v>
          </cell>
          <cell r="C712" t="str">
            <v>CPVC PIPE</v>
          </cell>
          <cell r="D712">
            <v>8.6</v>
          </cell>
        </row>
        <row r="713">
          <cell r="A713" t="str">
            <v>PS-9</v>
          </cell>
          <cell r="B713" t="str">
            <v>4" CPVC SDR 11 CLASS 1</v>
          </cell>
          <cell r="C713" t="str">
            <v>CPVC PIPE</v>
          </cell>
          <cell r="D713">
            <v>12.5</v>
          </cell>
        </row>
        <row r="714">
          <cell r="A714" t="str">
            <v>PS-10</v>
          </cell>
          <cell r="B714" t="str">
            <v>3" CPVC SDR 11 CLASS 1</v>
          </cell>
          <cell r="C714" t="str">
            <v>CPVC PIPE</v>
          </cell>
          <cell r="D714">
            <v>0</v>
          </cell>
        </row>
        <row r="715">
          <cell r="A715" t="str">
            <v>PS-11</v>
          </cell>
          <cell r="B715" t="str">
            <v>1/2" CPVC SDR 13.5 CLASS 2</v>
          </cell>
          <cell r="C715" t="str">
            <v>CPVC PIPE</v>
          </cell>
          <cell r="D715">
            <v>0.35</v>
          </cell>
        </row>
        <row r="716">
          <cell r="A716" t="str">
            <v>PS-12</v>
          </cell>
          <cell r="B716" t="str">
            <v>3/4" CPVC SDR 13.5 CLASS 2</v>
          </cell>
          <cell r="C716" t="str">
            <v>CPVC PIPE</v>
          </cell>
          <cell r="D716">
            <v>0.52</v>
          </cell>
        </row>
        <row r="717">
          <cell r="A717" t="str">
            <v>PS-13</v>
          </cell>
          <cell r="B717" t="str">
            <v>1" CPVC SDR 13.5 CLASS 2</v>
          </cell>
          <cell r="C717" t="str">
            <v>CPVC PIPE</v>
          </cell>
          <cell r="D717">
            <v>0.8</v>
          </cell>
        </row>
        <row r="718">
          <cell r="A718" t="str">
            <v>PS-14</v>
          </cell>
          <cell r="B718" t="str">
            <v>1-1/4" CPVC SDR 13.5 CLASS 2</v>
          </cell>
          <cell r="C718" t="str">
            <v>CPVC PIPE</v>
          </cell>
          <cell r="D718">
            <v>1.25</v>
          </cell>
        </row>
        <row r="719">
          <cell r="A719" t="str">
            <v>PS-15</v>
          </cell>
          <cell r="B719" t="str">
            <v>1-1/2" CPVC SDR 13.5 CLASS 2</v>
          </cell>
          <cell r="C719" t="str">
            <v>CPVC PIPE</v>
          </cell>
          <cell r="D719">
            <v>1.75</v>
          </cell>
        </row>
        <row r="720">
          <cell r="A720" t="str">
            <v>PS-16</v>
          </cell>
          <cell r="B720" t="str">
            <v>2" CPVC SDR 13.5 CLASS 2</v>
          </cell>
          <cell r="C720" t="str">
            <v>CPVC PIPE</v>
          </cell>
          <cell r="D720">
            <v>3</v>
          </cell>
        </row>
        <row r="721">
          <cell r="A721" t="str">
            <v>PS-17</v>
          </cell>
          <cell r="B721" t="str">
            <v>2-1/2" CPVC SDR 13.5 CLASS 2</v>
          </cell>
          <cell r="C721" t="str">
            <v>CPVC PIPE</v>
          </cell>
          <cell r="D721">
            <v>4.7</v>
          </cell>
        </row>
        <row r="722">
          <cell r="A722" t="str">
            <v>PS-18</v>
          </cell>
          <cell r="B722" t="str">
            <v>3" CPVC SDR 13.5 CLASS 2</v>
          </cell>
          <cell r="C722" t="str">
            <v>CPVC PIPE</v>
          </cell>
          <cell r="D722">
            <v>6.6</v>
          </cell>
        </row>
        <row r="723">
          <cell r="A723" t="str">
            <v>PS-19</v>
          </cell>
          <cell r="B723" t="str">
            <v>4" CPVC SDR 13.5 CLASS 2</v>
          </cell>
          <cell r="C723" t="str">
            <v>CPVC PIPE</v>
          </cell>
          <cell r="D723">
            <v>9.8000000000000007</v>
          </cell>
        </row>
        <row r="724">
          <cell r="A724" t="str">
            <v>PS-20</v>
          </cell>
          <cell r="B724" t="str">
            <v>6" CPVC SDR 13.5 CLASS 2</v>
          </cell>
          <cell r="C724" t="str">
            <v>CPVC PIPE</v>
          </cell>
          <cell r="D724">
            <v>0</v>
          </cell>
        </row>
        <row r="725">
          <cell r="A725" t="str">
            <v>PS-1S</v>
          </cell>
          <cell r="B725" t="str">
            <v>1/2" CPVC SDR 11 CLASS 1</v>
          </cell>
          <cell r="C725" t="str">
            <v>CPVC PIPE</v>
          </cell>
          <cell r="D725">
            <v>0.6166666666666667</v>
          </cell>
        </row>
        <row r="726">
          <cell r="A726" t="str">
            <v>PS-2S</v>
          </cell>
          <cell r="B726" t="str">
            <v>3/4" CPVC SDR 11 CLASS 1</v>
          </cell>
          <cell r="C726" t="str">
            <v>CPVC PIPE</v>
          </cell>
          <cell r="D726">
            <v>1.0333333333333332</v>
          </cell>
        </row>
        <row r="727">
          <cell r="A727" t="str">
            <v>PS-3S</v>
          </cell>
          <cell r="B727" t="str">
            <v>1" CPVC SDR 11 CLASS 1</v>
          </cell>
          <cell r="C727" t="str">
            <v>CPVC PIPE</v>
          </cell>
          <cell r="D727">
            <v>1.6500000000000001</v>
          </cell>
        </row>
        <row r="728">
          <cell r="A728" t="str">
            <v>PS-4S</v>
          </cell>
          <cell r="B728" t="str">
            <v>1-1/4" CPVC SDR 11 CLASS 1</v>
          </cell>
          <cell r="C728" t="str">
            <v>CPVC PIPE</v>
          </cell>
          <cell r="D728">
            <v>2.5333333333333337</v>
          </cell>
        </row>
        <row r="729">
          <cell r="A729" t="str">
            <v>PS-5S</v>
          </cell>
          <cell r="B729" t="str">
            <v>1-1/2" CPVC SDR 11 CLASS 1</v>
          </cell>
          <cell r="C729" t="str">
            <v>CPVC PIPE</v>
          </cell>
          <cell r="D729">
            <v>3.5000000000000004</v>
          </cell>
        </row>
        <row r="730">
          <cell r="A730" t="str">
            <v>PS-6S</v>
          </cell>
          <cell r="B730" t="str">
            <v>2" CPVC SDR 11 CLASS 1</v>
          </cell>
          <cell r="C730" t="str">
            <v>CPVC PIPE</v>
          </cell>
          <cell r="D730">
            <v>5.9666666666666668</v>
          </cell>
        </row>
        <row r="731">
          <cell r="A731" t="str">
            <v>PS-7S</v>
          </cell>
          <cell r="B731" t="str">
            <v>2" CPVC SDR 11 CLASS 1</v>
          </cell>
          <cell r="C731" t="str">
            <v>CPVC PIPE</v>
          </cell>
          <cell r="D731">
            <v>10.999999999999998</v>
          </cell>
        </row>
        <row r="732">
          <cell r="A732" t="str">
            <v>PS-8S</v>
          </cell>
          <cell r="B732" t="str">
            <v>2" CPVC SDR 11 CLASS 1</v>
          </cell>
          <cell r="C732" t="str">
            <v>CPVC PIPE</v>
          </cell>
          <cell r="D732">
            <v>14.333333333333334</v>
          </cell>
        </row>
        <row r="733">
          <cell r="A733" t="str">
            <v>PS-9S</v>
          </cell>
          <cell r="B733" t="str">
            <v>2" CPVC SDR 11 CLASS 1</v>
          </cell>
          <cell r="C733" t="str">
            <v>CPVC PIPE</v>
          </cell>
          <cell r="D733">
            <v>20.833333333333336</v>
          </cell>
        </row>
        <row r="734">
          <cell r="A734" t="str">
            <v>PS-11S</v>
          </cell>
          <cell r="B734" t="str">
            <v>1/2" CPVC SDR 13.5 CLASS 2</v>
          </cell>
          <cell r="C734" t="str">
            <v>CPVC PIPE</v>
          </cell>
          <cell r="D734">
            <v>0.58333333333333326</v>
          </cell>
        </row>
        <row r="735">
          <cell r="A735" t="str">
            <v>PS-12S</v>
          </cell>
          <cell r="B735" t="str">
            <v>3/4" CPVC SDR 13.5 CLASS 2</v>
          </cell>
          <cell r="C735" t="str">
            <v>CPVC PIPE</v>
          </cell>
          <cell r="D735">
            <v>0.8666666666666667</v>
          </cell>
        </row>
        <row r="736">
          <cell r="A736" t="str">
            <v>PS-13S</v>
          </cell>
          <cell r="B736" t="str">
            <v>1" CPVC SDR 13.5 CLASS 2</v>
          </cell>
          <cell r="C736" t="str">
            <v>CPVC PIPE</v>
          </cell>
          <cell r="D736">
            <v>1.3333333333333333</v>
          </cell>
        </row>
        <row r="737">
          <cell r="A737" t="str">
            <v>PS-14S</v>
          </cell>
          <cell r="B737" t="str">
            <v>1-1/4" CPVC SDR 13.5 CLASS 2</v>
          </cell>
          <cell r="C737" t="str">
            <v>CPVC PIPE</v>
          </cell>
          <cell r="D737">
            <v>2.0833333333333335</v>
          </cell>
        </row>
        <row r="738">
          <cell r="A738" t="str">
            <v>PS-15S</v>
          </cell>
          <cell r="B738" t="str">
            <v>1-1/2" CPVC SDR 13.5 CLASS 2</v>
          </cell>
          <cell r="C738" t="str">
            <v>CPVC PIPE</v>
          </cell>
          <cell r="D738">
            <v>2.916666666666667</v>
          </cell>
        </row>
        <row r="739">
          <cell r="A739" t="str">
            <v>PS-16S</v>
          </cell>
          <cell r="B739" t="str">
            <v>2" CPVC SDR 13.5 CLASS 2</v>
          </cell>
          <cell r="C739" t="str">
            <v>CPVC PIPE</v>
          </cell>
          <cell r="D739">
            <v>5</v>
          </cell>
        </row>
        <row r="740">
          <cell r="A740" t="str">
            <v>PS-17S</v>
          </cell>
          <cell r="B740" t="str">
            <v>2-1/2" CPVC SDR 13.5 CLASS 2</v>
          </cell>
          <cell r="C740" t="str">
            <v>CPVC PIPE</v>
          </cell>
          <cell r="D740">
            <v>7.833333333333333</v>
          </cell>
        </row>
        <row r="741">
          <cell r="A741" t="str">
            <v>PS-18S</v>
          </cell>
          <cell r="B741" t="str">
            <v>3" CPVC SDR 13.5 CLASS 2</v>
          </cell>
          <cell r="C741" t="str">
            <v>CPVC PIPE</v>
          </cell>
          <cell r="D741">
            <v>10.999999999999998</v>
          </cell>
        </row>
        <row r="742">
          <cell r="A742" t="str">
            <v>PS-19S</v>
          </cell>
          <cell r="B742" t="str">
            <v>4" CPVC SDR 13.5 CLASS 2</v>
          </cell>
          <cell r="C742" t="str">
            <v>CPVC PIPE</v>
          </cell>
          <cell r="D742">
            <v>16.333333333333336</v>
          </cell>
        </row>
        <row r="743">
          <cell r="A743" t="str">
            <v>PS-20S</v>
          </cell>
          <cell r="B743" t="str">
            <v>6" CPVC SDR 13.5 CLASS 2</v>
          </cell>
          <cell r="C743" t="str">
            <v>CPVC PIPE</v>
          </cell>
          <cell r="D743">
            <v>0</v>
          </cell>
        </row>
        <row r="744">
          <cell r="A744" t="str">
            <v>PU-1</v>
          </cell>
          <cell r="B744" t="str">
            <v>1/2" UPVC PIPE ( SCH 80 )</v>
          </cell>
          <cell r="C744" t="str">
            <v>UPVC PIPE</v>
          </cell>
          <cell r="D744">
            <v>1.1000000000000001</v>
          </cell>
        </row>
        <row r="745">
          <cell r="A745" t="str">
            <v>PU-2</v>
          </cell>
          <cell r="B745" t="str">
            <v>3/4" UPVC PIPE ( SCH 80 )</v>
          </cell>
          <cell r="C745" t="str">
            <v>UPVC PIPE</v>
          </cell>
          <cell r="D745">
            <v>1.45</v>
          </cell>
        </row>
        <row r="746">
          <cell r="A746" t="str">
            <v>PU-3</v>
          </cell>
          <cell r="B746" t="str">
            <v>1" UPVC PIPE ( SCH 80 )</v>
          </cell>
          <cell r="C746" t="str">
            <v>UPVC PIPE</v>
          </cell>
          <cell r="D746">
            <v>2.15</v>
          </cell>
        </row>
        <row r="747">
          <cell r="A747" t="str">
            <v>PU-4</v>
          </cell>
          <cell r="B747" t="str">
            <v>1-1/4" UPVC PIPE ( SCH 80 )</v>
          </cell>
          <cell r="C747" t="str">
            <v>UPVC PIPE</v>
          </cell>
          <cell r="D747">
            <v>2.87</v>
          </cell>
        </row>
        <row r="748">
          <cell r="A748" t="str">
            <v>PU-5</v>
          </cell>
          <cell r="B748" t="str">
            <v>1-1/2" UPVC PIPE ( SCH 80 )</v>
          </cell>
          <cell r="C748" t="str">
            <v>UPVC PIPE</v>
          </cell>
          <cell r="D748">
            <v>3.45</v>
          </cell>
        </row>
        <row r="749">
          <cell r="A749" t="str">
            <v>PU-6</v>
          </cell>
          <cell r="B749" t="str">
            <v>2" UPVC PIPE ( SCH 80 )</v>
          </cell>
          <cell r="C749" t="str">
            <v>UPVC PIPE</v>
          </cell>
          <cell r="D749">
            <v>4.78</v>
          </cell>
        </row>
        <row r="750">
          <cell r="A750" t="str">
            <v>PU-7</v>
          </cell>
          <cell r="B750" t="str">
            <v>2-1/2" UPVC PIPE ( SCH 80 )</v>
          </cell>
          <cell r="C750" t="str">
            <v>UPVC PIPE</v>
          </cell>
          <cell r="D750">
            <v>7.3</v>
          </cell>
        </row>
        <row r="751">
          <cell r="A751" t="str">
            <v>PU-8</v>
          </cell>
          <cell r="B751" t="str">
            <v>3" UPVC PIPE SCH 80</v>
          </cell>
          <cell r="C751" t="str">
            <v>UPVC PIPE</v>
          </cell>
          <cell r="D751">
            <v>9.5</v>
          </cell>
        </row>
        <row r="752">
          <cell r="A752" t="str">
            <v>PU-9</v>
          </cell>
          <cell r="B752" t="str">
            <v>4" UPVC PIPE SCH 80</v>
          </cell>
          <cell r="C752" t="str">
            <v>UPVC PIPE</v>
          </cell>
          <cell r="D752">
            <v>13.5</v>
          </cell>
        </row>
        <row r="753">
          <cell r="A753" t="str">
            <v>PU-10</v>
          </cell>
          <cell r="B753" t="str">
            <v>6" UPVC PIPE SCH 80</v>
          </cell>
          <cell r="C753" t="str">
            <v>UPVC PIPE</v>
          </cell>
          <cell r="D753">
            <v>0</v>
          </cell>
        </row>
        <row r="754">
          <cell r="A754" t="str">
            <v>PU-11</v>
          </cell>
          <cell r="B754" t="str">
            <v>1/2" UPVC PIPE ( SCH 40 )</v>
          </cell>
          <cell r="C754" t="str">
            <v>UPVC PIPE</v>
          </cell>
          <cell r="D754">
            <v>0.85</v>
          </cell>
        </row>
        <row r="755">
          <cell r="A755" t="str">
            <v>PU-12</v>
          </cell>
          <cell r="B755" t="str">
            <v>3/4" UPVC PIPE ( SCH 40 )</v>
          </cell>
          <cell r="C755" t="str">
            <v>UPVC PIPE</v>
          </cell>
          <cell r="D755">
            <v>1.1299999999999999</v>
          </cell>
        </row>
        <row r="756">
          <cell r="A756" t="str">
            <v>PU-13</v>
          </cell>
          <cell r="B756" t="str">
            <v>1" UPVC PIPE ( SCH 40 )</v>
          </cell>
          <cell r="C756" t="str">
            <v>UPVC PIPE</v>
          </cell>
          <cell r="D756">
            <v>1.61</v>
          </cell>
        </row>
        <row r="757">
          <cell r="A757" t="str">
            <v>PU-14</v>
          </cell>
          <cell r="B757" t="str">
            <v>1-1/4" UPVC PIPE ( SCH 40 )</v>
          </cell>
          <cell r="C757" t="str">
            <v>UPVC PIPE</v>
          </cell>
          <cell r="D757">
            <v>2.2200000000000002</v>
          </cell>
        </row>
        <row r="758">
          <cell r="A758" t="str">
            <v>PU-15</v>
          </cell>
          <cell r="B758" t="str">
            <v>1-1/2" UPVC PIPE ( SCH 40 )</v>
          </cell>
          <cell r="C758" t="str">
            <v>UPVC PIPE</v>
          </cell>
          <cell r="D758">
            <v>2.67</v>
          </cell>
        </row>
        <row r="759">
          <cell r="A759" t="str">
            <v>PU-16</v>
          </cell>
          <cell r="B759" t="str">
            <v>2" UPVC PIPE ( SCH 40 )</v>
          </cell>
          <cell r="C759" t="str">
            <v>UPVC PIPE</v>
          </cell>
          <cell r="D759">
            <v>3.57</v>
          </cell>
        </row>
        <row r="760">
          <cell r="A760" t="str">
            <v>PU-17</v>
          </cell>
          <cell r="B760" t="str">
            <v>2-1/2" UPVC PIPE ( SCH 40 )</v>
          </cell>
          <cell r="C760" t="str">
            <v>UPVC PIPE</v>
          </cell>
          <cell r="D760">
            <v>5.6</v>
          </cell>
        </row>
        <row r="761">
          <cell r="A761" t="str">
            <v>PU-18</v>
          </cell>
          <cell r="B761" t="str">
            <v>3" UPVC PIPE SCH 40</v>
          </cell>
          <cell r="C761" t="str">
            <v>UPVC PIPE</v>
          </cell>
          <cell r="D761">
            <v>6.7</v>
          </cell>
        </row>
        <row r="762">
          <cell r="A762" t="str">
            <v>PU-19</v>
          </cell>
          <cell r="B762" t="str">
            <v>4" UPVC PIPE SCH 40</v>
          </cell>
          <cell r="C762" t="str">
            <v>UPVC PIPE</v>
          </cell>
          <cell r="D762">
            <v>10.6</v>
          </cell>
        </row>
        <row r="763">
          <cell r="A763" t="str">
            <v>PU-20</v>
          </cell>
          <cell r="B763" t="str">
            <v>6" UPVC PIPE SCH 40</v>
          </cell>
          <cell r="C763" t="str">
            <v>UPVC PIPE</v>
          </cell>
          <cell r="D763">
            <v>18.5</v>
          </cell>
        </row>
        <row r="764">
          <cell r="A764" t="str">
            <v>PU-1S</v>
          </cell>
          <cell r="B764" t="str">
            <v>1/2" UPVC PIPE ( SCH 80 )</v>
          </cell>
          <cell r="C764" t="str">
            <v>UPVC PIPE</v>
          </cell>
          <cell r="D764">
            <v>2.2000000000000002</v>
          </cell>
        </row>
        <row r="765">
          <cell r="A765" t="str">
            <v>PU-2S</v>
          </cell>
          <cell r="B765" t="str">
            <v>3/4" UPVC PIPE ( SCH 80 )</v>
          </cell>
          <cell r="C765" t="str">
            <v>UPVC PIPE</v>
          </cell>
          <cell r="D765">
            <v>2.9</v>
          </cell>
        </row>
        <row r="766">
          <cell r="A766" t="str">
            <v>PU-3S</v>
          </cell>
          <cell r="B766" t="str">
            <v>1" UPVC PIPE ( SCH 80 )</v>
          </cell>
          <cell r="C766" t="str">
            <v>UPVC PIPE</v>
          </cell>
          <cell r="D766">
            <v>4.3</v>
          </cell>
        </row>
        <row r="767">
          <cell r="A767" t="str">
            <v>PU-4S</v>
          </cell>
          <cell r="B767" t="str">
            <v>1-1/4" UPVC PIPE ( SCH 80 )</v>
          </cell>
          <cell r="C767" t="str">
            <v>UPVC PIPE</v>
          </cell>
          <cell r="D767">
            <v>5.74</v>
          </cell>
        </row>
        <row r="768">
          <cell r="A768" t="str">
            <v>PU-5S</v>
          </cell>
          <cell r="B768" t="str">
            <v>1-1/2" UPVC PIPE ( SCH 80 )</v>
          </cell>
          <cell r="C768" t="str">
            <v>UPVC PIPE</v>
          </cell>
          <cell r="D768">
            <v>6.9</v>
          </cell>
        </row>
        <row r="769">
          <cell r="A769" t="str">
            <v>PU-6S</v>
          </cell>
          <cell r="B769" t="str">
            <v>2" UPVC PIPE ( SCH 80 )</v>
          </cell>
          <cell r="C769" t="str">
            <v>UPVC PIPE</v>
          </cell>
          <cell r="D769">
            <v>9.56</v>
          </cell>
        </row>
        <row r="770">
          <cell r="A770" t="str">
            <v>PU-7S</v>
          </cell>
          <cell r="B770" t="str">
            <v>2-1/2" UPVC PIPE ( SCH 40 )</v>
          </cell>
          <cell r="C770" t="str">
            <v>UPVC PIPE</v>
          </cell>
          <cell r="D770">
            <v>14.599999999999998</v>
          </cell>
        </row>
        <row r="771">
          <cell r="A771" t="str">
            <v>PU-8S</v>
          </cell>
          <cell r="B771" t="str">
            <v>3" UPVC PIPE SCH 80</v>
          </cell>
          <cell r="C771" t="str">
            <v>UPVC PIPE</v>
          </cell>
          <cell r="D771">
            <v>19</v>
          </cell>
        </row>
        <row r="772">
          <cell r="A772" t="str">
            <v>PU-9S</v>
          </cell>
          <cell r="B772" t="str">
            <v>4" UPVC PIPE SCH 80</v>
          </cell>
          <cell r="C772" t="str">
            <v>UPVC PIPE</v>
          </cell>
          <cell r="D772">
            <v>27</v>
          </cell>
        </row>
        <row r="773">
          <cell r="A773" t="str">
            <v>PU-11S</v>
          </cell>
          <cell r="B773" t="str">
            <v>1/2" UPVC PIPE ( SCH 40 )</v>
          </cell>
          <cell r="C773" t="str">
            <v>UPVC PIPE</v>
          </cell>
          <cell r="D773">
            <v>1.7</v>
          </cell>
        </row>
        <row r="774">
          <cell r="A774" t="str">
            <v>PU-12S</v>
          </cell>
          <cell r="B774" t="str">
            <v>3/4" UPVC PIPE ( SCH 40 )</v>
          </cell>
          <cell r="C774" t="str">
            <v>UPVC PIPE</v>
          </cell>
          <cell r="D774">
            <v>2.2599999999999998</v>
          </cell>
        </row>
        <row r="775">
          <cell r="A775" t="str">
            <v>PU-13S</v>
          </cell>
          <cell r="B775" t="str">
            <v>1" UPVC PIPE ( SCH 40 )</v>
          </cell>
          <cell r="C775" t="str">
            <v>UPVC PIPE</v>
          </cell>
          <cell r="D775">
            <v>3.2200000000000006</v>
          </cell>
        </row>
        <row r="776">
          <cell r="A776" t="str">
            <v>PU-14S</v>
          </cell>
          <cell r="B776" t="str">
            <v>1-1/4" UPVC PIPE ( SCH 40 )</v>
          </cell>
          <cell r="C776" t="str">
            <v>UPVC PIPE</v>
          </cell>
          <cell r="D776">
            <v>4.4400000000000004</v>
          </cell>
        </row>
        <row r="777">
          <cell r="A777" t="str">
            <v>PU-15S</v>
          </cell>
          <cell r="B777" t="str">
            <v>1-1/2" UPVC PIPE ( SCH 40 )</v>
          </cell>
          <cell r="C777" t="str">
            <v>UPVC PIPE</v>
          </cell>
          <cell r="D777">
            <v>5.34</v>
          </cell>
        </row>
        <row r="778">
          <cell r="A778" t="str">
            <v>PU-16S</v>
          </cell>
          <cell r="B778" t="str">
            <v>2" UPVC PIPE ( SCH 40 )</v>
          </cell>
          <cell r="C778" t="str">
            <v>UPVC PIPE</v>
          </cell>
          <cell r="D778">
            <v>7.14</v>
          </cell>
        </row>
        <row r="779">
          <cell r="A779" t="str">
            <v>PU-17S</v>
          </cell>
          <cell r="B779" t="str">
            <v>2" UPVC PIPE ( SCH 40 )</v>
          </cell>
          <cell r="C779" t="str">
            <v>UPVC PIPE</v>
          </cell>
          <cell r="D779">
            <v>11.2</v>
          </cell>
        </row>
        <row r="780">
          <cell r="A780" t="str">
            <v>PU-18S</v>
          </cell>
          <cell r="B780" t="str">
            <v>3" UPVC PIPE ( SCH 40 )</v>
          </cell>
          <cell r="C780" t="str">
            <v>UPVC PIPE</v>
          </cell>
          <cell r="D780">
            <v>13.4</v>
          </cell>
        </row>
        <row r="781">
          <cell r="A781" t="str">
            <v>PU-19S</v>
          </cell>
          <cell r="B781" t="str">
            <v>4" UPVC PIPE ( SCH 40 )</v>
          </cell>
          <cell r="C781" t="str">
            <v>UPVC PIPE</v>
          </cell>
          <cell r="D781">
            <v>19.399999999999999</v>
          </cell>
        </row>
        <row r="782">
          <cell r="A782" t="str">
            <v>PU-1T</v>
          </cell>
          <cell r="B782" t="str">
            <v>1/2" UPVC PIPE ( SCH 80 )</v>
          </cell>
          <cell r="C782" t="str">
            <v>UPVC PIPE</v>
          </cell>
          <cell r="D782">
            <v>1.1000000000000001</v>
          </cell>
        </row>
        <row r="783">
          <cell r="A783" t="str">
            <v>PU-2T</v>
          </cell>
          <cell r="B783" t="str">
            <v>3/4" UPVC PIPE ( SCH 80 )</v>
          </cell>
          <cell r="C783" t="str">
            <v>UPVC PIPE</v>
          </cell>
          <cell r="D783">
            <v>1.45</v>
          </cell>
        </row>
        <row r="784">
          <cell r="A784" t="str">
            <v>PU-3T</v>
          </cell>
          <cell r="B784" t="str">
            <v>1" UPVC PIPE ( SCH 80 )</v>
          </cell>
          <cell r="C784" t="str">
            <v>UPVC PIPE</v>
          </cell>
          <cell r="D784">
            <v>2.15</v>
          </cell>
        </row>
        <row r="785">
          <cell r="A785" t="str">
            <v>PU-4T</v>
          </cell>
          <cell r="B785" t="str">
            <v>1-1/4" UPVC PIPE ( SCH 80 )</v>
          </cell>
          <cell r="C785" t="str">
            <v>UPVC PIPE</v>
          </cell>
          <cell r="D785">
            <v>2.87</v>
          </cell>
        </row>
        <row r="786">
          <cell r="A786" t="str">
            <v>PU-5T</v>
          </cell>
          <cell r="B786" t="str">
            <v>1-1/2" UPVC PIPE ( SCH 80 )</v>
          </cell>
          <cell r="C786" t="str">
            <v>UPVC PIPE</v>
          </cell>
          <cell r="D786">
            <v>3.45</v>
          </cell>
        </row>
        <row r="787">
          <cell r="A787" t="str">
            <v>PU-6T</v>
          </cell>
          <cell r="B787" t="str">
            <v>2" UPVC PIPE ( SCH 80 )</v>
          </cell>
          <cell r="C787" t="str">
            <v>UPVC PIPE</v>
          </cell>
          <cell r="D787">
            <v>4.78</v>
          </cell>
        </row>
        <row r="788">
          <cell r="A788" t="str">
            <v>PU-1TS</v>
          </cell>
          <cell r="B788" t="str">
            <v>1/2" UPVC PIPE (SCH 80)</v>
          </cell>
          <cell r="C788" t="str">
            <v>UPVC PIPE</v>
          </cell>
          <cell r="D788">
            <v>2.2000000000000002</v>
          </cell>
        </row>
        <row r="789">
          <cell r="A789" t="str">
            <v>PU-2TS</v>
          </cell>
          <cell r="B789" t="str">
            <v>3/4" UPVC PIPE (SCH 80)</v>
          </cell>
          <cell r="C789" t="str">
            <v>UPVC PIPE</v>
          </cell>
          <cell r="D789">
            <v>2.9</v>
          </cell>
        </row>
        <row r="790">
          <cell r="A790" t="str">
            <v>PU-3TS</v>
          </cell>
          <cell r="B790" t="str">
            <v>1" UPVC PIPE (SCH 80)</v>
          </cell>
          <cell r="C790" t="str">
            <v>UPVC PIPE</v>
          </cell>
          <cell r="D790">
            <v>4.3</v>
          </cell>
        </row>
        <row r="791">
          <cell r="A791" t="str">
            <v>PU-4TS</v>
          </cell>
          <cell r="B791" t="str">
            <v>1-1/4" UPVC PIPE (SCH 80)</v>
          </cell>
          <cell r="C791" t="str">
            <v>UPVC PIPE</v>
          </cell>
          <cell r="D791">
            <v>5.74</v>
          </cell>
        </row>
        <row r="792">
          <cell r="A792" t="str">
            <v>PU-5TS</v>
          </cell>
          <cell r="B792" t="str">
            <v>1-1/2" UPVC PIPE (SCH 80)</v>
          </cell>
          <cell r="C792" t="str">
            <v>UPVC PIPE</v>
          </cell>
          <cell r="D792">
            <v>6.9</v>
          </cell>
        </row>
        <row r="793">
          <cell r="A793" t="str">
            <v>PU-6TS</v>
          </cell>
          <cell r="B793" t="str">
            <v>2" UPVC PIPE (SCH 80)</v>
          </cell>
          <cell r="C793" t="str">
            <v>UPVC PIPE</v>
          </cell>
          <cell r="D793">
            <v>9.56</v>
          </cell>
        </row>
        <row r="794">
          <cell r="A794" t="str">
            <v>PW71</v>
          </cell>
          <cell r="B794" t="str">
            <v>SWR PIPE S/S  75 MM (3 METER-A)</v>
          </cell>
          <cell r="C794" t="str">
            <v>SWR PIPE</v>
          </cell>
          <cell r="D794">
            <v>2.4</v>
          </cell>
        </row>
        <row r="795">
          <cell r="A795" t="str">
            <v>PW72</v>
          </cell>
          <cell r="B795" t="str">
            <v>SWR PIPE D/S  75 MM (3 METER-A)</v>
          </cell>
          <cell r="C795" t="str">
            <v>SWR PIPE</v>
          </cell>
          <cell r="D795">
            <v>2.4</v>
          </cell>
        </row>
        <row r="796">
          <cell r="A796" t="str">
            <v>PW73</v>
          </cell>
          <cell r="B796" t="str">
            <v>SWR PIPE S/S  75 MM (6 METER-A)</v>
          </cell>
          <cell r="C796" t="str">
            <v>SWR PIPE</v>
          </cell>
          <cell r="D796">
            <v>4.7</v>
          </cell>
        </row>
        <row r="797">
          <cell r="A797" t="str">
            <v>PW74</v>
          </cell>
          <cell r="B797" t="str">
            <v>SWR PIPE D/S  75 MM (6 METER-A)</v>
          </cell>
          <cell r="C797" t="str">
            <v>SWR PIPE</v>
          </cell>
          <cell r="D797">
            <v>4.7</v>
          </cell>
        </row>
        <row r="798">
          <cell r="A798" t="str">
            <v>PW75</v>
          </cell>
          <cell r="B798" t="str">
            <v>SWR PIPE D/S  75 MM (2 FEET-A)</v>
          </cell>
          <cell r="C798" t="str">
            <v>SWR PIPE</v>
          </cell>
          <cell r="D798">
            <v>0.48</v>
          </cell>
        </row>
        <row r="799">
          <cell r="A799" t="str">
            <v>PW76</v>
          </cell>
          <cell r="B799" t="str">
            <v>SWR PIPE D/S  75 MM (3 FEET-A)</v>
          </cell>
          <cell r="C799" t="str">
            <v>SWR PIPE</v>
          </cell>
          <cell r="D799">
            <v>0.72</v>
          </cell>
        </row>
        <row r="800">
          <cell r="A800" t="str">
            <v>PW77</v>
          </cell>
          <cell r="B800" t="str">
            <v>SWR PIPE D/S  75 MM (4 FEET-A)</v>
          </cell>
          <cell r="C800" t="str">
            <v>SWR PIPE</v>
          </cell>
          <cell r="D800">
            <v>0.96</v>
          </cell>
        </row>
        <row r="801">
          <cell r="A801" t="str">
            <v>PW78</v>
          </cell>
          <cell r="B801" t="str">
            <v>SWR PIPE D/S  75 MM (6 FEET-A)</v>
          </cell>
          <cell r="C801" t="str">
            <v>SWR PIPE</v>
          </cell>
          <cell r="D801">
            <v>1.44</v>
          </cell>
        </row>
        <row r="802">
          <cell r="A802" t="str">
            <v>PW79</v>
          </cell>
          <cell r="B802" t="str">
            <v>SWR PIPE S/S  75 MM (6 FEET-A)</v>
          </cell>
          <cell r="C802" t="str">
            <v>SWR PIPE</v>
          </cell>
          <cell r="D802">
            <v>1.44</v>
          </cell>
        </row>
        <row r="803">
          <cell r="A803" t="str">
            <v>PW91</v>
          </cell>
          <cell r="B803" t="str">
            <v>SWR PIPE S/S  90 MM (3 METER-A)</v>
          </cell>
          <cell r="C803" t="str">
            <v>SWR PIPE</v>
          </cell>
          <cell r="D803">
            <v>2.6</v>
          </cell>
        </row>
        <row r="804">
          <cell r="A804" t="str">
            <v>PW92</v>
          </cell>
          <cell r="B804" t="str">
            <v>SWR PIPE D/S  90 MM (3 METER-A)</v>
          </cell>
          <cell r="C804" t="str">
            <v>SWR PIPE</v>
          </cell>
          <cell r="D804">
            <v>2.6</v>
          </cell>
        </row>
        <row r="805">
          <cell r="A805" t="str">
            <v>PW93</v>
          </cell>
          <cell r="B805" t="str">
            <v>SWR PIPE S/S  90 MM (6 METER-A)</v>
          </cell>
          <cell r="C805" t="str">
            <v>SWR PIPE</v>
          </cell>
          <cell r="D805">
            <v>5.0999999999999996</v>
          </cell>
        </row>
        <row r="806">
          <cell r="A806" t="str">
            <v>PW94</v>
          </cell>
          <cell r="B806" t="str">
            <v>SWR PIPE D/S  90 MM (6 METER-A)</v>
          </cell>
          <cell r="C806" t="str">
            <v>SWR PIPE</v>
          </cell>
          <cell r="D806">
            <v>5.0999999999999996</v>
          </cell>
        </row>
        <row r="807">
          <cell r="A807" t="str">
            <v>PW95</v>
          </cell>
          <cell r="B807" t="str">
            <v>SWR PIPE D/S  90 MM (2 FEET-A)</v>
          </cell>
          <cell r="C807" t="str">
            <v>SWR PIPE</v>
          </cell>
          <cell r="D807">
            <v>0.52</v>
          </cell>
        </row>
        <row r="808">
          <cell r="A808" t="str">
            <v>PW96</v>
          </cell>
          <cell r="B808" t="str">
            <v>SWR PIPE D/S  90 MM (3 FEET-A)</v>
          </cell>
          <cell r="C808" t="str">
            <v>SWR PIPE</v>
          </cell>
          <cell r="D808">
            <v>0.78</v>
          </cell>
        </row>
        <row r="809">
          <cell r="A809" t="str">
            <v>PW97</v>
          </cell>
          <cell r="B809" t="str">
            <v>SWR PIPE D/S  90 MM (4 FEET-A)</v>
          </cell>
          <cell r="C809" t="str">
            <v>SWR PIPE</v>
          </cell>
          <cell r="D809">
            <v>1.04</v>
          </cell>
        </row>
        <row r="810">
          <cell r="A810" t="str">
            <v>PW98</v>
          </cell>
          <cell r="B810" t="str">
            <v>SWR PIPE D/S  90 MM (6 FEET-A)</v>
          </cell>
          <cell r="C810" t="str">
            <v>SWR PIPE</v>
          </cell>
          <cell r="D810">
            <v>1.56</v>
          </cell>
        </row>
        <row r="811">
          <cell r="A811" t="str">
            <v>PW99</v>
          </cell>
          <cell r="B811" t="str">
            <v>SWR PIPE S/S  90 MM (6 FEET-A)</v>
          </cell>
          <cell r="C811" t="str">
            <v>SWR PIPE</v>
          </cell>
          <cell r="D811">
            <v>1.56</v>
          </cell>
        </row>
        <row r="812">
          <cell r="A812" t="str">
            <v>PW11</v>
          </cell>
          <cell r="B812" t="str">
            <v>SWR PIPE S/S  110 MM (3 METER-A)</v>
          </cell>
          <cell r="C812" t="str">
            <v>SWR PIPE</v>
          </cell>
          <cell r="D812">
            <v>3.8</v>
          </cell>
        </row>
        <row r="813">
          <cell r="A813" t="str">
            <v>PW12</v>
          </cell>
          <cell r="B813" t="str">
            <v>SWR PIPE D/S  110 MM (3 METER-A)</v>
          </cell>
          <cell r="C813" t="str">
            <v>SWR PIPE</v>
          </cell>
          <cell r="D813">
            <v>3.8</v>
          </cell>
        </row>
        <row r="814">
          <cell r="A814" t="str">
            <v>PW13</v>
          </cell>
          <cell r="B814" t="str">
            <v>SWR PIPE S/S  110 MM (6 METER-A)</v>
          </cell>
          <cell r="C814" t="str">
            <v>SWR PIPE</v>
          </cell>
          <cell r="D814">
            <v>7.5</v>
          </cell>
        </row>
        <row r="815">
          <cell r="A815" t="str">
            <v>PW14</v>
          </cell>
          <cell r="B815" t="str">
            <v>SWR PIPE D/S  110 MM (6 METER-A)</v>
          </cell>
          <cell r="C815" t="str">
            <v>SWR PIPE</v>
          </cell>
          <cell r="D815">
            <v>7.5</v>
          </cell>
        </row>
        <row r="816">
          <cell r="A816" t="str">
            <v>PW15</v>
          </cell>
          <cell r="B816" t="str">
            <v>SWR PIPE D/S  110 MM (2 FEET-A)</v>
          </cell>
          <cell r="C816" t="str">
            <v>SWR PIPE</v>
          </cell>
          <cell r="D816">
            <v>0.76</v>
          </cell>
        </row>
        <row r="817">
          <cell r="A817" t="str">
            <v>PW16</v>
          </cell>
          <cell r="B817" t="str">
            <v>SWR PIPE D/S  110 MM (3 FEET-A)</v>
          </cell>
          <cell r="C817" t="str">
            <v>SWR PIPE</v>
          </cell>
          <cell r="D817">
            <v>1.1400000000000001</v>
          </cell>
        </row>
        <row r="818">
          <cell r="A818" t="str">
            <v>PW17</v>
          </cell>
          <cell r="B818" t="str">
            <v>SWR PIPE D/S  110 MM (4 FEET-A)</v>
          </cell>
          <cell r="C818" t="str">
            <v>SWR PIPE</v>
          </cell>
          <cell r="D818">
            <v>1.52</v>
          </cell>
        </row>
        <row r="819">
          <cell r="A819" t="str">
            <v>PW18</v>
          </cell>
          <cell r="B819" t="str">
            <v>SWR PIPE D/S  110 MM (6 FEET-A)</v>
          </cell>
          <cell r="C819" t="str">
            <v>SWR PIPE</v>
          </cell>
          <cell r="D819">
            <v>2.2800000000000002</v>
          </cell>
        </row>
        <row r="820">
          <cell r="A820" t="str">
            <v>PW19</v>
          </cell>
          <cell r="B820" t="str">
            <v>SWR PIPE S/S  110 MM (6 FEET-A)</v>
          </cell>
          <cell r="C820" t="str">
            <v>SWR PIPE</v>
          </cell>
          <cell r="D820">
            <v>2.2800000000000002</v>
          </cell>
        </row>
        <row r="821">
          <cell r="A821" t="str">
            <v>PW61</v>
          </cell>
          <cell r="B821" t="str">
            <v>SWR PIPE S/S  160 MM (3 METER-A)</v>
          </cell>
          <cell r="C821" t="str">
            <v>SWR PIPE</v>
          </cell>
          <cell r="D821">
            <v>7.6</v>
          </cell>
        </row>
        <row r="822">
          <cell r="A822" t="str">
            <v>PW62</v>
          </cell>
          <cell r="B822" t="str">
            <v>SWR PIPE D/S  160 MM (3 METER-A)</v>
          </cell>
          <cell r="C822" t="str">
            <v>SWR PIPE</v>
          </cell>
          <cell r="D822">
            <v>7.6</v>
          </cell>
        </row>
        <row r="823">
          <cell r="A823" t="str">
            <v>PW63</v>
          </cell>
          <cell r="B823" t="str">
            <v>SWR PIPE S/S  160 MM (6 METER-A)</v>
          </cell>
          <cell r="C823" t="str">
            <v>SWR PIPE</v>
          </cell>
          <cell r="D823">
            <v>15.1</v>
          </cell>
        </row>
        <row r="824">
          <cell r="A824" t="str">
            <v>PW64</v>
          </cell>
          <cell r="B824" t="str">
            <v>SWR PIPE D/S  160 MM (6 METER-A)</v>
          </cell>
          <cell r="C824" t="str">
            <v>SWR PIPE</v>
          </cell>
          <cell r="D824">
            <v>15.1</v>
          </cell>
        </row>
        <row r="825">
          <cell r="A825" t="str">
            <v>PW65</v>
          </cell>
          <cell r="B825" t="str">
            <v>SWR PIPE D/S  160 MM (2 FEET-A)</v>
          </cell>
          <cell r="C825" t="str">
            <v>SWR PIPE</v>
          </cell>
          <cell r="D825">
            <v>1.52</v>
          </cell>
        </row>
        <row r="826">
          <cell r="A826" t="str">
            <v>PW66</v>
          </cell>
          <cell r="B826" t="str">
            <v>SWR PIPE D/S  160 MM (3 FEET-A)</v>
          </cell>
          <cell r="C826" t="str">
            <v>SWR PIPE</v>
          </cell>
          <cell r="D826">
            <v>2.2800000000000002</v>
          </cell>
        </row>
        <row r="827">
          <cell r="A827" t="str">
            <v>PW67</v>
          </cell>
          <cell r="B827" t="str">
            <v>SWR PIPE D/S  160 MM (4 FEET-A)</v>
          </cell>
          <cell r="C827" t="str">
            <v>SWR PIPE</v>
          </cell>
          <cell r="D827">
            <v>3.04</v>
          </cell>
        </row>
        <row r="828">
          <cell r="A828" t="str">
            <v>PW68</v>
          </cell>
          <cell r="B828" t="str">
            <v>SWR PIPE D/S  160 MM (6 FEET-A)</v>
          </cell>
          <cell r="C828" t="str">
            <v>SWR PIPE</v>
          </cell>
          <cell r="D828">
            <v>4.5600000000000005</v>
          </cell>
        </row>
        <row r="829">
          <cell r="A829" t="str">
            <v>PW69</v>
          </cell>
          <cell r="B829" t="str">
            <v>SWR PIPE S/S  160 MM (6 FEET-A)</v>
          </cell>
          <cell r="C829" t="str">
            <v>SWR PIPE</v>
          </cell>
          <cell r="D829">
            <v>4.5600000000000005</v>
          </cell>
        </row>
        <row r="830">
          <cell r="A830" t="str">
            <v>PW31</v>
          </cell>
          <cell r="B830" t="str">
            <v>SWR PIPE S/S  75 MM (3 METER-B)</v>
          </cell>
          <cell r="C830" t="str">
            <v>SWR PIPE</v>
          </cell>
          <cell r="D830">
            <v>3.6</v>
          </cell>
        </row>
        <row r="831">
          <cell r="A831" t="str">
            <v>PW32</v>
          </cell>
          <cell r="B831" t="str">
            <v>SWR PIPE D/S  75 MM (3 METER-B)</v>
          </cell>
          <cell r="C831" t="str">
            <v>SWR PIPE</v>
          </cell>
          <cell r="D831">
            <v>3.6</v>
          </cell>
        </row>
        <row r="832">
          <cell r="A832" t="str">
            <v>PW33</v>
          </cell>
          <cell r="B832" t="str">
            <v>SWR PIPE S/S  75 MM (6 METER-B)</v>
          </cell>
          <cell r="C832" t="str">
            <v>SWR PIPE</v>
          </cell>
          <cell r="D832">
            <v>7.1</v>
          </cell>
        </row>
        <row r="833">
          <cell r="A833" t="str">
            <v>PW34</v>
          </cell>
          <cell r="B833" t="str">
            <v>SWR PIPE D/S  75 MM (6 METER-B)</v>
          </cell>
          <cell r="C833" t="str">
            <v>SWR PIPE</v>
          </cell>
          <cell r="D833">
            <v>7.1</v>
          </cell>
        </row>
        <row r="834">
          <cell r="A834" t="str">
            <v>PW35</v>
          </cell>
          <cell r="B834" t="str">
            <v>SWR PIPE D/S  75 MM (2 FEET-B)</v>
          </cell>
          <cell r="C834" t="str">
            <v>SWR PIPE</v>
          </cell>
          <cell r="D834">
            <v>0.72</v>
          </cell>
        </row>
        <row r="835">
          <cell r="A835" t="str">
            <v>PW36</v>
          </cell>
          <cell r="B835" t="str">
            <v>SWR PIPE D/S  75 MM (3 FEET-B)</v>
          </cell>
          <cell r="C835" t="str">
            <v>SWR PIPE</v>
          </cell>
          <cell r="D835">
            <v>1.08</v>
          </cell>
        </row>
        <row r="836">
          <cell r="A836" t="str">
            <v>PW37</v>
          </cell>
          <cell r="B836" t="str">
            <v>SWR PIPE D/S  75 MM (4 FEET-B)</v>
          </cell>
          <cell r="C836" t="str">
            <v>SWR PIPE</v>
          </cell>
          <cell r="D836">
            <v>1.44</v>
          </cell>
        </row>
        <row r="837">
          <cell r="A837" t="str">
            <v>PW38</v>
          </cell>
          <cell r="B837" t="str">
            <v>SWR PIPE D/S  75 MM (6 FEET-B)</v>
          </cell>
          <cell r="C837" t="str">
            <v>SWR PIPE</v>
          </cell>
          <cell r="D837">
            <v>2.16</v>
          </cell>
        </row>
        <row r="838">
          <cell r="A838" t="str">
            <v>PW39</v>
          </cell>
          <cell r="B838" t="str">
            <v>SWR PIPE S/S  75 MM (6 FEET-B)</v>
          </cell>
          <cell r="C838" t="str">
            <v>SWR PIPE</v>
          </cell>
          <cell r="D838">
            <v>2.16</v>
          </cell>
        </row>
        <row r="839">
          <cell r="A839" t="str">
            <v>PW81</v>
          </cell>
          <cell r="B839" t="str">
            <v>SWR PIPE S/S  90 MM (3 METER-B)</v>
          </cell>
          <cell r="C839" t="str">
            <v>SWR PIPE</v>
          </cell>
          <cell r="D839">
            <v>4.4000000000000004</v>
          </cell>
        </row>
        <row r="840">
          <cell r="A840" t="str">
            <v>PW82</v>
          </cell>
          <cell r="B840" t="str">
            <v>SWR PIPE D/S  90 MM (3 METER-B)</v>
          </cell>
          <cell r="C840" t="str">
            <v>SWR PIPE</v>
          </cell>
          <cell r="D840">
            <v>4.4000000000000004</v>
          </cell>
        </row>
        <row r="841">
          <cell r="A841" t="str">
            <v>PW83</v>
          </cell>
          <cell r="B841" t="str">
            <v>SWR PIPE S/S  90 MM (6 METER-B)</v>
          </cell>
          <cell r="C841" t="str">
            <v>SWR PIPE</v>
          </cell>
          <cell r="D841">
            <v>8.6999999999999993</v>
          </cell>
        </row>
        <row r="842">
          <cell r="A842" t="str">
            <v>PW84</v>
          </cell>
          <cell r="B842" t="str">
            <v>SWR PIPE D/S  90 MM (6 METER-B)</v>
          </cell>
          <cell r="C842" t="str">
            <v>SWR PIPE</v>
          </cell>
          <cell r="D842">
            <v>8.6999999999999993</v>
          </cell>
        </row>
        <row r="843">
          <cell r="A843" t="str">
            <v>PW85</v>
          </cell>
          <cell r="B843" t="str">
            <v>SWR PIPE D/S  90 MM (2 FEET-B)</v>
          </cell>
          <cell r="C843" t="str">
            <v>SWR PIPE</v>
          </cell>
          <cell r="D843">
            <v>0.88000000000000012</v>
          </cell>
        </row>
        <row r="844">
          <cell r="A844" t="str">
            <v>PW86</v>
          </cell>
          <cell r="B844" t="str">
            <v>SWR PIPE D/S  90 MM (3 FEET-B)</v>
          </cell>
          <cell r="C844" t="str">
            <v>SWR PIPE</v>
          </cell>
          <cell r="D844">
            <v>1.3200000000000003</v>
          </cell>
        </row>
        <row r="845">
          <cell r="A845" t="str">
            <v>PW87</v>
          </cell>
          <cell r="B845" t="str">
            <v>SWR PIPE D/S  90 MM (4 FEET-B)</v>
          </cell>
          <cell r="C845" t="str">
            <v>SWR PIPE</v>
          </cell>
          <cell r="D845">
            <v>1.7600000000000002</v>
          </cell>
        </row>
        <row r="846">
          <cell r="A846" t="str">
            <v>PW88</v>
          </cell>
          <cell r="B846" t="str">
            <v>SWR PIPE D/S  90 MM (6 FEET-B)</v>
          </cell>
          <cell r="C846" t="str">
            <v>SWR PIPE</v>
          </cell>
          <cell r="D846">
            <v>2.6400000000000006</v>
          </cell>
        </row>
        <row r="847">
          <cell r="A847" t="str">
            <v>PW89</v>
          </cell>
          <cell r="B847" t="str">
            <v>SWR PIPE S/S  90 MM (6 FEET-B)</v>
          </cell>
          <cell r="C847" t="str">
            <v>SWR PIPE</v>
          </cell>
          <cell r="D847">
            <v>2.6400000000000006</v>
          </cell>
        </row>
        <row r="848">
          <cell r="A848" t="str">
            <v>PW21</v>
          </cell>
          <cell r="B848" t="str">
            <v>SWR PIPE S/S  110 MM (3 METER-B)</v>
          </cell>
          <cell r="C848" t="str">
            <v>SWR PIPE</v>
          </cell>
          <cell r="D848">
            <v>5.2</v>
          </cell>
        </row>
        <row r="849">
          <cell r="A849" t="str">
            <v>PW22</v>
          </cell>
          <cell r="B849" t="str">
            <v>SWR PIPE D/S  110 MM (3 METER-B)</v>
          </cell>
          <cell r="C849" t="str">
            <v>SWR PIPE</v>
          </cell>
          <cell r="D849">
            <v>5.2</v>
          </cell>
        </row>
        <row r="850">
          <cell r="A850" t="str">
            <v>PW23</v>
          </cell>
          <cell r="B850" t="str">
            <v>SWR PIPE S/S  110 MM (6 METER-B)</v>
          </cell>
          <cell r="C850" t="str">
            <v>SWR PIPE</v>
          </cell>
          <cell r="D850">
            <v>10.3</v>
          </cell>
        </row>
        <row r="851">
          <cell r="A851" t="str">
            <v>PW24</v>
          </cell>
          <cell r="B851" t="str">
            <v>SWR PIPE D/S  110 MM (6 METER-B)</v>
          </cell>
          <cell r="C851" t="str">
            <v>SWR PIPE</v>
          </cell>
          <cell r="D851">
            <v>10.3</v>
          </cell>
        </row>
        <row r="852">
          <cell r="A852" t="str">
            <v>PW25</v>
          </cell>
          <cell r="B852" t="str">
            <v>SWR PIPE D/S  110 MM (2 FEET-B)</v>
          </cell>
          <cell r="C852" t="str">
            <v>SWR PIPE</v>
          </cell>
          <cell r="D852">
            <v>1.04</v>
          </cell>
        </row>
        <row r="853">
          <cell r="A853" t="str">
            <v>PW26</v>
          </cell>
          <cell r="B853" t="str">
            <v>SWR PIPE D/S  110 MM (3 FEET-B)</v>
          </cell>
          <cell r="C853" t="str">
            <v>SWR PIPE</v>
          </cell>
          <cell r="D853">
            <v>1.56</v>
          </cell>
        </row>
        <row r="854">
          <cell r="A854" t="str">
            <v>PW27</v>
          </cell>
          <cell r="B854" t="str">
            <v>SWR PIPE D/S  110 MM (4 FEET-B)</v>
          </cell>
          <cell r="C854" t="str">
            <v>SWR PIPE</v>
          </cell>
          <cell r="D854">
            <v>2.08</v>
          </cell>
        </row>
        <row r="855">
          <cell r="A855" t="str">
            <v>PW28</v>
          </cell>
          <cell r="B855" t="str">
            <v>SWR PIPE D/S  110 MM (6 FEET-B)</v>
          </cell>
          <cell r="C855" t="str">
            <v>SWR PIPE</v>
          </cell>
          <cell r="D855">
            <v>3.12</v>
          </cell>
        </row>
        <row r="856">
          <cell r="A856" t="str">
            <v>PW29</v>
          </cell>
          <cell r="B856" t="str">
            <v>SWR PIPE S/S  110 MM (6 FEET-B)</v>
          </cell>
          <cell r="C856" t="str">
            <v>SWR PIPE</v>
          </cell>
          <cell r="D856">
            <v>3.12</v>
          </cell>
        </row>
        <row r="857">
          <cell r="A857" t="str">
            <v>PW51</v>
          </cell>
          <cell r="B857" t="str">
            <v>SWR PIPE S/S  160 MM (3 METER-B)</v>
          </cell>
          <cell r="C857" t="str">
            <v>SWR PIPE</v>
          </cell>
          <cell r="D857">
            <v>9.1</v>
          </cell>
        </row>
        <row r="858">
          <cell r="A858" t="str">
            <v>PW52</v>
          </cell>
          <cell r="B858" t="str">
            <v>SWR PIPE D/S  160 MM (3 METER-B)</v>
          </cell>
          <cell r="C858" t="str">
            <v>SWR PIPE</v>
          </cell>
          <cell r="D858">
            <v>9.1</v>
          </cell>
        </row>
        <row r="859">
          <cell r="A859" t="str">
            <v>PW53</v>
          </cell>
          <cell r="B859" t="str">
            <v>SWR PIPE S/S  160 MM (6 METER-B)</v>
          </cell>
          <cell r="C859" t="str">
            <v>SWR PIPE</v>
          </cell>
          <cell r="D859">
            <v>18.100000000000001</v>
          </cell>
        </row>
        <row r="860">
          <cell r="A860" t="str">
            <v>PW54</v>
          </cell>
          <cell r="B860" t="str">
            <v>SWR PIPE D/S  160 MM (6 METER-B)</v>
          </cell>
          <cell r="C860" t="str">
            <v>SWR PIPE</v>
          </cell>
          <cell r="D860">
            <v>18.100000000000001</v>
          </cell>
        </row>
        <row r="861">
          <cell r="A861" t="str">
            <v>PW55</v>
          </cell>
          <cell r="B861" t="str">
            <v>SWR PIPE D/S  160 MM (2 FEET-B)</v>
          </cell>
          <cell r="C861" t="str">
            <v>SWR PIPE</v>
          </cell>
          <cell r="D861">
            <v>1.8199999999999998</v>
          </cell>
        </row>
        <row r="862">
          <cell r="A862" t="str">
            <v>PW56</v>
          </cell>
          <cell r="B862" t="str">
            <v>SWR PIPE D/S  160 MM (3 FEET-B)</v>
          </cell>
          <cell r="C862" t="str">
            <v>SWR PIPE</v>
          </cell>
          <cell r="D862">
            <v>2.7299999999999995</v>
          </cell>
        </row>
        <row r="863">
          <cell r="A863" t="str">
            <v>PW57</v>
          </cell>
          <cell r="B863" t="str">
            <v>SWR PIPE D/S  160 MM (4 FEET-B)</v>
          </cell>
          <cell r="C863" t="str">
            <v>SWR PIPE</v>
          </cell>
          <cell r="D863">
            <v>3.6399999999999997</v>
          </cell>
        </row>
        <row r="864">
          <cell r="A864" t="str">
            <v>PW58</v>
          </cell>
          <cell r="B864" t="str">
            <v>SWR PIPE D/S  160 MM (6 FEET-B)</v>
          </cell>
          <cell r="C864" t="str">
            <v>SWR PIPE</v>
          </cell>
          <cell r="D864">
            <v>5.4599999999999991</v>
          </cell>
        </row>
        <row r="865">
          <cell r="A865" t="str">
            <v>PW59</v>
          </cell>
          <cell r="B865" t="str">
            <v>SWR PIPE S/S  160 MM (6 FEET-B)</v>
          </cell>
          <cell r="C865" t="str">
            <v>SWR PIPE</v>
          </cell>
          <cell r="D865">
            <v>5.4599999999999991</v>
          </cell>
        </row>
        <row r="866">
          <cell r="A866" t="str">
            <v>PW71S</v>
          </cell>
          <cell r="B866" t="str">
            <v>SWR PIPE TYPE A SELF FIT 75 MM S/S 3 METER</v>
          </cell>
          <cell r="C866" t="str">
            <v>SWR PIPE</v>
          </cell>
          <cell r="D866">
            <v>2.4</v>
          </cell>
        </row>
        <row r="867">
          <cell r="A867" t="str">
            <v>PW72S</v>
          </cell>
          <cell r="B867" t="str">
            <v>SWR PIPE TYPE A SELF FIT 75 MM D/S 3 METER</v>
          </cell>
          <cell r="C867" t="str">
            <v>SWR PIPE</v>
          </cell>
          <cell r="D867">
            <v>2.4</v>
          </cell>
        </row>
        <row r="868">
          <cell r="A868" t="str">
            <v>PW73S</v>
          </cell>
          <cell r="B868" t="str">
            <v>SWR PIPE TYPE A SELF FIT 75 MM S/S 6 METER</v>
          </cell>
          <cell r="C868" t="str">
            <v>SWR PIPE</v>
          </cell>
          <cell r="D868">
            <v>4.7</v>
          </cell>
        </row>
        <row r="869">
          <cell r="A869" t="str">
            <v>PW74S</v>
          </cell>
          <cell r="B869" t="str">
            <v>SWR PIPE TYPE A SELF FIT 75 MM D/S 6 METER</v>
          </cell>
          <cell r="C869" t="str">
            <v>SWR PIPE</v>
          </cell>
          <cell r="D869">
            <v>4.7</v>
          </cell>
        </row>
        <row r="870">
          <cell r="A870" t="str">
            <v>PW75S</v>
          </cell>
          <cell r="B870" t="str">
            <v xml:space="preserve">SWR PIPE TYPE A SELF FIT 75 MM D/S 2 FEET </v>
          </cell>
          <cell r="C870" t="str">
            <v>SWR PIPE</v>
          </cell>
          <cell r="D870">
            <v>0.48</v>
          </cell>
        </row>
        <row r="871">
          <cell r="A871" t="str">
            <v>PW76S</v>
          </cell>
          <cell r="B871" t="str">
            <v xml:space="preserve">SWR PIPE TYPE A SELF FIT 75 MM D/S 3 FEET </v>
          </cell>
          <cell r="C871" t="str">
            <v>SWR PIPE</v>
          </cell>
          <cell r="D871">
            <v>0.72</v>
          </cell>
        </row>
        <row r="872">
          <cell r="A872" t="str">
            <v>PW77S</v>
          </cell>
          <cell r="B872" t="str">
            <v xml:space="preserve">SWR PIPE TYPE A SELF FIT 75 MM D/S 4 FEET </v>
          </cell>
          <cell r="C872" t="str">
            <v>SWR PIPE</v>
          </cell>
          <cell r="D872">
            <v>0.96</v>
          </cell>
        </row>
        <row r="873">
          <cell r="A873" t="str">
            <v>PW78S</v>
          </cell>
          <cell r="B873" t="str">
            <v xml:space="preserve">SWR PIPE TYPE A SELF FIT 75 MM D/S 6 FEET </v>
          </cell>
          <cell r="C873" t="str">
            <v>SWR PIPE</v>
          </cell>
          <cell r="D873">
            <v>1.44</v>
          </cell>
        </row>
        <row r="874">
          <cell r="A874" t="str">
            <v>PW79S</v>
          </cell>
          <cell r="B874" t="str">
            <v xml:space="preserve">SWR PIPE TYPE A SELF FIT 75 MM S/S 6 FEET </v>
          </cell>
          <cell r="C874" t="str">
            <v>SWR PIPE</v>
          </cell>
          <cell r="D874">
            <v>1.44</v>
          </cell>
        </row>
        <row r="875">
          <cell r="A875" t="str">
            <v>PW80S</v>
          </cell>
          <cell r="B875" t="str">
            <v xml:space="preserve">SWR PIPE TYPE A SELF FIT 75 MM S/S 4 FEET </v>
          </cell>
          <cell r="C875" t="str">
            <v>SWR PIPE</v>
          </cell>
          <cell r="D875">
            <v>0.96</v>
          </cell>
        </row>
        <row r="876">
          <cell r="A876" t="str">
            <v>PW91S</v>
          </cell>
          <cell r="B876" t="str">
            <v>SWR PIPE TYPE A SELF FIT 90 MM S/S 3 METER</v>
          </cell>
          <cell r="C876" t="str">
            <v>SWR PIPE</v>
          </cell>
          <cell r="D876">
            <v>2.6</v>
          </cell>
        </row>
        <row r="877">
          <cell r="A877" t="str">
            <v>PW92S</v>
          </cell>
          <cell r="B877" t="str">
            <v>SWR PIPE TYPE A SELF FIT 90 MM D/S 3 METER</v>
          </cell>
          <cell r="C877" t="str">
            <v>SWR PIPE</v>
          </cell>
          <cell r="D877">
            <v>2.6</v>
          </cell>
        </row>
        <row r="878">
          <cell r="A878" t="str">
            <v>PW93S</v>
          </cell>
          <cell r="B878" t="str">
            <v>SWR PIPE TYPE A SELF FIT 90 MM S/S 6 METER</v>
          </cell>
          <cell r="C878" t="str">
            <v>SWR PIPE</v>
          </cell>
          <cell r="D878">
            <v>5.0999999999999996</v>
          </cell>
        </row>
        <row r="879">
          <cell r="A879" t="str">
            <v>PW94S</v>
          </cell>
          <cell r="B879" t="str">
            <v>SWR PIPE TYPE A SELF FIT 90 MM D/S 6 METER</v>
          </cell>
          <cell r="C879" t="str">
            <v>SWR PIPE</v>
          </cell>
          <cell r="D879">
            <v>5.0999999999999996</v>
          </cell>
        </row>
        <row r="880">
          <cell r="A880" t="str">
            <v>PW95S</v>
          </cell>
          <cell r="B880" t="str">
            <v xml:space="preserve">SWR PIPE TYPE A SELF FIT 90 MM D/S 2 FEET </v>
          </cell>
          <cell r="C880" t="str">
            <v>SWR PIPE</v>
          </cell>
          <cell r="D880">
            <v>0.52</v>
          </cell>
        </row>
        <row r="881">
          <cell r="A881" t="str">
            <v>PW96S</v>
          </cell>
          <cell r="B881" t="str">
            <v xml:space="preserve">SWR PIPE TYPE A SELF FIT 90 MM D/S 3 FEET </v>
          </cell>
          <cell r="C881" t="str">
            <v>SWR PIPE</v>
          </cell>
          <cell r="D881">
            <v>0.78</v>
          </cell>
        </row>
        <row r="882">
          <cell r="A882" t="str">
            <v>PW97S</v>
          </cell>
          <cell r="B882" t="str">
            <v xml:space="preserve">SWR PIPE TYPE A SELF FIT 90 MM D/S 4 FEET </v>
          </cell>
          <cell r="C882" t="str">
            <v>SWR PIPE</v>
          </cell>
          <cell r="D882">
            <v>1.04</v>
          </cell>
        </row>
        <row r="883">
          <cell r="A883" t="str">
            <v>PW98S</v>
          </cell>
          <cell r="B883" t="str">
            <v xml:space="preserve">SWR PIPE TYPE A SELF FIT 90 MM D/S 6 FEET </v>
          </cell>
          <cell r="C883" t="str">
            <v>SWR PIPE</v>
          </cell>
          <cell r="D883">
            <v>1.56</v>
          </cell>
        </row>
        <row r="884">
          <cell r="A884" t="str">
            <v>PW99S</v>
          </cell>
          <cell r="B884" t="str">
            <v xml:space="preserve">SWR PIPE TYPE A SELF FIT 90 MM S/S 6 FEET </v>
          </cell>
          <cell r="C884" t="str">
            <v>SWR PIPE</v>
          </cell>
          <cell r="D884">
            <v>1.56</v>
          </cell>
        </row>
        <row r="885">
          <cell r="A885" t="str">
            <v>PW100S</v>
          </cell>
          <cell r="B885" t="str">
            <v xml:space="preserve">SWR PIPE TYPE A SELF FIT 90 MM S/S 4 FEET </v>
          </cell>
          <cell r="C885" t="str">
            <v>SWR PIPE</v>
          </cell>
          <cell r="D885">
            <v>1.04</v>
          </cell>
        </row>
        <row r="886">
          <cell r="A886" t="str">
            <v>PW11S</v>
          </cell>
          <cell r="B886" t="str">
            <v>SWR PIPE TYPE A SELF FIT 110 MM S/S 3 METER</v>
          </cell>
          <cell r="C886" t="str">
            <v>SWR PIPE</v>
          </cell>
          <cell r="D886">
            <v>3.8</v>
          </cell>
        </row>
        <row r="887">
          <cell r="A887" t="str">
            <v>PW12S</v>
          </cell>
          <cell r="B887" t="str">
            <v>SWR PIPE TYPE A SELF FIT 110 MM D/S 3 METER</v>
          </cell>
          <cell r="C887" t="str">
            <v>SWR PIPE</v>
          </cell>
          <cell r="D887">
            <v>3.8</v>
          </cell>
        </row>
        <row r="888">
          <cell r="A888" t="str">
            <v>PW13S</v>
          </cell>
          <cell r="B888" t="str">
            <v>SWR PIPE TYPE A SELF FIT 110 MM S/S 6 METER</v>
          </cell>
          <cell r="C888" t="str">
            <v>SWR PIPE</v>
          </cell>
          <cell r="D888">
            <v>7.5</v>
          </cell>
        </row>
        <row r="889">
          <cell r="A889" t="str">
            <v>PW14S</v>
          </cell>
          <cell r="B889" t="str">
            <v>SWR PIPE TYPE A SELF FIT 110 MM D/S 6 METER</v>
          </cell>
          <cell r="C889" t="str">
            <v>SWR PIPE</v>
          </cell>
          <cell r="D889">
            <v>7.5</v>
          </cell>
        </row>
        <row r="890">
          <cell r="A890" t="str">
            <v>PW15S</v>
          </cell>
          <cell r="B890" t="str">
            <v xml:space="preserve">SWR PIPE TYPE A SELF FIT 110 MM D/S 2 FEET </v>
          </cell>
          <cell r="C890" t="str">
            <v>SWR PIPE</v>
          </cell>
          <cell r="D890">
            <v>0.76</v>
          </cell>
        </row>
        <row r="891">
          <cell r="A891" t="str">
            <v>PW16S</v>
          </cell>
          <cell r="B891" t="str">
            <v xml:space="preserve">SWR PIPE TYPE A SELF FIT 110 MM D/S 3 FEET </v>
          </cell>
          <cell r="C891" t="str">
            <v>SWR PIPE</v>
          </cell>
          <cell r="D891">
            <v>1.1400000000000001</v>
          </cell>
        </row>
        <row r="892">
          <cell r="A892" t="str">
            <v>PW17S</v>
          </cell>
          <cell r="B892" t="str">
            <v xml:space="preserve">SWR PIPE TYPE A SELF FIT 110 MM D/S 4 FEET </v>
          </cell>
          <cell r="C892" t="str">
            <v>SWR PIPE</v>
          </cell>
          <cell r="D892">
            <v>1.52</v>
          </cell>
        </row>
        <row r="893">
          <cell r="A893" t="str">
            <v>PW18S</v>
          </cell>
          <cell r="B893" t="str">
            <v xml:space="preserve">SWR PIPE TYPE A SELF FIT 110 MM D/S 6 FEET </v>
          </cell>
          <cell r="C893" t="str">
            <v>SWR PIPE</v>
          </cell>
          <cell r="D893">
            <v>2.2800000000000002</v>
          </cell>
        </row>
        <row r="894">
          <cell r="A894" t="str">
            <v>PW19S</v>
          </cell>
          <cell r="B894" t="str">
            <v xml:space="preserve">SWR PIPE TYPE A SELF FIT 110 MM S/S 6 FEET </v>
          </cell>
          <cell r="C894" t="str">
            <v>SWR PIPE</v>
          </cell>
          <cell r="D894">
            <v>2.2800000000000002</v>
          </cell>
        </row>
        <row r="895">
          <cell r="A895" t="str">
            <v>PW20S</v>
          </cell>
          <cell r="B895" t="str">
            <v xml:space="preserve">SWR PIPE TYPE A SELF FIT 110 MM S/S 4 FEET </v>
          </cell>
          <cell r="C895" t="str">
            <v>SWR PIPE</v>
          </cell>
          <cell r="D895">
            <v>1.52</v>
          </cell>
        </row>
        <row r="896">
          <cell r="A896" t="str">
            <v>PW61S</v>
          </cell>
          <cell r="B896" t="str">
            <v>SWR PIPE TYPE A SELF FIT 160 MM S/S 3 METER</v>
          </cell>
          <cell r="C896" t="str">
            <v>SWR PIPE</v>
          </cell>
          <cell r="D896">
            <v>7.6</v>
          </cell>
        </row>
        <row r="897">
          <cell r="A897" t="str">
            <v>PW62S</v>
          </cell>
          <cell r="B897" t="str">
            <v>SWR PIPE TYPE A SELF FIT 160 MM D/S 3 METER</v>
          </cell>
          <cell r="C897" t="str">
            <v>SWR PIPE</v>
          </cell>
          <cell r="D897">
            <v>7.6</v>
          </cell>
        </row>
        <row r="898">
          <cell r="A898" t="str">
            <v>PW63S</v>
          </cell>
          <cell r="B898" t="str">
            <v>SWR PIPE TYPE A SELF FIT 160 MM S/S 6 METER</v>
          </cell>
          <cell r="C898" t="str">
            <v>SWR PIPE</v>
          </cell>
          <cell r="D898">
            <v>15.1</v>
          </cell>
        </row>
        <row r="899">
          <cell r="A899" t="str">
            <v>PW64S</v>
          </cell>
          <cell r="B899" t="str">
            <v>SWR PIPE TYPE A SELF FIT 160 MM D/S 6 METER</v>
          </cell>
          <cell r="C899" t="str">
            <v>SWR PIPE</v>
          </cell>
          <cell r="D899">
            <v>15.1</v>
          </cell>
        </row>
        <row r="900">
          <cell r="A900" t="str">
            <v>PW65S</v>
          </cell>
          <cell r="B900" t="str">
            <v xml:space="preserve">SWR PIPE TYPE A SELF FIT 160 MM D/S 2 FEET </v>
          </cell>
          <cell r="C900" t="str">
            <v>SWR PIPE</v>
          </cell>
          <cell r="D900">
            <v>1.52</v>
          </cell>
        </row>
        <row r="901">
          <cell r="A901" t="str">
            <v>PW66S</v>
          </cell>
          <cell r="B901" t="str">
            <v xml:space="preserve">SWR PIPE TYPE A SELF FIT 160 MM D/S 3 FEET </v>
          </cell>
          <cell r="C901" t="str">
            <v>SWR PIPE</v>
          </cell>
          <cell r="D901">
            <v>2.2800000000000002</v>
          </cell>
        </row>
        <row r="902">
          <cell r="A902" t="str">
            <v>PW67S</v>
          </cell>
          <cell r="B902" t="str">
            <v xml:space="preserve">SWR PIPE TYPE A SELF FIT 160 MM D/S 4 FEET </v>
          </cell>
          <cell r="C902" t="str">
            <v>SWR PIPE</v>
          </cell>
          <cell r="D902">
            <v>3.04</v>
          </cell>
        </row>
        <row r="903">
          <cell r="A903" t="str">
            <v>PW68S</v>
          </cell>
          <cell r="B903" t="str">
            <v xml:space="preserve">SWR PIPE TYPE A SELF FIT 160 MM D/S 6 FEET </v>
          </cell>
          <cell r="C903" t="str">
            <v>SWR PIPE</v>
          </cell>
          <cell r="D903">
            <v>4.5600000000000005</v>
          </cell>
        </row>
        <row r="904">
          <cell r="A904" t="str">
            <v>PW69S</v>
          </cell>
          <cell r="B904" t="str">
            <v xml:space="preserve">SWR PIPE TYPE A SELF FIT 160 MM S/S 6 FEET </v>
          </cell>
          <cell r="C904" t="str">
            <v>SWR PIPE</v>
          </cell>
          <cell r="D904">
            <v>4.5599999999999996</v>
          </cell>
        </row>
        <row r="905">
          <cell r="A905" t="str">
            <v>PW70S</v>
          </cell>
          <cell r="B905" t="str">
            <v xml:space="preserve">SWR PIPE TYPE A SELF FIT 160 MM S/S 4 FEET </v>
          </cell>
          <cell r="C905" t="str">
            <v>SWR PIPE</v>
          </cell>
          <cell r="D905">
            <v>3.04</v>
          </cell>
        </row>
        <row r="906">
          <cell r="A906" t="str">
            <v>PW31S</v>
          </cell>
          <cell r="B906" t="str">
            <v>SWR PIPE TYPE B SELF FIT 75 MM S/S 3 METER</v>
          </cell>
          <cell r="C906" t="str">
            <v>SWR PIPE</v>
          </cell>
          <cell r="D906">
            <v>3.6</v>
          </cell>
        </row>
        <row r="907">
          <cell r="A907" t="str">
            <v>PW32S</v>
          </cell>
          <cell r="B907" t="str">
            <v>SWR PIPE TYPE B SELF FIT 75 MM D/S 3 METER</v>
          </cell>
          <cell r="C907" t="str">
            <v>SWR PIPE</v>
          </cell>
          <cell r="D907">
            <v>3.6</v>
          </cell>
        </row>
        <row r="908">
          <cell r="A908" t="str">
            <v>PW33S</v>
          </cell>
          <cell r="B908" t="str">
            <v>SWR PIPE TYPE B SELF FIT 75 MM S/S 6 METER</v>
          </cell>
          <cell r="C908" t="str">
            <v>SWR PIPE</v>
          </cell>
          <cell r="D908">
            <v>7.1</v>
          </cell>
        </row>
        <row r="909">
          <cell r="A909" t="str">
            <v>PW34S</v>
          </cell>
          <cell r="B909" t="str">
            <v>SWR PIPE TYPE B SELF FIT 75 MM D/S 6 METER</v>
          </cell>
          <cell r="C909" t="str">
            <v>SWR PIPE</v>
          </cell>
          <cell r="D909">
            <v>7.1</v>
          </cell>
        </row>
        <row r="910">
          <cell r="A910" t="str">
            <v>PW35S</v>
          </cell>
          <cell r="B910" t="str">
            <v xml:space="preserve">SWR PIPE TYPE B SELF FIT 75 MM D/S 2 FEET </v>
          </cell>
          <cell r="C910" t="str">
            <v>SWR PIPE</v>
          </cell>
          <cell r="D910">
            <v>0.72</v>
          </cell>
        </row>
        <row r="911">
          <cell r="A911" t="str">
            <v>PW36S</v>
          </cell>
          <cell r="B911" t="str">
            <v xml:space="preserve">SWR PIPE TYPE B SELF FIT 75 MM D/S 3 FEET </v>
          </cell>
          <cell r="C911" t="str">
            <v>SWR PIPE</v>
          </cell>
          <cell r="D911">
            <v>1.08</v>
          </cell>
        </row>
        <row r="912">
          <cell r="A912" t="str">
            <v>PW37S</v>
          </cell>
          <cell r="B912" t="str">
            <v xml:space="preserve">SWR PIPE TYPE B SELF FIT 75 MM D/S 4 FEET </v>
          </cell>
          <cell r="C912" t="str">
            <v>SWR PIPE</v>
          </cell>
          <cell r="D912">
            <v>1.44</v>
          </cell>
        </row>
        <row r="913">
          <cell r="A913" t="str">
            <v>PW38S</v>
          </cell>
          <cell r="B913" t="str">
            <v xml:space="preserve">SWR PIPE TYPE B SELF FIT 75 MM D/S 6 FEET </v>
          </cell>
          <cell r="C913" t="str">
            <v>SWR PIPE</v>
          </cell>
          <cell r="D913">
            <v>2.16</v>
          </cell>
        </row>
        <row r="914">
          <cell r="A914" t="str">
            <v>PW39S</v>
          </cell>
          <cell r="B914" t="str">
            <v xml:space="preserve">SWR PIPE TYPE B SELF FIT 75 MM S/S 6 FEET </v>
          </cell>
          <cell r="C914" t="str">
            <v>SWR PIPE</v>
          </cell>
          <cell r="D914">
            <v>2.16</v>
          </cell>
        </row>
        <row r="915">
          <cell r="A915" t="str">
            <v>PW40S</v>
          </cell>
          <cell r="B915" t="str">
            <v xml:space="preserve">SWR PIPE TYPE B SELF FIT 75 MM S/S 4 FEET </v>
          </cell>
          <cell r="C915" t="str">
            <v>SWR PIPE</v>
          </cell>
          <cell r="D915">
            <v>1.44</v>
          </cell>
        </row>
        <row r="916">
          <cell r="A916" t="str">
            <v>PW81S</v>
          </cell>
          <cell r="B916" t="str">
            <v>SWR PIPE TYPE B SELF FIT 90 MM S/S 3 METER</v>
          </cell>
          <cell r="C916" t="str">
            <v>SWR PIPE</v>
          </cell>
          <cell r="D916">
            <v>4.4000000000000004</v>
          </cell>
        </row>
        <row r="917">
          <cell r="A917" t="str">
            <v>PW82S</v>
          </cell>
          <cell r="B917" t="str">
            <v>SWR PIPE TYPE B SELF FIT 90 MM D/S 3 METER</v>
          </cell>
          <cell r="C917" t="str">
            <v>SWR PIPE</v>
          </cell>
          <cell r="D917">
            <v>4.4000000000000004</v>
          </cell>
        </row>
        <row r="918">
          <cell r="A918" t="str">
            <v>PW83S</v>
          </cell>
          <cell r="B918" t="str">
            <v>SWR PIPE TYPE B SELF FIT 90 MM S/S 6 METER</v>
          </cell>
          <cell r="C918" t="str">
            <v>SWR PIPE</v>
          </cell>
          <cell r="D918">
            <v>8.6999999999999993</v>
          </cell>
        </row>
        <row r="919">
          <cell r="A919" t="str">
            <v>PW84S</v>
          </cell>
          <cell r="B919" t="str">
            <v>SWR PIPE TYPE B SELF FIT 90 MM D/S 6 METER</v>
          </cell>
          <cell r="C919" t="str">
            <v>SWR PIPE</v>
          </cell>
          <cell r="D919">
            <v>8.6999999999999993</v>
          </cell>
        </row>
        <row r="920">
          <cell r="A920" t="str">
            <v>PW85S</v>
          </cell>
          <cell r="B920" t="str">
            <v xml:space="preserve">SWR PIPE TYPE B SELF FIT 90 MM D/S 2 FEET </v>
          </cell>
          <cell r="C920" t="str">
            <v>SWR PIPE</v>
          </cell>
          <cell r="D920">
            <v>0.88000000000000012</v>
          </cell>
        </row>
        <row r="921">
          <cell r="A921" t="str">
            <v>PW86S</v>
          </cell>
          <cell r="B921" t="str">
            <v xml:space="preserve">SWR PIPE TYPE B SELF FIT 90 MM D/S 3 FEET </v>
          </cell>
          <cell r="C921" t="str">
            <v>SWR PIPE</v>
          </cell>
          <cell r="D921">
            <v>1.3200000000000003</v>
          </cell>
        </row>
        <row r="922">
          <cell r="A922" t="str">
            <v>PW87S</v>
          </cell>
          <cell r="B922" t="str">
            <v xml:space="preserve">SWR PIPE TYPE B SELF FIT 90 MM D/S 4 FEET </v>
          </cell>
          <cell r="C922" t="str">
            <v>SWR PIPE</v>
          </cell>
          <cell r="D922">
            <v>1.7600000000000002</v>
          </cell>
        </row>
        <row r="923">
          <cell r="A923" t="str">
            <v>PW88S</v>
          </cell>
          <cell r="B923" t="str">
            <v xml:space="preserve">SWR PIPE TYPE B SELF FIT 90 MM D/S 6 FEET </v>
          </cell>
          <cell r="C923" t="str">
            <v>SWR PIPE</v>
          </cell>
          <cell r="D923">
            <v>2.6400000000000006</v>
          </cell>
        </row>
        <row r="924">
          <cell r="A924" t="str">
            <v>PW89S</v>
          </cell>
          <cell r="B924" t="str">
            <v xml:space="preserve">SWR PIPE TYPE B SELF FIT 90 MM S/S 6 FEET </v>
          </cell>
          <cell r="C924" t="str">
            <v>SWR PIPE</v>
          </cell>
          <cell r="D924">
            <v>2.64</v>
          </cell>
        </row>
        <row r="925">
          <cell r="A925" t="str">
            <v>PW90S</v>
          </cell>
          <cell r="B925" t="str">
            <v xml:space="preserve">SWR PIPE TYPE B SELF FIT 90 MM S/S 4 FEET </v>
          </cell>
          <cell r="C925" t="str">
            <v>SWR PIPE</v>
          </cell>
          <cell r="D925">
            <v>1.7600000000000002</v>
          </cell>
        </row>
        <row r="926">
          <cell r="A926" t="str">
            <v>PW21S</v>
          </cell>
          <cell r="B926" t="str">
            <v>SWR PIPE TYPE B SELF FIT 110 MM S/S 3 METER</v>
          </cell>
          <cell r="C926" t="str">
            <v>SWR PIPE</v>
          </cell>
          <cell r="D926">
            <v>5.2</v>
          </cell>
        </row>
        <row r="927">
          <cell r="A927" t="str">
            <v>PW22S</v>
          </cell>
          <cell r="B927" t="str">
            <v>SWR PIPE TYPE B SELF FIT 110 MM D/S 3 METER</v>
          </cell>
          <cell r="C927" t="str">
            <v>SWR PIPE</v>
          </cell>
          <cell r="D927">
            <v>5.2</v>
          </cell>
        </row>
        <row r="928">
          <cell r="A928" t="str">
            <v>PW23S</v>
          </cell>
          <cell r="B928" t="str">
            <v>SWR PIPE TYPE B SELF FIT 110 MM S/S 6 METER</v>
          </cell>
          <cell r="C928" t="str">
            <v>SWR PIPE</v>
          </cell>
          <cell r="D928">
            <v>10.3</v>
          </cell>
        </row>
        <row r="929">
          <cell r="A929" t="str">
            <v>PW24S</v>
          </cell>
          <cell r="B929" t="str">
            <v>SWR PIPE TYPE B SELF FIT 110 MM D/S 6 METER</v>
          </cell>
          <cell r="C929" t="str">
            <v>SWR PIPE</v>
          </cell>
          <cell r="D929">
            <v>10.3</v>
          </cell>
        </row>
        <row r="930">
          <cell r="A930" t="str">
            <v>PW25S</v>
          </cell>
          <cell r="B930" t="str">
            <v xml:space="preserve">SWR PIPE TYPE B SELF FIT 110 MM D/S 2 FEET </v>
          </cell>
          <cell r="C930" t="str">
            <v>SWR PIPE</v>
          </cell>
          <cell r="D930">
            <v>1.04</v>
          </cell>
        </row>
        <row r="931">
          <cell r="A931" t="str">
            <v>PW26S</v>
          </cell>
          <cell r="B931" t="str">
            <v xml:space="preserve">SWR PIPE TYPE B SELF FIT 110 MM D/S 3 FEET </v>
          </cell>
          <cell r="C931" t="str">
            <v>SWR PIPE</v>
          </cell>
          <cell r="D931">
            <v>1.56</v>
          </cell>
        </row>
        <row r="932">
          <cell r="A932" t="str">
            <v>PW27S</v>
          </cell>
          <cell r="B932" t="str">
            <v xml:space="preserve">SWR PIPE TYPE B SELF FIT 110 MM D/S 4 FEET </v>
          </cell>
          <cell r="C932" t="str">
            <v>SWR PIPE</v>
          </cell>
          <cell r="D932">
            <v>2.08</v>
          </cell>
        </row>
        <row r="933">
          <cell r="A933" t="str">
            <v>PW28S</v>
          </cell>
          <cell r="B933" t="str">
            <v xml:space="preserve">SWR PIPE TYPE B SELF FIT 110 MM D/S 6 FEET </v>
          </cell>
          <cell r="C933" t="str">
            <v>SWR PIPE</v>
          </cell>
          <cell r="D933">
            <v>3.12</v>
          </cell>
        </row>
        <row r="934">
          <cell r="A934" t="str">
            <v>PW29S</v>
          </cell>
          <cell r="B934" t="str">
            <v xml:space="preserve">SWR PIPE TYPE B SELF FIT 110 MM S/S 6 FEET </v>
          </cell>
          <cell r="C934" t="str">
            <v>SWR PIPE</v>
          </cell>
          <cell r="D934">
            <v>3.12</v>
          </cell>
        </row>
        <row r="935">
          <cell r="A935" t="str">
            <v>PW30S</v>
          </cell>
          <cell r="B935" t="str">
            <v xml:space="preserve">SWR PIPE TYPE B SELF FIT 110 MM S/S 4 FEET </v>
          </cell>
          <cell r="C935" t="str">
            <v>SWR PIPE</v>
          </cell>
          <cell r="D935">
            <v>2.08</v>
          </cell>
        </row>
        <row r="936">
          <cell r="A936" t="str">
            <v>PW51S</v>
          </cell>
          <cell r="B936" t="str">
            <v>SWR PIPE TYPE B SELF FIT 160 MM S/S 3 METER</v>
          </cell>
          <cell r="C936" t="str">
            <v>SWR PIPE</v>
          </cell>
          <cell r="D936">
            <v>9.1</v>
          </cell>
        </row>
        <row r="937">
          <cell r="A937" t="str">
            <v>PW52S</v>
          </cell>
          <cell r="B937" t="str">
            <v>SWR PIPE TYPE B SELF FIT 160 MM D/S 3 METER</v>
          </cell>
          <cell r="C937" t="str">
            <v>SWR PIPE</v>
          </cell>
          <cell r="D937">
            <v>9.1</v>
          </cell>
        </row>
        <row r="938">
          <cell r="A938" t="str">
            <v>PW53S</v>
          </cell>
          <cell r="B938" t="str">
            <v>SWR PIPE TYPE B SELF FIT 160 MM S/S 6 METER</v>
          </cell>
          <cell r="C938" t="str">
            <v>SWR PIPE</v>
          </cell>
          <cell r="D938">
            <v>18.100000000000001</v>
          </cell>
        </row>
        <row r="939">
          <cell r="A939" t="str">
            <v>PW54S</v>
          </cell>
          <cell r="B939" t="str">
            <v>SWR PIPE TYPE B SELF FIT 160 MM D/S 6 METER</v>
          </cell>
          <cell r="C939" t="str">
            <v>SWR PIPE</v>
          </cell>
          <cell r="D939">
            <v>18.100000000000001</v>
          </cell>
        </row>
        <row r="940">
          <cell r="A940" t="str">
            <v>PW55S</v>
          </cell>
          <cell r="B940" t="str">
            <v xml:space="preserve">SWR PIPE TYPE B SELF FIT 160 MM D/S 2 FEET </v>
          </cell>
          <cell r="C940" t="str">
            <v>SWR PIPE</v>
          </cell>
          <cell r="D940">
            <v>1.8199999999999998</v>
          </cell>
        </row>
        <row r="941">
          <cell r="A941" t="str">
            <v>PW56S</v>
          </cell>
          <cell r="B941" t="str">
            <v xml:space="preserve">SWR PIPE TYPE B SELF FIT 160 MM D/S 3 FEET </v>
          </cell>
          <cell r="C941" t="str">
            <v>SWR PIPE</v>
          </cell>
          <cell r="D941">
            <v>2.7299999999999995</v>
          </cell>
        </row>
        <row r="942">
          <cell r="A942" t="str">
            <v>PW57S</v>
          </cell>
          <cell r="B942" t="str">
            <v xml:space="preserve">SWR PIPE TYPE B SELF FIT 160 MM D/S 4 FEET </v>
          </cell>
          <cell r="C942" t="str">
            <v>SWR PIPE</v>
          </cell>
          <cell r="D942">
            <v>3.6399999999999997</v>
          </cell>
        </row>
        <row r="943">
          <cell r="A943" t="str">
            <v>PW58S</v>
          </cell>
          <cell r="B943" t="str">
            <v xml:space="preserve">SWR PIPE TYPE B SELF FIT 160 MM D/S 6 FEET </v>
          </cell>
          <cell r="C943" t="str">
            <v>SWR PIPE</v>
          </cell>
          <cell r="D943">
            <v>5.4599999999999991</v>
          </cell>
        </row>
        <row r="944">
          <cell r="A944" t="str">
            <v>PW59S</v>
          </cell>
          <cell r="B944" t="str">
            <v xml:space="preserve">SWR PIPE TYPE B SELF FIT 160 MM S/S 6 FEET </v>
          </cell>
          <cell r="C944" t="str">
            <v>SWR PIPE</v>
          </cell>
          <cell r="D944">
            <v>5.46</v>
          </cell>
        </row>
        <row r="945">
          <cell r="A945" t="str">
            <v>PW60S</v>
          </cell>
          <cell r="B945" t="str">
            <v xml:space="preserve">SWR PIPE TYPE B SELF FIT 160 MM S/S 4 FEET </v>
          </cell>
          <cell r="C945" t="str">
            <v>SWR PIPE</v>
          </cell>
          <cell r="D945">
            <v>3.64</v>
          </cell>
        </row>
        <row r="946">
          <cell r="A946" t="str">
            <v>PW11C</v>
          </cell>
          <cell r="B946" t="str">
            <v>110MM SWR PIPE 12 FEET</v>
          </cell>
          <cell r="C946" t="str">
            <v>SWR PIPE</v>
          </cell>
          <cell r="D946">
            <v>4.5999999999999996</v>
          </cell>
        </row>
        <row r="947">
          <cell r="A947" t="str">
            <v>PW 61SP</v>
          </cell>
          <cell r="B947" t="str">
            <v>160MM SWR PIPE 12 FEET</v>
          </cell>
          <cell r="C947" t="str">
            <v>SWR PIPE</v>
          </cell>
          <cell r="D947">
            <v>0</v>
          </cell>
        </row>
        <row r="948">
          <cell r="A948" t="str">
            <v>PW 71SP</v>
          </cell>
          <cell r="B948" t="str">
            <v>75MM SWR PIPE 12 FEET</v>
          </cell>
          <cell r="C948" t="str">
            <v>SWR PIPE</v>
          </cell>
          <cell r="D948">
            <v>2.88</v>
          </cell>
        </row>
        <row r="949">
          <cell r="A949" t="str">
            <v>PW91C</v>
          </cell>
          <cell r="B949" t="str">
            <v>90MM SWR PIPE 12 FEET</v>
          </cell>
          <cell r="C949" t="str">
            <v>SWR PIPE</v>
          </cell>
          <cell r="D949">
            <v>3.1</v>
          </cell>
        </row>
        <row r="950">
          <cell r="A950" t="str">
            <v>A-26A</v>
          </cell>
          <cell r="B950" t="str">
            <v>63 MM 4 KG AGRI PIPE (3 Mtr.)</v>
          </cell>
          <cell r="C950" t="str">
            <v>AGRI PIPE</v>
          </cell>
          <cell r="D950">
            <v>1.65</v>
          </cell>
        </row>
        <row r="951">
          <cell r="A951" t="str">
            <v>A-27A</v>
          </cell>
          <cell r="B951" t="str">
            <v>75 MM 4 KG AGRI PIPE  (3 Mtr.)</v>
          </cell>
          <cell r="C951" t="str">
            <v>AGRI PIPE</v>
          </cell>
          <cell r="D951">
            <v>2.35</v>
          </cell>
        </row>
        <row r="952">
          <cell r="A952" t="str">
            <v>A-28A</v>
          </cell>
          <cell r="B952" t="str">
            <v>90 MM 4 KG AGRI PIPE (3 Mtr.)</v>
          </cell>
          <cell r="C952" t="str">
            <v>AGRI PIPE</v>
          </cell>
          <cell r="D952">
            <v>3.1</v>
          </cell>
        </row>
        <row r="953">
          <cell r="A953" t="str">
            <v>A-29A</v>
          </cell>
          <cell r="B953" t="str">
            <v>110 MM 4 KG AGRI PIPE  (3 Mtr.)</v>
          </cell>
          <cell r="C953" t="str">
            <v>AGRI PIPE</v>
          </cell>
          <cell r="D953">
            <v>4</v>
          </cell>
        </row>
        <row r="954">
          <cell r="A954" t="str">
            <v>A-32A</v>
          </cell>
          <cell r="B954" t="str">
            <v>160 MM 4 KG AGRI PIPE  (3 Mtr.)</v>
          </cell>
          <cell r="C954" t="str">
            <v>AGRI PIPE</v>
          </cell>
          <cell r="D954">
            <v>9</v>
          </cell>
        </row>
        <row r="955">
          <cell r="A955" t="str">
            <v>A-34A</v>
          </cell>
          <cell r="B955" t="str">
            <v>200MM 4 Kg AGRI PIPE  (3 Mtr.)</v>
          </cell>
          <cell r="C955" t="str">
            <v>AGRI PIPE</v>
          </cell>
          <cell r="D955">
            <v>13.44</v>
          </cell>
        </row>
        <row r="956">
          <cell r="A956" t="str">
            <v>A-44A</v>
          </cell>
          <cell r="B956" t="str">
            <v>40 MM 6 KG AGRI PIPE (3 Mtr.)</v>
          </cell>
          <cell r="C956" t="str">
            <v>AGRI PIPE</v>
          </cell>
          <cell r="D956">
            <v>0.91</v>
          </cell>
        </row>
        <row r="957">
          <cell r="A957" t="str">
            <v>A-45A</v>
          </cell>
          <cell r="B957" t="str">
            <v>50 MM 6 KG AGRI PIPE (3 Mtr.)</v>
          </cell>
          <cell r="C957" t="str">
            <v>AGRI PIPE</v>
          </cell>
          <cell r="D957">
            <v>1.375</v>
          </cell>
        </row>
        <row r="958">
          <cell r="A958" t="str">
            <v>A-46A</v>
          </cell>
          <cell r="B958" t="str">
            <v>63 MM 6 KG AGRI PIPE (3 Mtr.)</v>
          </cell>
          <cell r="C958" t="str">
            <v>AGRI PIPE</v>
          </cell>
          <cell r="D958">
            <v>2</v>
          </cell>
        </row>
        <row r="959">
          <cell r="A959" t="str">
            <v>A-47A</v>
          </cell>
          <cell r="B959" t="str">
            <v>75 MM 6 KG AGRI PIPE (3 Mtr.)</v>
          </cell>
          <cell r="C959" t="str">
            <v>AGRI PIPE</v>
          </cell>
          <cell r="D959">
            <v>2.97</v>
          </cell>
        </row>
        <row r="960">
          <cell r="A960" t="str">
            <v>A-48A</v>
          </cell>
          <cell r="B960" t="str">
            <v>90 MM 6 KG AGRI PIPE (3 Mtr.)</v>
          </cell>
          <cell r="C960" t="str">
            <v>AGRI PIPE</v>
          </cell>
          <cell r="D960">
            <v>4</v>
          </cell>
        </row>
        <row r="961">
          <cell r="A961" t="str">
            <v>A-49A</v>
          </cell>
          <cell r="B961" t="str">
            <v>110 MM 6 KG AGRI PIPE (3 Mtr.)</v>
          </cell>
          <cell r="C961" t="str">
            <v>AGRI PIPE</v>
          </cell>
          <cell r="D961">
            <v>5.75</v>
          </cell>
        </row>
        <row r="962">
          <cell r="A962" t="str">
            <v>A-12A</v>
          </cell>
          <cell r="B962" t="str">
            <v>AGRI PIPE 2.5KG/cm2 3MTR 160MM</v>
          </cell>
          <cell r="C962" t="str">
            <v>AGRI PIPE</v>
          </cell>
          <cell r="D962">
            <v>5.3019999999999996</v>
          </cell>
        </row>
        <row r="963">
          <cell r="A963" t="str">
            <v>A-14A</v>
          </cell>
          <cell r="B963" t="str">
            <v>AGRI PIPE 2.5KG/cm2 3MTR 200MM</v>
          </cell>
          <cell r="C963" t="str">
            <v>AGRI PIPE</v>
          </cell>
          <cell r="D963">
            <v>0</v>
          </cell>
        </row>
        <row r="964">
          <cell r="A964" t="str">
            <v>A-81A</v>
          </cell>
          <cell r="B964" t="str">
            <v>AGRI PIPE 10KG/cm2 3MTR 20MM</v>
          </cell>
          <cell r="C964" t="str">
            <v>AGRI PIPE</v>
          </cell>
          <cell r="D964">
            <v>0.30499999999999999</v>
          </cell>
        </row>
        <row r="965">
          <cell r="A965" t="str">
            <v>A-82A</v>
          </cell>
          <cell r="B965" t="str">
            <v>AGRI PIPE 10KG/cm2 3MTR 25MM</v>
          </cell>
          <cell r="C965" t="str">
            <v>AGRI PIPE</v>
          </cell>
          <cell r="D965">
            <v>0.48499999999999999</v>
          </cell>
        </row>
        <row r="966">
          <cell r="A966" t="str">
            <v>A-83A</v>
          </cell>
          <cell r="B966" t="str">
            <v>AGRI PIPE 10KG/cm2 3MTR 32MM</v>
          </cell>
          <cell r="C966" t="str">
            <v>AGRI PIPE</v>
          </cell>
          <cell r="D966">
            <v>0.79</v>
          </cell>
        </row>
        <row r="967">
          <cell r="A967" t="str">
            <v>A-8A</v>
          </cell>
          <cell r="B967" t="str">
            <v>90MM 2.5KG AGRI PIPE (3MTR)</v>
          </cell>
          <cell r="C967" t="str">
            <v>AGRI PIPE</v>
          </cell>
          <cell r="D967">
            <v>1.78</v>
          </cell>
        </row>
        <row r="968">
          <cell r="A968" t="str">
            <v>A-9A</v>
          </cell>
          <cell r="B968" t="str">
            <v>110MM 2.5KG AGRI PIPE 3 MTR</v>
          </cell>
          <cell r="C968" t="str">
            <v>AGRI PIPE</v>
          </cell>
          <cell r="D968">
            <v>2.6</v>
          </cell>
        </row>
        <row r="969">
          <cell r="A969" t="str">
            <v>A-52A</v>
          </cell>
          <cell r="B969" t="str">
            <v>160MM 6 Kg AGRI PIPE  (3 Mtr.)</v>
          </cell>
          <cell r="C969" t="str">
            <v>AGRI PIPE</v>
          </cell>
          <cell r="D969">
            <v>11.75</v>
          </cell>
        </row>
        <row r="970">
          <cell r="A970" t="str">
            <v>A-45B</v>
          </cell>
          <cell r="B970" t="str">
            <v>50 MM 6 KG AGRI PIPE  (5 Mtr.)</v>
          </cell>
          <cell r="C970" t="str">
            <v>AGRI PIPE</v>
          </cell>
          <cell r="D970">
            <v>2.35</v>
          </cell>
        </row>
        <row r="971">
          <cell r="A971" t="str">
            <v>A-26B</v>
          </cell>
          <cell r="B971" t="str">
            <v>63 MM 4 KG AGRI PIPE  (5 Mtr.)</v>
          </cell>
          <cell r="C971" t="str">
            <v>AGRI PIPE</v>
          </cell>
          <cell r="D971">
            <v>2.75</v>
          </cell>
        </row>
        <row r="972">
          <cell r="A972" t="str">
            <v>A-27B</v>
          </cell>
          <cell r="B972" t="str">
            <v>75 MM 4 KG AGRI PIPE  (5 Mtr.)</v>
          </cell>
          <cell r="C972" t="str">
            <v>AGRI PIPE</v>
          </cell>
          <cell r="D972">
            <v>3.9169999999999998</v>
          </cell>
        </row>
        <row r="973">
          <cell r="A973" t="str">
            <v>A-28B</v>
          </cell>
          <cell r="B973" t="str">
            <v>90MM 4KG AGRI PIPE (5METER)</v>
          </cell>
          <cell r="C973" t="str">
            <v>AGRI PIPE</v>
          </cell>
          <cell r="D973">
            <v>5.0999999999999996</v>
          </cell>
        </row>
        <row r="974">
          <cell r="A974" t="str">
            <v>A-29B</v>
          </cell>
          <cell r="B974" t="str">
            <v>110MM 4KG AGRI PIPE (5METER)</v>
          </cell>
          <cell r="C974" t="str">
            <v>AGRI PIPE</v>
          </cell>
          <cell r="D974">
            <v>6.66</v>
          </cell>
        </row>
        <row r="975">
          <cell r="A975" t="str">
            <v>A-44B</v>
          </cell>
          <cell r="B975" t="str">
            <v>40MM 6KG AGRI PIPE (5METER)</v>
          </cell>
          <cell r="C975" t="str">
            <v>AGRI PIPE</v>
          </cell>
          <cell r="D975">
            <v>1.516</v>
          </cell>
        </row>
        <row r="976">
          <cell r="A976" t="str">
            <v>A-46B</v>
          </cell>
          <cell r="B976" t="str">
            <v>63MM 6KG AGRI PIPE (5METER)</v>
          </cell>
          <cell r="C976" t="str">
            <v>AGRI PIPE</v>
          </cell>
          <cell r="D976">
            <v>3.33</v>
          </cell>
        </row>
        <row r="977">
          <cell r="A977" t="str">
            <v>A-47B</v>
          </cell>
          <cell r="B977" t="str">
            <v>75MM 6KG AGRI PIPE (5METER)</v>
          </cell>
          <cell r="C977" t="str">
            <v>AGRI PIPE</v>
          </cell>
          <cell r="D977">
            <v>5</v>
          </cell>
        </row>
        <row r="978">
          <cell r="A978" t="str">
            <v>A-48B</v>
          </cell>
          <cell r="B978" t="str">
            <v>90MM 6KG AGRI PIPE (5METER)</v>
          </cell>
          <cell r="C978" t="str">
            <v>AGRI PIPE</v>
          </cell>
          <cell r="D978">
            <v>6.25</v>
          </cell>
        </row>
        <row r="979">
          <cell r="A979" t="str">
            <v>A-81B</v>
          </cell>
          <cell r="B979" t="str">
            <v>20MM 10KG AGRI PIPE (5METER)</v>
          </cell>
          <cell r="C979" t="str">
            <v>AGRI PIPE</v>
          </cell>
          <cell r="D979">
            <v>0.50800000000000001</v>
          </cell>
        </row>
        <row r="980">
          <cell r="A980" t="str">
            <v>A-82B</v>
          </cell>
          <cell r="B980" t="str">
            <v>25MM 10KG AGRI PIPE (5METER)</v>
          </cell>
          <cell r="C980" t="str">
            <v>AGRI PIPE</v>
          </cell>
          <cell r="D980">
            <v>0.77500000000000002</v>
          </cell>
        </row>
        <row r="981">
          <cell r="A981" t="str">
            <v>A-83B</v>
          </cell>
          <cell r="B981" t="str">
            <v>32MM 10KG AGRI PIPE (5METER)</v>
          </cell>
          <cell r="C981" t="str">
            <v>AGRI PIPE</v>
          </cell>
          <cell r="D981">
            <v>1.3160000000000001</v>
          </cell>
        </row>
        <row r="982">
          <cell r="A982" t="str">
            <v>A-9B</v>
          </cell>
          <cell r="B982" t="str">
            <v>110MM 2.5KG AGRI PIPE (5METER)</v>
          </cell>
          <cell r="C982" t="str">
            <v>AGRI PIPE</v>
          </cell>
          <cell r="D982">
            <v>4.3</v>
          </cell>
        </row>
        <row r="983">
          <cell r="A983" t="str">
            <v>A-26C</v>
          </cell>
          <cell r="B983" t="str">
            <v>63 MM 4 KG AGRI PIPE (6 Mtr.)</v>
          </cell>
          <cell r="C983" t="str">
            <v>AGRI PIPE</v>
          </cell>
          <cell r="D983">
            <v>3.3</v>
          </cell>
        </row>
        <row r="984">
          <cell r="A984" t="str">
            <v>A-27C</v>
          </cell>
          <cell r="B984" t="str">
            <v>75 MM 4 KG AGRI PIPE  (6 Mtr.)</v>
          </cell>
          <cell r="C984" t="str">
            <v>AGRI PIPE</v>
          </cell>
          <cell r="D984">
            <v>4.7</v>
          </cell>
        </row>
        <row r="985">
          <cell r="A985" t="str">
            <v>A-28C</v>
          </cell>
          <cell r="B985" t="str">
            <v>90 MM 4 KG AGRI PIPE  (6 Mtr.)</v>
          </cell>
          <cell r="C985" t="str">
            <v>AGRI PIPE</v>
          </cell>
          <cell r="D985">
            <v>6.1</v>
          </cell>
        </row>
        <row r="986">
          <cell r="A986" t="str">
            <v>A-29C</v>
          </cell>
          <cell r="B986" t="str">
            <v>110 MM 4 KG AGRI PIPE  (6 Mtr.)</v>
          </cell>
          <cell r="C986" t="str">
            <v>AGRI PIPE</v>
          </cell>
          <cell r="D986">
            <v>8</v>
          </cell>
        </row>
        <row r="987">
          <cell r="A987" t="str">
            <v>A-31C</v>
          </cell>
          <cell r="B987" t="str">
            <v>140 MM 4 KG AGRI PIPE  (6 Mtr.)</v>
          </cell>
          <cell r="C987" t="str">
            <v>AGRI PIPE</v>
          </cell>
          <cell r="D987">
            <v>15.6</v>
          </cell>
        </row>
        <row r="988">
          <cell r="A988" t="str">
            <v>A-32C</v>
          </cell>
          <cell r="B988" t="str">
            <v>160 MM 4 KG AGRI PIPE  (6 Mtr.)</v>
          </cell>
          <cell r="C988" t="str">
            <v>AGRI PIPE</v>
          </cell>
          <cell r="D988">
            <v>18</v>
          </cell>
        </row>
        <row r="989">
          <cell r="A989" t="str">
            <v>A-34C</v>
          </cell>
          <cell r="B989" t="str">
            <v>200MM 4 Kg AGRI PIPE  (6 Mtr.)</v>
          </cell>
          <cell r="C989" t="str">
            <v>AGRI PIPE</v>
          </cell>
          <cell r="D989">
            <v>26.88</v>
          </cell>
        </row>
        <row r="990">
          <cell r="A990" t="str">
            <v>A-44C</v>
          </cell>
          <cell r="B990" t="str">
            <v>40 MM 6 KG AGRI PIPE  (6 Mtr.)</v>
          </cell>
          <cell r="C990" t="str">
            <v>AGRI PIPE</v>
          </cell>
          <cell r="D990">
            <v>1.85</v>
          </cell>
        </row>
        <row r="991">
          <cell r="A991" t="str">
            <v>A-45C</v>
          </cell>
          <cell r="B991" t="str">
            <v>50 MM 6 KG AGRI PIPE  (6 Mtr.)</v>
          </cell>
          <cell r="C991" t="str">
            <v>AGRI PIPE</v>
          </cell>
          <cell r="D991">
            <v>2.8</v>
          </cell>
        </row>
        <row r="992">
          <cell r="A992" t="str">
            <v>A-46C</v>
          </cell>
          <cell r="B992" t="str">
            <v>63 MM 6 KG AGRI PIPE  (6 Mtr.)</v>
          </cell>
          <cell r="C992" t="str">
            <v>AGRI PIPE</v>
          </cell>
          <cell r="D992">
            <v>4</v>
          </cell>
        </row>
        <row r="993">
          <cell r="A993" t="str">
            <v>A-47C</v>
          </cell>
          <cell r="B993" t="str">
            <v>75 MM 6 KG AGRI PIPE  (6 Mtr.)</v>
          </cell>
          <cell r="C993" t="str">
            <v>AGRI PIPE</v>
          </cell>
          <cell r="D993">
            <v>6</v>
          </cell>
        </row>
        <row r="994">
          <cell r="A994" t="str">
            <v>A-48C</v>
          </cell>
          <cell r="B994" t="str">
            <v>90MM 6 Kg AGRI PIPE  (6 Mtr.)</v>
          </cell>
          <cell r="C994" t="str">
            <v>AGRI PIPE</v>
          </cell>
          <cell r="D994">
            <v>8</v>
          </cell>
        </row>
        <row r="995">
          <cell r="A995" t="str">
            <v>A-49C</v>
          </cell>
          <cell r="B995" t="str">
            <v>110MM 6 Kg AGRI PIPE  (6 Mtr.)</v>
          </cell>
          <cell r="C995" t="str">
            <v>AGRI PIPE</v>
          </cell>
          <cell r="D995">
            <v>11.6</v>
          </cell>
        </row>
        <row r="996">
          <cell r="A996" t="str">
            <v>A-50C</v>
          </cell>
          <cell r="B996" t="str">
            <v>125MM 6 Kg AGRI PIPE  (6 Mtr.)</v>
          </cell>
          <cell r="C996" t="str">
            <v>AGRI PIPE</v>
          </cell>
          <cell r="D996">
            <v>16.100000000000001</v>
          </cell>
        </row>
        <row r="997">
          <cell r="A997" t="str">
            <v>A-51C</v>
          </cell>
          <cell r="B997" t="str">
            <v>140MM 6 Kg AGRI PIPE  (6 Mtr.)</v>
          </cell>
          <cell r="C997" t="str">
            <v>AGRI PIPE</v>
          </cell>
          <cell r="D997">
            <v>21.3</v>
          </cell>
        </row>
        <row r="998">
          <cell r="A998" t="str">
            <v>A-52C</v>
          </cell>
          <cell r="B998" t="str">
            <v>160MM 6 Kg AGRI PIPE  (6 Mtr.)</v>
          </cell>
          <cell r="C998" t="str">
            <v>AGRI PIPE</v>
          </cell>
          <cell r="D998">
            <v>23.5</v>
          </cell>
        </row>
        <row r="999">
          <cell r="A999" t="str">
            <v>A-53C</v>
          </cell>
          <cell r="B999" t="str">
            <v>180MM 6 Kg AGRI PIPE  (6 Mtr.)</v>
          </cell>
          <cell r="C999" t="str">
            <v>AGRI PIPE</v>
          </cell>
          <cell r="D999">
            <v>31.92</v>
          </cell>
        </row>
        <row r="1000">
          <cell r="A1000" t="str">
            <v>A-54C</v>
          </cell>
          <cell r="B1000" t="str">
            <v>200MM 6 Kg AGRI PIPE  (6 Mtr.)</v>
          </cell>
          <cell r="C1000" t="str">
            <v>AGRI PIPE</v>
          </cell>
          <cell r="D1000">
            <v>39.618000000000002</v>
          </cell>
        </row>
        <row r="1001">
          <cell r="A1001" t="str">
            <v>A-8C</v>
          </cell>
          <cell r="B1001" t="str">
            <v>90MM 2.5 Kg AGRI PIPE  (6 Mtr.)</v>
          </cell>
          <cell r="C1001" t="str">
            <v>AGRI PIPE</v>
          </cell>
          <cell r="D1001">
            <v>3.56</v>
          </cell>
        </row>
        <row r="1002">
          <cell r="A1002" t="str">
            <v>A-9C</v>
          </cell>
          <cell r="B1002" t="str">
            <v>110MM 2.5 Kg AGRI PIPE  (6 Mtr.)</v>
          </cell>
          <cell r="C1002" t="str">
            <v>AGRI PIPE</v>
          </cell>
          <cell r="D1002">
            <v>5.2679999999999998</v>
          </cell>
        </row>
        <row r="1003">
          <cell r="A1003" t="str">
            <v>A-12C</v>
          </cell>
          <cell r="B1003" t="str">
            <v>AGRI PIPE 2.5KG/cm2 6MTR 160MM</v>
          </cell>
          <cell r="C1003" t="str">
            <v>AGRI PIPE</v>
          </cell>
          <cell r="D1003">
            <v>11.006</v>
          </cell>
        </row>
        <row r="1004">
          <cell r="A1004" t="str">
            <v>A-14C</v>
          </cell>
          <cell r="B1004" t="str">
            <v>AGRI PIPE 2.5KG/cm2 6MTR 200MM</v>
          </cell>
          <cell r="C1004" t="str">
            <v>AGRI PIPE</v>
          </cell>
          <cell r="D1004">
            <v>17.309999999999999</v>
          </cell>
        </row>
        <row r="1005">
          <cell r="A1005" t="str">
            <v>A-81C</v>
          </cell>
          <cell r="B1005" t="str">
            <v>AGRI PIPE 10KG/cm2 6MTR 20MM</v>
          </cell>
          <cell r="C1005" t="str">
            <v>AGRI PIPE</v>
          </cell>
          <cell r="D1005">
            <v>0.62</v>
          </cell>
        </row>
        <row r="1006">
          <cell r="A1006" t="str">
            <v>A-82C</v>
          </cell>
          <cell r="B1006" t="str">
            <v>AGRI PIPE 10KG/cm2 6MTR 25MM</v>
          </cell>
          <cell r="C1006" t="str">
            <v>AGRI PIPE</v>
          </cell>
          <cell r="D1006">
            <v>1.01</v>
          </cell>
        </row>
        <row r="1007">
          <cell r="A1007" t="str">
            <v>A-83C</v>
          </cell>
          <cell r="B1007" t="str">
            <v>AGRI PIPE 10KG/cm2 6MTR 32MM</v>
          </cell>
          <cell r="C1007" t="str">
            <v>AGRI PIPE</v>
          </cell>
          <cell r="D1007">
            <v>1.64</v>
          </cell>
        </row>
        <row r="1008">
          <cell r="A1008" t="str">
            <v>A-88C</v>
          </cell>
          <cell r="B1008" t="str">
            <v>90MM 10 Kg AGRI PIPE  (6 Mtr.)</v>
          </cell>
          <cell r="C1008" t="str">
            <v>AGRI PIPE</v>
          </cell>
          <cell r="D1008">
            <v>12.6</v>
          </cell>
        </row>
        <row r="1009">
          <cell r="A1009" t="str">
            <v>A-89C</v>
          </cell>
          <cell r="B1009" t="str">
            <v>110MM 10 Kg AGRI PIPE  (6 Mtr.)</v>
          </cell>
          <cell r="C1009" t="str">
            <v>AGRI PIPE</v>
          </cell>
          <cell r="D1009">
            <v>19.04</v>
          </cell>
        </row>
        <row r="1010">
          <cell r="A1010" t="str">
            <v>A-92C</v>
          </cell>
          <cell r="B1010" t="str">
            <v>AGRI PIPE 10KG/cm2 6MTR 160MM</v>
          </cell>
          <cell r="C1010" t="str">
            <v>AGRI PIPE</v>
          </cell>
          <cell r="D1010">
            <v>40.01</v>
          </cell>
        </row>
        <row r="1011">
          <cell r="A1011" t="str">
            <v>WT-3LL-05</v>
          </cell>
          <cell r="B1011" t="str">
            <v>Water Tank 3 layer Light 500 Ltr.</v>
          </cell>
          <cell r="C1011" t="str">
            <v xml:space="preserve">WATER TANK </v>
          </cell>
          <cell r="D1011">
            <v>11.5</v>
          </cell>
        </row>
        <row r="1012">
          <cell r="A1012" t="str">
            <v>WT-3LL-07</v>
          </cell>
          <cell r="B1012" t="str">
            <v>Water Tank 3 layer Light 750 Ltr.</v>
          </cell>
          <cell r="C1012" t="str">
            <v xml:space="preserve">WATER TANK </v>
          </cell>
          <cell r="D1012">
            <v>18</v>
          </cell>
        </row>
        <row r="1013">
          <cell r="A1013" t="str">
            <v>WT-3LL-10</v>
          </cell>
          <cell r="B1013" t="str">
            <v>Water Tank 3 layer Light 1000 Ltr.</v>
          </cell>
          <cell r="C1013" t="str">
            <v xml:space="preserve">WATER TANK </v>
          </cell>
          <cell r="D1013">
            <v>22.5</v>
          </cell>
        </row>
        <row r="1014">
          <cell r="A1014" t="str">
            <v>WT-3LL-15</v>
          </cell>
          <cell r="B1014" t="str">
            <v>Water Tank 3 layer Light 1500 Ltr.</v>
          </cell>
          <cell r="C1014" t="str">
            <v xml:space="preserve">WATER TANK </v>
          </cell>
          <cell r="D1014">
            <v>32.200000000000003</v>
          </cell>
        </row>
        <row r="1015">
          <cell r="A1015" t="str">
            <v>WT-3LL-20</v>
          </cell>
          <cell r="B1015" t="str">
            <v>Water Tank 3 layer Light 2000 Ltr.</v>
          </cell>
          <cell r="C1015" t="str">
            <v xml:space="preserve">WATER TANK </v>
          </cell>
          <cell r="D1015">
            <v>41.7</v>
          </cell>
        </row>
        <row r="1016">
          <cell r="A1016" t="str">
            <v>WT-3LL-30</v>
          </cell>
          <cell r="B1016" t="str">
            <v>Water Tank 3 layer Light 3000 Ltr.</v>
          </cell>
          <cell r="C1016" t="str">
            <v xml:space="preserve">WATER TANK </v>
          </cell>
          <cell r="D1016">
            <v>63.7</v>
          </cell>
        </row>
        <row r="1017">
          <cell r="A1017" t="str">
            <v>WT-3LL-50</v>
          </cell>
          <cell r="B1017" t="str">
            <v>Water Tank 3 layer Light 5000 Ltr.</v>
          </cell>
          <cell r="C1017" t="str">
            <v xml:space="preserve">WATER TANK </v>
          </cell>
          <cell r="D1017">
            <v>104.7</v>
          </cell>
        </row>
        <row r="1018">
          <cell r="A1018" t="str">
            <v>WT-3LH-05</v>
          </cell>
          <cell r="B1018" t="str">
            <v>Water Tank 3 layer heavy  500 Ltr.</v>
          </cell>
          <cell r="C1018" t="str">
            <v xml:space="preserve">WATER TANK </v>
          </cell>
          <cell r="D1018">
            <v>13.5</v>
          </cell>
        </row>
        <row r="1019">
          <cell r="A1019" t="str">
            <v>WT-3LH-07</v>
          </cell>
          <cell r="B1019" t="str">
            <v>Water Tank 3 layer heavy  750 Ltr.</v>
          </cell>
          <cell r="C1019" t="str">
            <v xml:space="preserve">WATER TANK </v>
          </cell>
          <cell r="D1019">
            <v>2.5</v>
          </cell>
        </row>
        <row r="1020">
          <cell r="A1020" t="str">
            <v>WT-3LH-10</v>
          </cell>
          <cell r="B1020" t="str">
            <v>Water Tank 3 layer heavy  1000 Ltr.</v>
          </cell>
          <cell r="C1020" t="str">
            <v xml:space="preserve">WATER TANK </v>
          </cell>
          <cell r="D1020">
            <v>25.5</v>
          </cell>
        </row>
        <row r="1021">
          <cell r="A1021" t="str">
            <v>WT-3LH-15</v>
          </cell>
          <cell r="B1021" t="str">
            <v>Water Tank 3 layer heavy  1500 Ltr.</v>
          </cell>
          <cell r="C1021" t="str">
            <v xml:space="preserve">WATER TANK </v>
          </cell>
          <cell r="D1021">
            <v>38.700000000000003</v>
          </cell>
        </row>
        <row r="1022">
          <cell r="A1022" t="str">
            <v>WT-3LH-20</v>
          </cell>
          <cell r="B1022" t="str">
            <v>Water Tank 3 layer heavy  2000 Ltr.</v>
          </cell>
          <cell r="C1022" t="str">
            <v xml:space="preserve">WATER TANK </v>
          </cell>
          <cell r="D1022">
            <v>50.7</v>
          </cell>
        </row>
        <row r="1023">
          <cell r="A1023" t="str">
            <v>WT-3LH-30</v>
          </cell>
          <cell r="B1023" t="str">
            <v>Water Tank 3 layer heavy  3000 Ltr.</v>
          </cell>
          <cell r="C1023" t="str">
            <v xml:space="preserve">WATER TANK </v>
          </cell>
          <cell r="D1023">
            <v>73.7</v>
          </cell>
        </row>
        <row r="1024">
          <cell r="A1024" t="str">
            <v>WT-3LH-50</v>
          </cell>
          <cell r="B1024" t="str">
            <v>Water Tank 3 layer heavy  5000 Ltr.</v>
          </cell>
          <cell r="C1024" t="str">
            <v xml:space="preserve">WATER TANK </v>
          </cell>
          <cell r="D1024">
            <v>122.7</v>
          </cell>
        </row>
        <row r="1025">
          <cell r="A1025" t="str">
            <v>WT-4LL-05</v>
          </cell>
          <cell r="B1025" t="str">
            <v>Water Tank 4 layer Light 500 Ltr.</v>
          </cell>
          <cell r="C1025" t="str">
            <v xml:space="preserve">WATER TANK </v>
          </cell>
          <cell r="D1025">
            <v>13</v>
          </cell>
        </row>
        <row r="1026">
          <cell r="A1026" t="str">
            <v>WT-4LL-07</v>
          </cell>
          <cell r="B1026" t="str">
            <v>Water Tank 4 layer Light 750 Ltr.</v>
          </cell>
          <cell r="C1026" t="str">
            <v xml:space="preserve">WATER TANK </v>
          </cell>
          <cell r="D1026">
            <v>20.5</v>
          </cell>
        </row>
        <row r="1027">
          <cell r="A1027" t="str">
            <v>WT-4LL-10</v>
          </cell>
          <cell r="B1027" t="str">
            <v>Water Tank 4 layer Light 1000 Ltr.</v>
          </cell>
          <cell r="C1027" t="str">
            <v xml:space="preserve">WATER TANK </v>
          </cell>
          <cell r="D1027">
            <v>25.5</v>
          </cell>
        </row>
        <row r="1028">
          <cell r="A1028" t="str">
            <v>WT-4LL-15</v>
          </cell>
          <cell r="B1028" t="str">
            <v>Water Tank 4 layer Light 1500 Ltr.</v>
          </cell>
          <cell r="C1028" t="str">
            <v xml:space="preserve">WATER TANK </v>
          </cell>
          <cell r="D1028">
            <v>38.700000000000003</v>
          </cell>
        </row>
        <row r="1029">
          <cell r="A1029" t="str">
            <v>WT-4LL-20</v>
          </cell>
          <cell r="B1029" t="str">
            <v>Water Tank 4 layer Light 2000 Ltr.</v>
          </cell>
          <cell r="C1029" t="str">
            <v xml:space="preserve">WATER TANK </v>
          </cell>
          <cell r="D1029">
            <v>52.7</v>
          </cell>
        </row>
        <row r="1030">
          <cell r="A1030" t="str">
            <v>WT-4LL-30</v>
          </cell>
          <cell r="B1030" t="str">
            <v>Water Tank 4 layer Light 3000 Ltr.</v>
          </cell>
          <cell r="C1030" t="str">
            <v xml:space="preserve">WATER TANK </v>
          </cell>
          <cell r="D1030">
            <v>75.7</v>
          </cell>
        </row>
        <row r="1031">
          <cell r="A1031" t="str">
            <v>WT-4LL-50</v>
          </cell>
          <cell r="B1031" t="str">
            <v>Water Tank 4 layer Light 5000 Ltr.</v>
          </cell>
          <cell r="C1031" t="str">
            <v xml:space="preserve">WATER TANK </v>
          </cell>
          <cell r="D1031">
            <v>125.7</v>
          </cell>
        </row>
        <row r="1032">
          <cell r="A1032" t="str">
            <v>WT-4LH-05</v>
          </cell>
          <cell r="B1032" t="str">
            <v>Water Tank 4 layer heavy  500 Ltr.</v>
          </cell>
          <cell r="C1032" t="str">
            <v xml:space="preserve">WATER TANK </v>
          </cell>
          <cell r="D1032">
            <v>16</v>
          </cell>
        </row>
        <row r="1033">
          <cell r="A1033" t="str">
            <v>WT-4LH-07</v>
          </cell>
          <cell r="B1033" t="str">
            <v>Water Tank 4 layer heavy  750 Ltr.</v>
          </cell>
          <cell r="C1033" t="str">
            <v xml:space="preserve">WATER TANK </v>
          </cell>
          <cell r="D1033">
            <v>23.5</v>
          </cell>
        </row>
        <row r="1034">
          <cell r="A1034" t="str">
            <v>WT-4LH-10</v>
          </cell>
          <cell r="B1034" t="str">
            <v>Water Tank 4 layer heavy  1000 Ltr.</v>
          </cell>
          <cell r="C1034" t="str">
            <v xml:space="preserve">WATER TANK </v>
          </cell>
          <cell r="D1034">
            <v>29.5</v>
          </cell>
        </row>
        <row r="1035">
          <cell r="A1035" t="str">
            <v>WT-4LH-15</v>
          </cell>
          <cell r="B1035" t="str">
            <v>Water Tank 4 layer heavy  1500 Ltr.</v>
          </cell>
          <cell r="C1035" t="str">
            <v xml:space="preserve">WATER TANK </v>
          </cell>
          <cell r="D1035">
            <v>44.7</v>
          </cell>
        </row>
        <row r="1036">
          <cell r="A1036" t="str">
            <v>WT-4LH-20</v>
          </cell>
          <cell r="B1036" t="str">
            <v>Water Tank 4 layer heavy  2000 Ltr.</v>
          </cell>
          <cell r="C1036" t="str">
            <v xml:space="preserve">WATER TANK </v>
          </cell>
          <cell r="D1036">
            <v>57.7</v>
          </cell>
        </row>
        <row r="1037">
          <cell r="A1037" t="str">
            <v>WT-4LH-30</v>
          </cell>
          <cell r="B1037" t="str">
            <v>Water Tank 4 layer heavy  3000 Ltr.</v>
          </cell>
          <cell r="C1037" t="str">
            <v xml:space="preserve">WATER TANK </v>
          </cell>
          <cell r="D1037">
            <v>84.7</v>
          </cell>
        </row>
        <row r="1038">
          <cell r="A1038" t="str">
            <v>WT-4LH-50</v>
          </cell>
          <cell r="B1038" t="str">
            <v>Water Tank 4 layer heavy  5000 Ltr.</v>
          </cell>
          <cell r="C1038" t="str">
            <v xml:space="preserve">WATER TANK </v>
          </cell>
          <cell r="D1038">
            <v>139.69999999999999</v>
          </cell>
        </row>
        <row r="1039">
          <cell r="A1039" t="str">
            <v>WT-ISI-05</v>
          </cell>
          <cell r="B1039" t="str">
            <v>Water Tank 2 layer ISI  500 Ltr.</v>
          </cell>
          <cell r="C1039" t="str">
            <v xml:space="preserve">WATER TANK </v>
          </cell>
          <cell r="D1039">
            <v>18.5</v>
          </cell>
        </row>
        <row r="1040">
          <cell r="A1040" t="str">
            <v>WT-ISI-07</v>
          </cell>
          <cell r="B1040" t="str">
            <v>Water Tank 2 layer ISI  700 Ltr.</v>
          </cell>
          <cell r="C1040" t="str">
            <v xml:space="preserve">WATER TANK </v>
          </cell>
          <cell r="D1040">
            <v>24.5</v>
          </cell>
        </row>
        <row r="1041">
          <cell r="A1041" t="str">
            <v>WT-ISI-10</v>
          </cell>
          <cell r="B1041" t="str">
            <v>Water Tank 2 layer ISI  1000 Ltr.</v>
          </cell>
          <cell r="C1041" t="str">
            <v xml:space="preserve">WATER TANK </v>
          </cell>
          <cell r="D1041">
            <v>33.5</v>
          </cell>
        </row>
        <row r="1042">
          <cell r="A1042" t="str">
            <v>WT-ISI-15</v>
          </cell>
          <cell r="B1042" t="str">
            <v>Water Tank 2 layer ISI  1500 Ltr.</v>
          </cell>
          <cell r="C1042" t="str">
            <v xml:space="preserve">WATER TANK </v>
          </cell>
          <cell r="D1042">
            <v>47.5</v>
          </cell>
        </row>
        <row r="1043">
          <cell r="A1043" t="str">
            <v>WT-ISI-20</v>
          </cell>
          <cell r="B1043" t="str">
            <v>Water Tank 2 layer ISI  2000 Ltr.</v>
          </cell>
          <cell r="C1043" t="str">
            <v xml:space="preserve">WATER TANK </v>
          </cell>
          <cell r="D1043">
            <v>64.5</v>
          </cell>
        </row>
        <row r="1044">
          <cell r="A1044" t="str">
            <v>WT-ISI-30</v>
          </cell>
          <cell r="B1044" t="str">
            <v>Water Tank 2 layer ISI  3000 Ltr.</v>
          </cell>
          <cell r="C1044" t="str">
            <v xml:space="preserve">WATER TANK </v>
          </cell>
          <cell r="D1044">
            <v>96.5</v>
          </cell>
        </row>
        <row r="1045">
          <cell r="A1045" t="str">
            <v>WT-ISI-50</v>
          </cell>
          <cell r="B1045" t="str">
            <v>Water Tank 2 layer ISI  5000 Ltr.</v>
          </cell>
          <cell r="C1045" t="str">
            <v xml:space="preserve">WATER TANK </v>
          </cell>
          <cell r="D1045">
            <v>180.5</v>
          </cell>
        </row>
        <row r="1046">
          <cell r="A1046" t="str">
            <v>WT-001</v>
          </cell>
          <cell r="B1046" t="str">
            <v>Plastic lid heavy</v>
          </cell>
          <cell r="C1046" t="str">
            <v xml:space="preserve">WATER TANK </v>
          </cell>
          <cell r="D1046">
            <v>0</v>
          </cell>
        </row>
        <row r="1047">
          <cell r="A1047" t="str">
            <v>WT-002</v>
          </cell>
          <cell r="B1047" t="str">
            <v>Plastic lid Light</v>
          </cell>
          <cell r="C1047" t="str">
            <v xml:space="preserve">WATER TANK </v>
          </cell>
          <cell r="D1047">
            <v>0</v>
          </cell>
        </row>
        <row r="1048">
          <cell r="A1048" t="str">
            <v>S1</v>
          </cell>
          <cell r="B1048" t="str">
            <v>20 ML TUBES</v>
          </cell>
          <cell r="C1048" t="str">
            <v>CPVC-TRADING</v>
          </cell>
          <cell r="D1048">
            <v>16.309999999999999</v>
          </cell>
        </row>
        <row r="1049">
          <cell r="A1049" t="str">
            <v>S2</v>
          </cell>
          <cell r="B1049" t="str">
            <v>50 ML TUBES</v>
          </cell>
          <cell r="C1049" t="str">
            <v>CPVC-TRADING</v>
          </cell>
          <cell r="D1049">
            <v>19.5</v>
          </cell>
        </row>
        <row r="1050">
          <cell r="A1050" t="str">
            <v>S3</v>
          </cell>
          <cell r="B1050" t="str">
            <v>CPVC SOLVENT CEMENT 59 ML TIN</v>
          </cell>
          <cell r="C1050" t="str">
            <v>CPVC-TRADING</v>
          </cell>
          <cell r="D1050">
            <v>30</v>
          </cell>
        </row>
        <row r="1051">
          <cell r="A1051" t="str">
            <v>S4</v>
          </cell>
          <cell r="B1051" t="str">
            <v>04 OZ/118 ML TINS</v>
          </cell>
          <cell r="C1051" t="str">
            <v>CPVC-TRADING</v>
          </cell>
          <cell r="D1051">
            <v>23.86</v>
          </cell>
        </row>
        <row r="1052">
          <cell r="A1052" t="str">
            <v>S5</v>
          </cell>
          <cell r="B1052" t="str">
            <v>08 OZ/237 ML TINS</v>
          </cell>
          <cell r="C1052" t="str">
            <v>CPVC-TRADING</v>
          </cell>
          <cell r="D1052">
            <v>29</v>
          </cell>
        </row>
        <row r="1053">
          <cell r="A1053" t="str">
            <v>S6</v>
          </cell>
          <cell r="B1053" t="str">
            <v>16 OZ/473 ML TINS</v>
          </cell>
          <cell r="C1053" t="str">
            <v>CPVC-TRADING</v>
          </cell>
          <cell r="D1053">
            <v>27</v>
          </cell>
        </row>
        <row r="1054">
          <cell r="A1054" t="str">
            <v>S7</v>
          </cell>
          <cell r="B1054" t="str">
            <v>32 OZ/946 ML TINS</v>
          </cell>
          <cell r="C1054" t="str">
            <v>CPVC-TRADING</v>
          </cell>
          <cell r="D1054">
            <v>29</v>
          </cell>
        </row>
        <row r="1055">
          <cell r="A1055" t="str">
            <v>EWS 03</v>
          </cell>
          <cell r="B1055" t="str">
            <v>59 Ml Cpvc Solvent Cement</v>
          </cell>
          <cell r="C1055" t="str">
            <v>CPVC-TRADING</v>
          </cell>
          <cell r="D1055">
            <v>30</v>
          </cell>
        </row>
        <row r="1056">
          <cell r="A1056" t="str">
            <v>EWS04</v>
          </cell>
          <cell r="B1056" t="str">
            <v>CPVC SOLVENT -118ML-TIN (PR)</v>
          </cell>
          <cell r="C1056" t="str">
            <v>CPVC-TRADING</v>
          </cell>
          <cell r="D1056">
            <v>24</v>
          </cell>
        </row>
        <row r="1057">
          <cell r="A1057" t="str">
            <v>EWS05</v>
          </cell>
          <cell r="B1057" t="str">
            <v>CPVC SOLVENT -237ML-TIN (PR)</v>
          </cell>
          <cell r="C1057" t="str">
            <v>CPVC-TRADING</v>
          </cell>
          <cell r="D1057">
            <v>29</v>
          </cell>
        </row>
        <row r="1058">
          <cell r="A1058" t="str">
            <v>EWS 06</v>
          </cell>
          <cell r="B1058" t="str">
            <v>437 ML CPVC SOLVENT CEMENT</v>
          </cell>
          <cell r="C1058" t="str">
            <v>CPVC-TRADING</v>
          </cell>
          <cell r="D1058">
            <v>27</v>
          </cell>
        </row>
        <row r="1059">
          <cell r="A1059" t="str">
            <v>pc21</v>
          </cell>
          <cell r="B1059" t="str">
            <v>1/2" HEAVY SADDLE WITH POWDER COATING</v>
          </cell>
          <cell r="C1059" t="str">
            <v>CPVC-TRADING</v>
          </cell>
          <cell r="D1059">
            <v>23.12</v>
          </cell>
        </row>
        <row r="1060">
          <cell r="A1060" t="str">
            <v>pc22</v>
          </cell>
          <cell r="B1060" t="str">
            <v>3/4" HEAVY SADDLE WITH POWDER COATING</v>
          </cell>
          <cell r="C1060" t="str">
            <v>CPVC-TRADING</v>
          </cell>
          <cell r="D1060">
            <v>23.25</v>
          </cell>
        </row>
        <row r="1061">
          <cell r="A1061" t="str">
            <v>pc23</v>
          </cell>
          <cell r="B1061" t="str">
            <v>1" HEAVY SADDLE WITH POWDER COATING</v>
          </cell>
          <cell r="C1061" t="str">
            <v>CPVC-TRADING</v>
          </cell>
          <cell r="D1061">
            <v>27.06</v>
          </cell>
        </row>
        <row r="1062">
          <cell r="A1062" t="str">
            <v>pc24</v>
          </cell>
          <cell r="B1062" t="str">
            <v>1-1/4" HEAVY SADDLE WITH POWDER COATING</v>
          </cell>
          <cell r="C1062" t="str">
            <v>CPVC-TRADING</v>
          </cell>
          <cell r="D1062">
            <v>31.36</v>
          </cell>
        </row>
        <row r="1063">
          <cell r="A1063" t="str">
            <v>pc25</v>
          </cell>
          <cell r="B1063" t="str">
            <v>1-1/2" HEAVY SADDLE WITH POWDER COATING</v>
          </cell>
          <cell r="C1063" t="str">
            <v>CPVC-TRADING</v>
          </cell>
          <cell r="D1063">
            <v>28.23</v>
          </cell>
        </row>
        <row r="1064">
          <cell r="A1064" t="str">
            <v>pc26</v>
          </cell>
          <cell r="B1064" t="str">
            <v>2" HEAVY SADDLE WITH POWDER COATING</v>
          </cell>
          <cell r="C1064" t="str">
            <v>CPVC-TRADING</v>
          </cell>
          <cell r="D1064">
            <v>28.03</v>
          </cell>
        </row>
        <row r="1065">
          <cell r="A1065" t="str">
            <v>pc31</v>
          </cell>
          <cell r="B1065" t="str">
            <v>1/2" HEAVY SADDLE ZINC PLATED</v>
          </cell>
          <cell r="C1065" t="str">
            <v>CPVC-TRADING</v>
          </cell>
          <cell r="D1065">
            <v>42</v>
          </cell>
        </row>
        <row r="1066">
          <cell r="A1066" t="str">
            <v>pc32</v>
          </cell>
          <cell r="B1066" t="str">
            <v>3/4" HEAVY SADDLE ZINC PLATED</v>
          </cell>
          <cell r="C1066" t="str">
            <v>CPVC-TRADING</v>
          </cell>
          <cell r="D1066">
            <v>26.86</v>
          </cell>
        </row>
        <row r="1067">
          <cell r="A1067" t="str">
            <v>pc33</v>
          </cell>
          <cell r="B1067" t="str">
            <v>1" HEAVY SADDLE ZINC PLATED</v>
          </cell>
          <cell r="C1067" t="str">
            <v>CPVC-TRADING</v>
          </cell>
          <cell r="D1067">
            <v>30.64</v>
          </cell>
        </row>
        <row r="1068">
          <cell r="A1068" t="str">
            <v>pc34</v>
          </cell>
          <cell r="B1068" t="str">
            <v>1-1/4" HEAVY SADDLE ZINC PLATED</v>
          </cell>
          <cell r="C1068" t="str">
            <v>CPVC-TRADING</v>
          </cell>
          <cell r="D1068">
            <v>30</v>
          </cell>
        </row>
        <row r="1069">
          <cell r="A1069" t="str">
            <v>pc35</v>
          </cell>
          <cell r="B1069" t="str">
            <v>1-1/2" HEAVY SADDLE ZINC PLATED</v>
          </cell>
          <cell r="C1069" t="str">
            <v>CPVC-TRADING</v>
          </cell>
          <cell r="D1069">
            <v>27.25</v>
          </cell>
        </row>
        <row r="1070">
          <cell r="A1070" t="str">
            <v>pc36</v>
          </cell>
          <cell r="B1070" t="str">
            <v>2" HEAVY SADDLE ZINC PLATED</v>
          </cell>
          <cell r="C1070" t="str">
            <v>CPVC-TRADING</v>
          </cell>
          <cell r="D1070">
            <v>16.309999999999999</v>
          </cell>
        </row>
        <row r="1071">
          <cell r="A1071" t="str">
            <v>EWS 13</v>
          </cell>
          <cell r="B1071" t="str">
            <v>59ML Upvc Solvent Cement</v>
          </cell>
          <cell r="C1071" t="str">
            <v>UPVC-TRADING</v>
          </cell>
          <cell r="D1071">
            <v>30</v>
          </cell>
        </row>
        <row r="1072">
          <cell r="A1072" t="str">
            <v>EWS 14</v>
          </cell>
          <cell r="B1072" t="str">
            <v>118 Ml Upvc Solvent Cement</v>
          </cell>
          <cell r="C1072" t="str">
            <v>UPVC-TRADING</v>
          </cell>
          <cell r="D1072">
            <v>26</v>
          </cell>
        </row>
        <row r="1073">
          <cell r="A1073" t="str">
            <v>EWS 15</v>
          </cell>
          <cell r="B1073" t="str">
            <v>237 Ml Upvc Solvent Cement</v>
          </cell>
          <cell r="C1073" t="str">
            <v>UPVC-TRADING</v>
          </cell>
          <cell r="D1073">
            <v>26</v>
          </cell>
        </row>
        <row r="1074">
          <cell r="A1074" t="str">
            <v>S11</v>
          </cell>
          <cell r="B1074" t="str">
            <v>UPVC SOLVENT AQUA CLEAR 20 ML TUBE</v>
          </cell>
          <cell r="C1074" t="str">
            <v>UPVC-TRADING</v>
          </cell>
          <cell r="D1074">
            <v>16.3</v>
          </cell>
        </row>
        <row r="1075">
          <cell r="A1075" t="str">
            <v>S12</v>
          </cell>
          <cell r="B1075" t="str">
            <v>50 ML TUBES</v>
          </cell>
          <cell r="C1075" t="str">
            <v>UPVC-TRADING</v>
          </cell>
          <cell r="D1075">
            <v>20</v>
          </cell>
        </row>
        <row r="1076">
          <cell r="A1076" t="str">
            <v>S13</v>
          </cell>
          <cell r="B1076" t="str">
            <v>UPVC SOLVENT CEMENT 59 ML TIN</v>
          </cell>
          <cell r="C1076" t="str">
            <v>UPVC-TRADING</v>
          </cell>
          <cell r="D1076">
            <v>30</v>
          </cell>
        </row>
        <row r="1077">
          <cell r="A1077" t="str">
            <v>S14</v>
          </cell>
          <cell r="B1077" t="str">
            <v>04 OZ/118 ML TINS</v>
          </cell>
          <cell r="C1077" t="str">
            <v>UPVC-TRADING</v>
          </cell>
          <cell r="D1077">
            <v>24</v>
          </cell>
        </row>
        <row r="1078">
          <cell r="A1078" t="str">
            <v>S15</v>
          </cell>
          <cell r="B1078" t="str">
            <v>08 OZ/237 ML TINS</v>
          </cell>
          <cell r="C1078" t="str">
            <v>UPVC-TRADING</v>
          </cell>
          <cell r="D1078">
            <v>25.63</v>
          </cell>
        </row>
        <row r="1079">
          <cell r="A1079" t="str">
            <v>S16</v>
          </cell>
          <cell r="B1079" t="str">
            <v>16 OZ/473 ML TINS</v>
          </cell>
          <cell r="C1079" t="str">
            <v>UPVC-TRADING</v>
          </cell>
          <cell r="D1079">
            <v>24.8</v>
          </cell>
        </row>
        <row r="1080">
          <cell r="A1080" t="str">
            <v>S17</v>
          </cell>
          <cell r="B1080" t="str">
            <v>32 OZ/946 ML TINS</v>
          </cell>
          <cell r="C1080" t="str">
            <v>UPVC-TRADING</v>
          </cell>
          <cell r="D1080">
            <v>26</v>
          </cell>
        </row>
        <row r="1081">
          <cell r="A1081" t="str">
            <v>S34</v>
          </cell>
          <cell r="B1081" t="str">
            <v>UPVC SOLVENT ( MD) BLUE-118ML-TIN</v>
          </cell>
          <cell r="C1081" t="str">
            <v>UPVC-TRADING</v>
          </cell>
          <cell r="D1081">
            <v>24</v>
          </cell>
        </row>
        <row r="1082">
          <cell r="A1082" t="str">
            <v>S35</v>
          </cell>
          <cell r="B1082" t="str">
            <v>UPVC SOLVENT ( MD) BLUE-237ML-TIN</v>
          </cell>
          <cell r="C1082" t="str">
            <v>UPVC-TRADING</v>
          </cell>
          <cell r="D1082">
            <v>26</v>
          </cell>
        </row>
        <row r="1083">
          <cell r="A1083" t="str">
            <v>UC1</v>
          </cell>
          <cell r="B1083" t="str">
            <v>1/2" HEAVY SADDLE WITH POWDER COATING</v>
          </cell>
          <cell r="C1083" t="str">
            <v>UPVC-TRADING</v>
          </cell>
          <cell r="D1083">
            <v>18.41</v>
          </cell>
        </row>
        <row r="1084">
          <cell r="A1084" t="str">
            <v>UC2</v>
          </cell>
          <cell r="B1084" t="str">
            <v>3/4" HEAVY SADDLE WITH POWDER COATING</v>
          </cell>
          <cell r="C1084" t="str">
            <v>UPVC-TRADING</v>
          </cell>
          <cell r="D1084">
            <v>21.01</v>
          </cell>
        </row>
        <row r="1085">
          <cell r="A1085" t="str">
            <v>UC3</v>
          </cell>
          <cell r="B1085" t="str">
            <v>1" HEAVY SADDLE WITH POWDER COATING</v>
          </cell>
          <cell r="C1085" t="str">
            <v>UPVC-TRADING</v>
          </cell>
          <cell r="D1085">
            <v>18.72</v>
          </cell>
        </row>
        <row r="1086">
          <cell r="A1086" t="str">
            <v>UC4</v>
          </cell>
          <cell r="B1086" t="str">
            <v>1-1/4" HEAVY SADDLE WITH POWDER COATING</v>
          </cell>
          <cell r="C1086" t="str">
            <v>UPVC-TRADING</v>
          </cell>
          <cell r="D1086">
            <v>22.17</v>
          </cell>
        </row>
        <row r="1087">
          <cell r="A1087" t="str">
            <v>UC5</v>
          </cell>
          <cell r="B1087" t="str">
            <v>1-1/2" HEAVY SADDLE WITH POWDER COATING</v>
          </cell>
          <cell r="C1087" t="str">
            <v>UPVC-TRADING</v>
          </cell>
          <cell r="D1087">
            <v>24.43</v>
          </cell>
        </row>
        <row r="1088">
          <cell r="A1088" t="str">
            <v>UC6</v>
          </cell>
          <cell r="B1088" t="str">
            <v>2" HEAVY SADDLE WITH POWDER COATING</v>
          </cell>
          <cell r="C1088" t="str">
            <v>UPVC-TRADING</v>
          </cell>
          <cell r="D1088">
            <v>23.14</v>
          </cell>
        </row>
        <row r="1089">
          <cell r="A1089" t="str">
            <v>UC11</v>
          </cell>
          <cell r="B1089" t="str">
            <v>1/2" HEAVY SADDLE ZINC PLATED</v>
          </cell>
          <cell r="C1089" t="str">
            <v>UPVC-TRADING</v>
          </cell>
          <cell r="D1089">
            <v>30</v>
          </cell>
        </row>
        <row r="1090">
          <cell r="A1090" t="str">
            <v>UC12</v>
          </cell>
          <cell r="B1090" t="str">
            <v>3/4" HEAVY SADDLE ZINC PLATED</v>
          </cell>
          <cell r="C1090" t="str">
            <v>UPVC-TRADING</v>
          </cell>
          <cell r="D1090">
            <v>29.85</v>
          </cell>
        </row>
        <row r="1091">
          <cell r="A1091" t="str">
            <v>UC13</v>
          </cell>
          <cell r="B1091" t="str">
            <v>1" HEAVY SADDLE ZINC PLATED</v>
          </cell>
          <cell r="C1091" t="str">
            <v>UPVC-TRADING</v>
          </cell>
          <cell r="D1091">
            <v>28.9</v>
          </cell>
        </row>
        <row r="1092">
          <cell r="A1092" t="str">
            <v>UC14</v>
          </cell>
          <cell r="B1092" t="str">
            <v>1-1/4" HEAVY SADDLE ZINC PLATED</v>
          </cell>
          <cell r="C1092" t="str">
            <v>UPVC-TRADING</v>
          </cell>
          <cell r="D1092">
            <v>27.4</v>
          </cell>
        </row>
        <row r="1093">
          <cell r="A1093" t="str">
            <v>UC15</v>
          </cell>
          <cell r="B1093" t="str">
            <v>1-1/2" HEAVY SADDLE ZINC PLATED</v>
          </cell>
          <cell r="C1093" t="str">
            <v>UPVC-TRADING</v>
          </cell>
          <cell r="D1093">
            <v>30.39</v>
          </cell>
        </row>
        <row r="1094">
          <cell r="A1094" t="str">
            <v>UC16</v>
          </cell>
          <cell r="B1094" t="str">
            <v>2" HEAVY SADDLE ZINC PLATED</v>
          </cell>
          <cell r="C1094" t="str">
            <v>UPVC-TRADING</v>
          </cell>
          <cell r="D1094">
            <v>29.25</v>
          </cell>
        </row>
        <row r="1095">
          <cell r="A1095" t="str">
            <v>EWS 45</v>
          </cell>
          <cell r="B1095" t="str">
            <v>250 Ml Pvc Solvent Cement</v>
          </cell>
          <cell r="C1095" t="str">
            <v>Agri-Trading</v>
          </cell>
          <cell r="D1095">
            <v>30</v>
          </cell>
        </row>
        <row r="1096">
          <cell r="A1096" t="str">
            <v>S45</v>
          </cell>
          <cell r="B1096" t="str">
            <v>250 ML TIN PVC SOLVENT CEMENT</v>
          </cell>
          <cell r="C1096" t="str">
            <v>Agri-Trading</v>
          </cell>
          <cell r="D1096">
            <v>20</v>
          </cell>
        </row>
        <row r="1097">
          <cell r="A1097" t="str">
            <v>S46</v>
          </cell>
          <cell r="B1097" t="str">
            <v>500 ML TIN PVC SOLVENT CEMENT</v>
          </cell>
          <cell r="C1097" t="str">
            <v>Agri-Trading</v>
          </cell>
          <cell r="D1097">
            <v>20</v>
          </cell>
        </row>
        <row r="1098">
          <cell r="A1098" t="str">
            <v>S47</v>
          </cell>
          <cell r="B1098" t="str">
            <v>1000 ML TIN PVC SOLVENT CEMENT</v>
          </cell>
          <cell r="C1098" t="str">
            <v>Agri-Trading</v>
          </cell>
          <cell r="D1098">
            <v>20</v>
          </cell>
        </row>
        <row r="1099">
          <cell r="A1099" t="str">
            <v>RL-2</v>
          </cell>
          <cell r="B1099" t="str">
            <v>RUBBER LUBRICANT 100g</v>
          </cell>
          <cell r="C1099" t="str">
            <v>SWR-TRADING</v>
          </cell>
          <cell r="D1099">
            <v>16</v>
          </cell>
        </row>
        <row r="1100">
          <cell r="A1100" t="str">
            <v>RL-3</v>
          </cell>
          <cell r="B1100" t="str">
            <v>RUBBER LUBRICANT 250g</v>
          </cell>
          <cell r="C1100" t="str">
            <v>SWR-TRADING</v>
          </cell>
          <cell r="D1100">
            <v>16</v>
          </cell>
        </row>
        <row r="1101">
          <cell r="A1101" t="str">
            <v>RL-4</v>
          </cell>
          <cell r="B1101" t="str">
            <v>RUBBER LUBRICANT 500g</v>
          </cell>
          <cell r="C1101" t="str">
            <v>SWR-TRADING</v>
          </cell>
          <cell r="D1101">
            <v>16</v>
          </cell>
        </row>
        <row r="1102">
          <cell r="A1102" t="str">
            <v>A-504</v>
          </cell>
          <cell r="B1102" t="str">
            <v>ELBOW 45- 6 KG, 63MM AGRI</v>
          </cell>
          <cell r="C1102" t="str">
            <v>AGRI FITTING</v>
          </cell>
          <cell r="D1102">
            <v>120</v>
          </cell>
        </row>
        <row r="1103">
          <cell r="A1103" t="str">
            <v>A-503</v>
          </cell>
          <cell r="B1103" t="str">
            <v>ELBOW 45- 6 KG, 50MM AGRI</v>
          </cell>
          <cell r="C1103" t="str">
            <v>AGRI FITTING</v>
          </cell>
          <cell r="D1103">
            <v>70</v>
          </cell>
        </row>
        <row r="1104">
          <cell r="A1104" t="str">
            <v>A-505</v>
          </cell>
          <cell r="B1104" t="str">
            <v>ELBOW 45- 6 KG, 75MM AGRI</v>
          </cell>
          <cell r="C1104" t="str">
            <v>AGRI FITTING</v>
          </cell>
          <cell r="D1104">
            <v>173</v>
          </cell>
        </row>
        <row r="1105">
          <cell r="A1105">
            <v>5102</v>
          </cell>
          <cell r="B1105" t="str">
            <v>75MM YELLOW SEAL O RING</v>
          </cell>
          <cell r="D1105">
            <v>6</v>
          </cell>
        </row>
        <row r="1106">
          <cell r="A1106">
            <v>5104</v>
          </cell>
          <cell r="B1106" t="str">
            <v>110MM YELLOW SEAL O RING</v>
          </cell>
          <cell r="D1106">
            <v>13</v>
          </cell>
        </row>
        <row r="1107">
          <cell r="A1107" t="str">
            <v>A-228</v>
          </cell>
          <cell r="B1107" t="str">
            <v>coupler- 2.5 KG, 90MM AGRI</v>
          </cell>
          <cell r="C1107" t="str">
            <v>AGRI FITTING</v>
          </cell>
          <cell r="D1107">
            <v>70</v>
          </cell>
        </row>
        <row r="1108">
          <cell r="A1108" t="str">
            <v>A-428</v>
          </cell>
          <cell r="B1108" t="str">
            <v>AGRI EQUAL ELBOW 90 (2.5 Kg</v>
          </cell>
          <cell r="C1108" t="str">
            <v>AGRI FITTING</v>
          </cell>
          <cell r="D1108">
            <v>130</v>
          </cell>
        </row>
        <row r="1109">
          <cell r="A1109" t="str">
            <v>A-328</v>
          </cell>
          <cell r="B1109" t="str">
            <v>AGRI EQUAL TEE 90 (2.5 Kg</v>
          </cell>
          <cell r="C1109" t="str">
            <v>AGRI FITTING</v>
          </cell>
          <cell r="D1109">
            <v>177</v>
          </cell>
        </row>
        <row r="1110">
          <cell r="A1110" t="str">
            <v>A-229</v>
          </cell>
          <cell r="B1110" t="str">
            <v>coupler- 2.5 KG, 110MM AGRI</v>
          </cell>
          <cell r="C1110" t="str">
            <v>AGRI FITTING</v>
          </cell>
          <cell r="D1110">
            <v>122</v>
          </cell>
        </row>
        <row r="1111">
          <cell r="A1111" t="str">
            <v>A-327</v>
          </cell>
          <cell r="B1111" t="str">
            <v>EQUAL TEE 2.5 KG, 75MM AGRI</v>
          </cell>
          <cell r="C1111" t="str">
            <v>AGRI FITTING</v>
          </cell>
          <cell r="D1111">
            <v>110</v>
          </cell>
        </row>
        <row r="1112">
          <cell r="A1112" t="str">
            <v>A-227</v>
          </cell>
          <cell r="B1112" t="str">
            <v>COUPLER 2.5 KG, 75MM AGRI</v>
          </cell>
          <cell r="C1112" t="str">
            <v>AGRI FITTING</v>
          </cell>
          <cell r="D1112">
            <v>47</v>
          </cell>
        </row>
        <row r="1113">
          <cell r="A1113" t="str">
            <v>A-427</v>
          </cell>
          <cell r="B1113" t="str">
            <v>AGRI EQUAL ELBOW 75 (2.5 Kg</v>
          </cell>
          <cell r="C1113" t="str">
            <v>AGRI FITTING</v>
          </cell>
          <cell r="D1113">
            <v>83</v>
          </cell>
        </row>
        <row r="1114">
          <cell r="A1114" t="str">
            <v>A-702</v>
          </cell>
          <cell r="B1114" t="str">
            <v>BUSH 4KG, 50X40MM, AGRI</v>
          </cell>
          <cell r="C1114" t="str">
            <v>AGRI FITTING</v>
          </cell>
          <cell r="D1114">
            <v>34</v>
          </cell>
        </row>
        <row r="1115">
          <cell r="A1115" t="str">
            <v>A-704</v>
          </cell>
          <cell r="B1115" t="str">
            <v>BUSH 4KG, 75X110MM, AGRI</v>
          </cell>
          <cell r="C1115" t="str">
            <v>AGRI FITTING</v>
          </cell>
          <cell r="D1115">
            <v>233</v>
          </cell>
        </row>
        <row r="1116">
          <cell r="A1116" t="str">
            <v>A-703</v>
          </cell>
          <cell r="B1116" t="str">
            <v>BUSH 4KG, 75X50MM, AGRI</v>
          </cell>
          <cell r="C1116" t="str">
            <v>AGRI FITTING</v>
          </cell>
          <cell r="D1116">
            <v>74</v>
          </cell>
        </row>
        <row r="1117">
          <cell r="A1117" t="str">
            <v>A-329</v>
          </cell>
          <cell r="B1117" t="str">
            <v>EQUAL TEE 2.5 KG, 110MM AGRI</v>
          </cell>
          <cell r="C1117" t="str">
            <v>AGRI FITTING</v>
          </cell>
          <cell r="D1117">
            <v>289</v>
          </cell>
        </row>
        <row r="1118">
          <cell r="A1118" t="str">
            <v>CH88</v>
          </cell>
          <cell r="B1118" t="str">
            <v>25MM CANCELLED VALVE QUARTER TURN.WITH URBONA HANDLE</v>
          </cell>
          <cell r="C1118" t="str">
            <v>CPVC FITTING</v>
          </cell>
        </row>
        <row r="1119">
          <cell r="A1119" t="str">
            <v>CH86</v>
          </cell>
          <cell r="B1119" t="str">
            <v>25MM CANCELLED VALVE QUARTER TURN.WITH MACASA HANDLE</v>
          </cell>
          <cell r="C1119" t="str">
            <v>CPVC FITTING</v>
          </cell>
        </row>
        <row r="1120">
          <cell r="A1120" t="str">
            <v>A-429</v>
          </cell>
          <cell r="B1120" t="str">
            <v>AGRI EQUAL ELBOW 110 (2.5 Kg</v>
          </cell>
          <cell r="C1120" t="str">
            <v>AGRI FITTING</v>
          </cell>
          <cell r="D1120">
            <v>211</v>
          </cell>
        </row>
        <row r="1121">
          <cell r="A1121" t="str">
            <v>CH84</v>
          </cell>
          <cell r="B1121" t="str">
            <v>25MM CANCELLED VALVE QUARTER TURN.WITH GREACIA HANDLE</v>
          </cell>
          <cell r="C1121" t="str">
            <v>CPVC FITTING</v>
          </cell>
        </row>
        <row r="1122">
          <cell r="A1122" t="str">
            <v>CH82</v>
          </cell>
          <cell r="B1122" t="str">
            <v>25MM CANCELLED VALVE QUARTER TURN.WITH TRIANGLE HANDLE</v>
          </cell>
          <cell r="C1122" t="str">
            <v>CPVC FITTING</v>
          </cell>
        </row>
        <row r="1123">
          <cell r="A1123" t="str">
            <v>AS-329</v>
          </cell>
          <cell r="B1123" t="str">
            <v>AGRI EQUAL TEE 110</v>
          </cell>
          <cell r="C1123" t="str">
            <v>AGRI FITTING</v>
          </cell>
          <cell r="D1123">
            <v>289</v>
          </cell>
        </row>
        <row r="1124">
          <cell r="A1124" t="str">
            <v>AS-429</v>
          </cell>
          <cell r="B1124" t="str">
            <v>AGRI EQUAL ELBOW 110</v>
          </cell>
          <cell r="C1124" t="str">
            <v>AGRI FITTING</v>
          </cell>
          <cell r="D1124">
            <v>211</v>
          </cell>
        </row>
        <row r="1125">
          <cell r="A1125" t="str">
            <v>AS-328</v>
          </cell>
          <cell r="B1125" t="str">
            <v>AGRI EQUAL TEE 90</v>
          </cell>
          <cell r="C1125" t="str">
            <v>AGRI FITTING</v>
          </cell>
          <cell r="D1125">
            <v>177</v>
          </cell>
        </row>
        <row r="1126">
          <cell r="A1126" t="str">
            <v>AS-428</v>
          </cell>
          <cell r="B1126" t="str">
            <v xml:space="preserve">AGRI EQUAL ELBOW 90 </v>
          </cell>
          <cell r="C1126" t="str">
            <v>AGRI FITTING</v>
          </cell>
          <cell r="D1126">
            <v>130</v>
          </cell>
        </row>
        <row r="1127">
          <cell r="A1127" t="str">
            <v>AS-229</v>
          </cell>
          <cell r="B1127" t="str">
            <v>AGRI COUPLER PN-7110</v>
          </cell>
          <cell r="C1127" t="str">
            <v>AGRI FITTING</v>
          </cell>
          <cell r="D1127">
            <v>289</v>
          </cell>
        </row>
        <row r="1128">
          <cell r="A1128" t="str">
            <v>AS-327</v>
          </cell>
          <cell r="B1128" t="str">
            <v>AGRI EQUAL TEE 75</v>
          </cell>
          <cell r="C1128" t="str">
            <v>AGRI FITTING</v>
          </cell>
          <cell r="D1128">
            <v>110</v>
          </cell>
        </row>
        <row r="1129">
          <cell r="A1129">
            <v>5792</v>
          </cell>
          <cell r="B1129" t="str">
            <v>MULTIFLOOR TRAPE 110X75X50 MM</v>
          </cell>
          <cell r="C1129" t="str">
            <v>SWR FITTING</v>
          </cell>
          <cell r="D1129">
            <v>473</v>
          </cell>
        </row>
        <row r="1130">
          <cell r="A1130" t="str">
            <v>PW80</v>
          </cell>
          <cell r="B1130" t="str">
            <v>SWR PIPE S/S  75 MM (4 FEET-A)</v>
          </cell>
          <cell r="C1130" t="str">
            <v>SWR FITTING</v>
          </cell>
          <cell r="D1130">
            <v>1.1200000000000001</v>
          </cell>
        </row>
        <row r="1131">
          <cell r="A1131" t="str">
            <v>PW20</v>
          </cell>
          <cell r="B1131" t="str">
            <v>SWR PIPE S/S  110 MM (4 FEET-A)</v>
          </cell>
          <cell r="C1131" t="str">
            <v>SWR FITTING</v>
          </cell>
          <cell r="D1131">
            <v>1.52</v>
          </cell>
        </row>
        <row r="1132">
          <cell r="A1132" t="str">
            <v>AS-227</v>
          </cell>
          <cell r="B1132" t="str">
            <v>AGRI COUPLER PN-575</v>
          </cell>
          <cell r="C1132" t="str">
            <v>AGRI FITTING</v>
          </cell>
          <cell r="D1132">
            <v>47</v>
          </cell>
        </row>
        <row r="1133">
          <cell r="A1133" t="str">
            <v>C324</v>
          </cell>
          <cell r="B1133" t="str">
            <v>BRASS TEA 25X25X25</v>
          </cell>
          <cell r="C1133" t="str">
            <v>CPVC FITTING</v>
          </cell>
          <cell r="D1133">
            <v>63</v>
          </cell>
        </row>
        <row r="1134">
          <cell r="A1134" t="str">
            <v>AS-427</v>
          </cell>
          <cell r="B1134" t="str">
            <v xml:space="preserve">AGRI EQUAL ELBOW 75 </v>
          </cell>
          <cell r="C1134" t="str">
            <v>AGRI FITTING</v>
          </cell>
          <cell r="D1134">
            <v>83</v>
          </cell>
        </row>
        <row r="1135">
          <cell r="A1135" t="str">
            <v>AS-228</v>
          </cell>
          <cell r="B1135" t="str">
            <v>AGRI COUPLER PN-690</v>
          </cell>
          <cell r="C1135" t="str">
            <v>AGRI FITTING</v>
          </cell>
          <cell r="D1135">
            <v>70</v>
          </cell>
        </row>
        <row r="1136">
          <cell r="A1136" t="str">
            <v>A 54A</v>
          </cell>
          <cell r="B1136" t="str">
            <v>200MM 6 Kg AGRI PIPE  (6 Mtr.)</v>
          </cell>
          <cell r="C1136" t="str">
            <v>AGRI PIPE</v>
          </cell>
          <cell r="D1136">
            <v>19.809000000000001</v>
          </cell>
        </row>
        <row r="1137">
          <cell r="A1137" t="str">
            <v>C69N</v>
          </cell>
          <cell r="B1137" t="str">
            <v>6" TEE</v>
          </cell>
          <cell r="C1137" t="str">
            <v>CPVC FITTING</v>
          </cell>
          <cell r="D1137">
            <v>1723</v>
          </cell>
        </row>
        <row r="1138">
          <cell r="A1138" t="str">
            <v>CH89</v>
          </cell>
          <cell r="B1138" t="str">
            <v>25MM CANCELLED VALVE QUARTER TURN.WITH SPA HANDLE</v>
          </cell>
          <cell r="C1138" t="str">
            <v>CPVC FITTING</v>
          </cell>
        </row>
        <row r="1139">
          <cell r="A1139" t="str">
            <v>CHA-72F2</v>
          </cell>
          <cell r="B1139" t="str">
            <v>20 MM CONCEALED ACCESSORIES(HANDLE +SLEEVE+FLANGE)</v>
          </cell>
          <cell r="D1139">
            <v>180</v>
          </cell>
        </row>
        <row r="1140">
          <cell r="A1140" t="str">
            <v>A 8B</v>
          </cell>
          <cell r="B1140" t="str">
            <v>90MM 2.5 Kg AGRI PIPE  (5 Mtr.)</v>
          </cell>
          <cell r="C1140" t="str">
            <v>AGRI PIPE</v>
          </cell>
          <cell r="D1140">
            <v>2.9660000000000002</v>
          </cell>
        </row>
        <row r="1141">
          <cell r="A1141" t="str">
            <v>A 9B</v>
          </cell>
          <cell r="B1141" t="str">
            <v>110MM 2.5 Kg AGRI PIPE  (5 Mtr.)</v>
          </cell>
          <cell r="C1141" t="str">
            <v>AGRI PIPE</v>
          </cell>
          <cell r="D1141">
            <v>4.3899999999999997</v>
          </cell>
        </row>
        <row r="1142">
          <cell r="A1142" t="str">
            <v>A 31B</v>
          </cell>
          <cell r="B1142" t="str">
            <v>PIPE 5 MTRS LENGTH 4 KG 140MM</v>
          </cell>
          <cell r="C1142" t="str">
            <v>AGRI PIPE</v>
          </cell>
        </row>
        <row r="1143">
          <cell r="A1143">
            <v>5105</v>
          </cell>
          <cell r="B1143" t="str">
            <v>160MM YELLOW SEAL O RING</v>
          </cell>
          <cell r="C1143" t="str">
            <v>SWR FITTING</v>
          </cell>
          <cell r="D1143">
            <v>47</v>
          </cell>
        </row>
        <row r="1144">
          <cell r="A1144">
            <v>5103</v>
          </cell>
          <cell r="B1144" t="str">
            <v>90MM YELLOW SEAL O RING</v>
          </cell>
          <cell r="D1144">
            <v>10</v>
          </cell>
        </row>
        <row r="1145">
          <cell r="A1145" t="str">
            <v>A 50A</v>
          </cell>
          <cell r="B1145" t="str">
            <v>125MM 6 Kg AGRI PIPE  (3 Mtr.)</v>
          </cell>
          <cell r="C1145" t="str">
            <v>AGRI PIPE</v>
          </cell>
          <cell r="D1145">
            <v>8.0500000000000007</v>
          </cell>
        </row>
        <row r="1146">
          <cell r="A1146" t="str">
            <v>PU-4TB</v>
          </cell>
          <cell r="B1146" t="str">
            <v>THREADED PIPE SCH 80 32 MM</v>
          </cell>
          <cell r="C1146" t="str">
            <v>UPVC PIPE</v>
          </cell>
          <cell r="D1146">
            <v>2.25</v>
          </cell>
        </row>
        <row r="1147">
          <cell r="A1147" t="str">
            <v>AS-449</v>
          </cell>
          <cell r="B1147" t="str">
            <v>AGRI ELBOW 90⁰ 110</v>
          </cell>
          <cell r="C1147" t="str">
            <v>AGRI FITTING</v>
          </cell>
          <cell r="D1147">
            <v>463</v>
          </cell>
        </row>
        <row r="1148">
          <cell r="A1148" t="str">
            <v>AS-446</v>
          </cell>
          <cell r="B1148" t="str">
            <v>AGRI ELBOW 90⁰ 63</v>
          </cell>
          <cell r="C1148" t="str">
            <v>AGRI FITTING</v>
          </cell>
          <cell r="D1148">
            <v>128.5</v>
          </cell>
        </row>
        <row r="1149">
          <cell r="A1149" t="str">
            <v>AS-448</v>
          </cell>
          <cell r="B1149" t="str">
            <v>AGRI ELBOW 90⁰ 90</v>
          </cell>
          <cell r="C1149" t="str">
            <v>AGRI FITTING</v>
          </cell>
          <cell r="D1149">
            <v>286</v>
          </cell>
        </row>
        <row r="1150">
          <cell r="A1150" t="str">
            <v>AS-447</v>
          </cell>
          <cell r="B1150" t="str">
            <v>AGRI ELBOW 90⁰ 75</v>
          </cell>
          <cell r="C1150" t="str">
            <v>AGRI FITTING</v>
          </cell>
          <cell r="D1150">
            <v>192</v>
          </cell>
        </row>
        <row r="1151">
          <cell r="A1151" t="str">
            <v>AS-346</v>
          </cell>
          <cell r="B1151" t="str">
            <v>AGRI EQUAL TEE 63</v>
          </cell>
          <cell r="C1151" t="str">
            <v>AGRI FITTING</v>
          </cell>
          <cell r="D1151">
            <v>181</v>
          </cell>
        </row>
        <row r="1152">
          <cell r="A1152" t="str">
            <v>AS-349</v>
          </cell>
          <cell r="B1152" t="str">
            <v>AGRI EQUAL TEE 110</v>
          </cell>
          <cell r="C1152" t="str">
            <v>AGRI FITTING</v>
          </cell>
          <cell r="D1152">
            <v>623.5</v>
          </cell>
        </row>
        <row r="1153">
          <cell r="A1153" t="str">
            <v>AS-347</v>
          </cell>
          <cell r="B1153" t="str">
            <v>AGRI EQUAL TEE 110</v>
          </cell>
          <cell r="C1153" t="str">
            <v>AGRI FITTING</v>
          </cell>
          <cell r="D1153">
            <v>267.39999999999998</v>
          </cell>
        </row>
        <row r="1154">
          <cell r="A1154" t="str">
            <v>AS-249</v>
          </cell>
          <cell r="B1154" t="str">
            <v>110MM COUPLER4 KG/CM2</v>
          </cell>
          <cell r="C1154" t="str">
            <v>AGRI FITTING</v>
          </cell>
          <cell r="D1154">
            <v>242</v>
          </cell>
        </row>
        <row r="1155">
          <cell r="A1155" t="str">
            <v>PU-5TB</v>
          </cell>
          <cell r="B1155" t="str">
            <v>THREADED PIPE SCH 80 40 MM</v>
          </cell>
          <cell r="C1155" t="str">
            <v>UPVC PIPE</v>
          </cell>
          <cell r="D1155">
            <v>3.45</v>
          </cell>
        </row>
        <row r="1156">
          <cell r="A1156" t="str">
            <v>CH88F</v>
          </cell>
          <cell r="B1156" t="str">
            <v>25 MM FULL TURN CONCEALED VALVE URBONA</v>
          </cell>
          <cell r="C1156" t="str">
            <v>CPVC FITTING</v>
          </cell>
          <cell r="D1156">
            <v>0</v>
          </cell>
        </row>
        <row r="1157">
          <cell r="A1157" t="str">
            <v>CH90F</v>
          </cell>
          <cell r="B1157" t="str">
            <v>25 MM FULL TURN CONCEALED VALVE VIVA</v>
          </cell>
          <cell r="C1157" t="str">
            <v>CPVC FITTING</v>
          </cell>
          <cell r="D1157">
            <v>0</v>
          </cell>
        </row>
        <row r="1158">
          <cell r="A1158" t="str">
            <v>AS-348</v>
          </cell>
          <cell r="B1158" t="str">
            <v xml:space="preserve">AGRI EQUAL TEE 90 </v>
          </cell>
          <cell r="C1158" t="str">
            <v>AGRI FG</v>
          </cell>
          <cell r="D1158">
            <v>397</v>
          </cell>
        </row>
        <row r="1159">
          <cell r="A1159" t="str">
            <v>C230L</v>
          </cell>
          <cell r="B1159" t="str">
            <v>1/2" CPVC EXPANSION LOOP</v>
          </cell>
          <cell r="C1159" t="str">
            <v>CPVC FG</v>
          </cell>
          <cell r="D1159">
            <v>0</v>
          </cell>
        </row>
        <row r="1160">
          <cell r="A1160" t="str">
            <v>MHC-10</v>
          </cell>
          <cell r="B1160" t="str">
            <v>MANHOLE COVER 770 X 770</v>
          </cell>
          <cell r="C1160" t="str">
            <v xml:space="preserve">TRADING </v>
          </cell>
          <cell r="D1160">
            <v>31</v>
          </cell>
        </row>
        <row r="1161">
          <cell r="A1161" t="str">
            <v>MHC-09</v>
          </cell>
          <cell r="B1161" t="str">
            <v>MANHOLE COVER 720 X 720</v>
          </cell>
          <cell r="C1161" t="str">
            <v xml:space="preserve">TRADING </v>
          </cell>
          <cell r="D1161">
            <v>25</v>
          </cell>
        </row>
        <row r="1162">
          <cell r="A1162" t="str">
            <v>MHC-08</v>
          </cell>
          <cell r="B1162" t="str">
            <v>MANHOLE COVER 600 X 600</v>
          </cell>
          <cell r="C1162" t="str">
            <v xml:space="preserve">TRADING </v>
          </cell>
          <cell r="D1162">
            <v>14.6</v>
          </cell>
        </row>
        <row r="1163">
          <cell r="A1163" t="str">
            <v>MHC-07</v>
          </cell>
          <cell r="B1163" t="str">
            <v>MANHOLE COVER 535 X 535</v>
          </cell>
          <cell r="C1163" t="str">
            <v xml:space="preserve">TRADING </v>
          </cell>
          <cell r="D1163">
            <v>10.6</v>
          </cell>
        </row>
        <row r="1164">
          <cell r="A1164" t="str">
            <v>MHC-06</v>
          </cell>
          <cell r="B1164" t="str">
            <v>MANHOLE COVER 450 X 600</v>
          </cell>
          <cell r="C1164" t="str">
            <v xml:space="preserve">TRADING </v>
          </cell>
          <cell r="D1164">
            <v>10.7</v>
          </cell>
        </row>
        <row r="1165">
          <cell r="A1165" t="str">
            <v>MHC-05</v>
          </cell>
          <cell r="B1165" t="str">
            <v>MANHOLE COVER 450 X 450</v>
          </cell>
          <cell r="C1165" t="str">
            <v xml:space="preserve">TRADING </v>
          </cell>
          <cell r="D1165">
            <v>7.5</v>
          </cell>
        </row>
        <row r="1166">
          <cell r="A1166" t="str">
            <v>MHC-04</v>
          </cell>
          <cell r="B1166" t="str">
            <v>MANHOLE COVER 300 X 450</v>
          </cell>
          <cell r="C1166" t="str">
            <v xml:space="preserve">TRADING </v>
          </cell>
          <cell r="D1166">
            <v>4.75</v>
          </cell>
        </row>
        <row r="1167">
          <cell r="A1167" t="str">
            <v>MHC-03</v>
          </cell>
          <cell r="B1167" t="str">
            <v>MANHOLE COVER 380 X 380</v>
          </cell>
          <cell r="C1167" t="str">
            <v xml:space="preserve">TRADING </v>
          </cell>
          <cell r="D1167">
            <v>4.8</v>
          </cell>
        </row>
        <row r="1168">
          <cell r="A1168" t="str">
            <v>MHC-02</v>
          </cell>
          <cell r="B1168" t="str">
            <v>MANHOLE COVER 300 X 300</v>
          </cell>
          <cell r="C1168" t="str">
            <v xml:space="preserve">TRADING </v>
          </cell>
          <cell r="D1168">
            <v>3.6</v>
          </cell>
        </row>
        <row r="1169">
          <cell r="A1169" t="str">
            <v>MHC-01</v>
          </cell>
          <cell r="B1169" t="str">
            <v>MANHOLE COVER 250 X 250</v>
          </cell>
          <cell r="C1169" t="str">
            <v xml:space="preserve">TRADING </v>
          </cell>
          <cell r="D1169">
            <v>2.1</v>
          </cell>
        </row>
        <row r="1170">
          <cell r="A1170" t="str">
            <v>AS-248</v>
          </cell>
          <cell r="B1170" t="str">
            <v>90MM COUPLER4 KG/CM2</v>
          </cell>
          <cell r="C1170" t="str">
            <v>AGRI FITTING</v>
          </cell>
          <cell r="D1170">
            <v>190</v>
          </cell>
        </row>
        <row r="1171">
          <cell r="A1171" t="str">
            <v>PB125</v>
          </cell>
          <cell r="B1171" t="str">
            <v>COLUMN PIPE 25 MM 10 KG/CM2</v>
          </cell>
          <cell r="C1171" t="str">
            <v>Colum Pipe</v>
          </cell>
          <cell r="D1171">
            <v>1</v>
          </cell>
        </row>
        <row r="1172">
          <cell r="A1172" t="str">
            <v>PB225</v>
          </cell>
          <cell r="B1172" t="str">
            <v>COLUMN PIPE 25 MM 12.5 KG/CM2</v>
          </cell>
          <cell r="C1172" t="str">
            <v>Colum Pipe</v>
          </cell>
          <cell r="D1172">
            <v>1.0900000000000001</v>
          </cell>
        </row>
        <row r="1173">
          <cell r="A1173" t="str">
            <v>PB325</v>
          </cell>
          <cell r="B1173" t="str">
            <v>COLUMN PIPE 25 MM 15 KG/CM2</v>
          </cell>
          <cell r="C1173" t="str">
            <v>Colum Pipe</v>
          </cell>
          <cell r="D1173">
            <v>1.17</v>
          </cell>
        </row>
        <row r="1174">
          <cell r="A1174" t="str">
            <v>PB132</v>
          </cell>
          <cell r="B1174" t="str">
            <v>COLUMN PIPE 32 MM 10 KG/CM3</v>
          </cell>
          <cell r="C1174" t="str">
            <v>Colum Pipe</v>
          </cell>
          <cell r="D1174">
            <v>1.32</v>
          </cell>
        </row>
        <row r="1175">
          <cell r="A1175" t="str">
            <v>PB232</v>
          </cell>
          <cell r="B1175" t="str">
            <v>COLUMN PIPE 32 MM 12.5 KG/CM3</v>
          </cell>
          <cell r="C1175" t="str">
            <v>Colum Pipe</v>
          </cell>
          <cell r="D1175">
            <v>1.49</v>
          </cell>
        </row>
        <row r="1176">
          <cell r="A1176" t="str">
            <v>PB332</v>
          </cell>
          <cell r="B1176" t="str">
            <v>COLUMN PIPE 32 MM 15 KG/CM3</v>
          </cell>
          <cell r="C1176" t="str">
            <v>Colum Pipe</v>
          </cell>
          <cell r="D1176">
            <v>1.7</v>
          </cell>
        </row>
        <row r="1177">
          <cell r="A1177" t="str">
            <v>PB432</v>
          </cell>
          <cell r="B1177" t="str">
            <v>COLUMN PIPE 40 MM 10 KG/CM4</v>
          </cell>
          <cell r="C1177" t="str">
            <v>Colum Pipe</v>
          </cell>
          <cell r="D1177">
            <v>2.06</v>
          </cell>
        </row>
        <row r="1178">
          <cell r="A1178" t="str">
            <v>PB240</v>
          </cell>
          <cell r="B1178" t="str">
            <v>COLUMN PIPE 40 MM 12.5 KG/CM4</v>
          </cell>
          <cell r="C1178" t="str">
            <v>Colum Pipe</v>
          </cell>
          <cell r="D1178">
            <v>1.8940000000000001</v>
          </cell>
        </row>
        <row r="1179">
          <cell r="A1179" t="str">
            <v>PB340</v>
          </cell>
          <cell r="B1179" t="str">
            <v>COLUMN PIPE 40 MM 15 KG/CM4</v>
          </cell>
          <cell r="C1179" t="str">
            <v>Colum Pipe</v>
          </cell>
          <cell r="D1179">
            <v>2.214</v>
          </cell>
        </row>
        <row r="1180">
          <cell r="A1180" t="str">
            <v>PB440</v>
          </cell>
          <cell r="B1180" t="str">
            <v>COLUMN PIPE 40 MM 20 KG/CM4</v>
          </cell>
          <cell r="C1180" t="str">
            <v>Colum Pipe</v>
          </cell>
          <cell r="D1180">
            <v>2.6639999999999997</v>
          </cell>
        </row>
        <row r="1181">
          <cell r="A1181" t="str">
            <v>PB350</v>
          </cell>
          <cell r="B1181" t="str">
            <v>COLUMN PIPE 50 MM 15 KG/CM5</v>
          </cell>
          <cell r="C1181" t="str">
            <v>Colum Pipe</v>
          </cell>
          <cell r="D1181">
            <v>3.5630000000000002</v>
          </cell>
        </row>
        <row r="1182">
          <cell r="A1182" t="str">
            <v>PB450</v>
          </cell>
          <cell r="B1182" t="str">
            <v>COLUMN PIPE 50 MM 20 KG/CM5</v>
          </cell>
          <cell r="C1182" t="str">
            <v>Colum Pipe</v>
          </cell>
          <cell r="D1182">
            <v>4.3029999999999999</v>
          </cell>
        </row>
        <row r="1183">
          <cell r="A1183" t="str">
            <v>PB550</v>
          </cell>
          <cell r="B1183" t="str">
            <v>COLUMN PIPE 50 MM 25 KG/CM5</v>
          </cell>
          <cell r="C1183" t="str">
            <v>Colum Pipe</v>
          </cell>
          <cell r="D1183">
            <v>5.133</v>
          </cell>
        </row>
        <row r="1184">
          <cell r="A1184" t="str">
            <v>PB365</v>
          </cell>
          <cell r="B1184" t="str">
            <v>COLUMN PIPE 65 MM 15 KG/CM6</v>
          </cell>
          <cell r="C1184" t="str">
            <v>Colum Pipe</v>
          </cell>
          <cell r="D1184">
            <v>5.2329999999999997</v>
          </cell>
        </row>
        <row r="1185">
          <cell r="A1185" t="str">
            <v>PB465</v>
          </cell>
          <cell r="B1185" t="str">
            <v>COLUMN PIPE 65 MM 20 KG/CM6</v>
          </cell>
          <cell r="C1185" t="str">
            <v>Colum Pipe</v>
          </cell>
          <cell r="D1185">
            <v>6.423</v>
          </cell>
        </row>
        <row r="1186">
          <cell r="A1186" t="str">
            <v>PB565</v>
          </cell>
          <cell r="B1186" t="str">
            <v>COLUMN PIPE 65 MM 25 KG/CM6</v>
          </cell>
          <cell r="C1186" t="str">
            <v>Colum Pipe</v>
          </cell>
          <cell r="D1186">
            <v>7.5629999999999997</v>
          </cell>
        </row>
        <row r="1187">
          <cell r="A1187" t="str">
            <v>PB380</v>
          </cell>
          <cell r="B1187" t="str">
            <v>COLUMN PIPE 80 MM 15 KG/CM8</v>
          </cell>
          <cell r="C1187" t="str">
            <v>Colum Pipe</v>
          </cell>
          <cell r="D1187">
            <v>7.0430000000000001</v>
          </cell>
        </row>
        <row r="1188">
          <cell r="A1188" t="str">
            <v>PB480</v>
          </cell>
          <cell r="B1188" t="str">
            <v>COLUMN PIPE 80 MM 20 KG/CM8</v>
          </cell>
          <cell r="C1188" t="str">
            <v>Colum Pipe</v>
          </cell>
          <cell r="D1188">
            <v>8.7530000000000001</v>
          </cell>
        </row>
        <row r="1189">
          <cell r="A1189" t="str">
            <v>PB580</v>
          </cell>
          <cell r="B1189" t="str">
            <v>COLUMN PIPE 80 MM 25 KG/CM8</v>
          </cell>
          <cell r="C1189" t="str">
            <v>Colum Pipe</v>
          </cell>
          <cell r="D1189">
            <v>10.343</v>
          </cell>
        </row>
        <row r="1190">
          <cell r="A1190" t="str">
            <v>PB3100</v>
          </cell>
          <cell r="B1190" t="str">
            <v>COLUMN PIPE 100 MM 15 KG/CM1</v>
          </cell>
          <cell r="C1190" t="str">
            <v>Colum Pipe</v>
          </cell>
          <cell r="D1190">
            <v>11.47</v>
          </cell>
        </row>
        <row r="1191">
          <cell r="A1191" t="str">
            <v>PB4100</v>
          </cell>
          <cell r="B1191" t="str">
            <v>COLUMN PIPE 100 MM 20 KG/CM1</v>
          </cell>
          <cell r="C1191" t="str">
            <v>Colum Pipe</v>
          </cell>
          <cell r="D1191">
            <v>14.120000000000001</v>
          </cell>
        </row>
        <row r="1192">
          <cell r="A1192" t="str">
            <v>PB5100</v>
          </cell>
          <cell r="B1192" t="str">
            <v>COLUMN PIPE 100 MM 25 KG/CM1</v>
          </cell>
          <cell r="C1192" t="str">
            <v>Colum Pipe</v>
          </cell>
          <cell r="D1192">
            <v>16.809999999999999</v>
          </cell>
        </row>
        <row r="1193">
          <cell r="A1193">
            <v>5793</v>
          </cell>
          <cell r="B1193" t="str">
            <v>MULTIFLOOR TRAPE 110X75X50 MM WITH COVER</v>
          </cell>
          <cell r="C1193" t="str">
            <v>SWR FITTING</v>
          </cell>
          <cell r="D1193">
            <v>269.7</v>
          </cell>
        </row>
        <row r="1194">
          <cell r="A1194" t="str">
            <v>PN28C</v>
          </cell>
          <cell r="B1194" t="str">
            <v>90MM AGRI PIPE NON ISI PN4</v>
          </cell>
          <cell r="C1194" t="str">
            <v>AGRI PIPE</v>
          </cell>
          <cell r="D1194">
            <v>5.2</v>
          </cell>
        </row>
        <row r="1195">
          <cell r="A1195" t="str">
            <v>PN48C</v>
          </cell>
          <cell r="B1195" t="str">
            <v>90MM AGRI PIPE NON ISI PN6</v>
          </cell>
          <cell r="C1195" t="str">
            <v>AGRI PIPE</v>
          </cell>
          <cell r="D1195">
            <v>7.05</v>
          </cell>
        </row>
        <row r="1196">
          <cell r="A1196" t="str">
            <v>PN29C</v>
          </cell>
          <cell r="B1196" t="str">
            <v>110MM AGRI PIPE NON ISI PN4</v>
          </cell>
          <cell r="C1196" t="str">
            <v>AGRI PIPE</v>
          </cell>
          <cell r="D1196">
            <v>7.3</v>
          </cell>
        </row>
        <row r="1197">
          <cell r="A1197" t="str">
            <v>PN49C</v>
          </cell>
          <cell r="B1197" t="str">
            <v>110MM AGRI PIPE NON ISI PN6</v>
          </cell>
          <cell r="C1197" t="str">
            <v>AGRI PIPE</v>
          </cell>
          <cell r="D1197">
            <v>10.1</v>
          </cell>
        </row>
        <row r="1198">
          <cell r="A1198" t="str">
            <v>PN32C</v>
          </cell>
          <cell r="B1198" t="str">
            <v>160MM AGRI PIPE NON ISI PN4</v>
          </cell>
          <cell r="C1198" t="str">
            <v>AGRI PIPE</v>
          </cell>
        </row>
        <row r="1199">
          <cell r="A1199" t="str">
            <v>PN89C</v>
          </cell>
          <cell r="B1199" t="str">
            <v>90MM AGRI PIPE NON ISI PN10</v>
          </cell>
          <cell r="C1199" t="str">
            <v>AGRI PIPE</v>
          </cell>
        </row>
        <row r="1200">
          <cell r="A1200" t="str">
            <v>CH86F</v>
          </cell>
          <cell r="B1200" t="str">
            <v>25 MM FULL TURN CONCEALED VALVE MACASA</v>
          </cell>
          <cell r="C1200" t="str">
            <v>CPVC FITTING</v>
          </cell>
          <cell r="D1200">
            <v>0</v>
          </cell>
        </row>
        <row r="1201">
          <cell r="A1201" t="str">
            <v>PB125B</v>
          </cell>
          <cell r="B1201" t="str">
            <v>COLUMN BILLING PIPE 25 MM 10 KG/CM2</v>
          </cell>
          <cell r="C1201" t="str">
            <v>Colum Pipe</v>
          </cell>
          <cell r="D1201">
            <v>1</v>
          </cell>
        </row>
        <row r="1202">
          <cell r="A1202" t="str">
            <v>PB225B</v>
          </cell>
          <cell r="B1202" t="str">
            <v>COLUMN BILLING PIPE 25 MM 12.5 KG/CM2</v>
          </cell>
          <cell r="C1202" t="str">
            <v>Colum Pipe</v>
          </cell>
          <cell r="D1202">
            <v>1.0900000000000001</v>
          </cell>
        </row>
        <row r="1203">
          <cell r="A1203" t="str">
            <v>PB132B</v>
          </cell>
          <cell r="B1203" t="str">
            <v>COLUMN BILLING PIPE 32 MM 10 KG/CM3</v>
          </cell>
          <cell r="C1203" t="str">
            <v>Colum Pipe</v>
          </cell>
          <cell r="D1203">
            <v>1.32</v>
          </cell>
        </row>
        <row r="1204">
          <cell r="A1204" t="str">
            <v>PB232B</v>
          </cell>
          <cell r="B1204" t="str">
            <v>COLUMN BILLING PIPE 32 MM 12.5 KG/CM3</v>
          </cell>
          <cell r="C1204" t="str">
            <v>Colum Pipe</v>
          </cell>
          <cell r="D1204">
            <v>1.49</v>
          </cell>
        </row>
        <row r="1205">
          <cell r="A1205" t="str">
            <v>AS-442</v>
          </cell>
          <cell r="B1205" t="str">
            <v>AGRI ELBOW 90? 160</v>
          </cell>
          <cell r="C1205" t="str">
            <v>AGRI FG</v>
          </cell>
          <cell r="D1205">
            <v>1275</v>
          </cell>
        </row>
        <row r="1206">
          <cell r="A1206" t="str">
            <v>AS-246</v>
          </cell>
          <cell r="B1206" t="str">
            <v>AGRI COUPLER PN-6 63</v>
          </cell>
          <cell r="C1206" t="str">
            <v>AGRI FG</v>
          </cell>
          <cell r="D1206">
            <v>74</v>
          </cell>
        </row>
        <row r="1207">
          <cell r="A1207" t="str">
            <v>AS-549</v>
          </cell>
          <cell r="B1207" t="str">
            <v>AGRI END CAP 110</v>
          </cell>
          <cell r="C1207" t="str">
            <v>AGRI FG</v>
          </cell>
          <cell r="D1207">
            <v>74</v>
          </cell>
        </row>
        <row r="1208">
          <cell r="A1208" t="str">
            <v>AS-242</v>
          </cell>
          <cell r="B1208" t="str">
            <v>AGRI COUPLER PN-10160</v>
          </cell>
          <cell r="C1208" t="str">
            <v>AGRI FG</v>
          </cell>
          <cell r="D1208">
            <v>579.4</v>
          </cell>
        </row>
        <row r="1209">
          <cell r="A1209" t="str">
            <v>PN52C</v>
          </cell>
          <cell r="B1209" t="str">
            <v>160MM AGRI PIPE NON ISI PN6</v>
          </cell>
          <cell r="C1209" t="str">
            <v>AGRI FG</v>
          </cell>
          <cell r="D1209">
            <v>20.2</v>
          </cell>
        </row>
        <row r="1210">
          <cell r="A1210" t="str">
            <v>AS-443</v>
          </cell>
          <cell r="B1210" t="str">
            <v>AGRI ELBOW 90? 200</v>
          </cell>
          <cell r="C1210" t="str">
            <v>AGRI FITTING</v>
          </cell>
          <cell r="D1210">
            <v>1831</v>
          </cell>
        </row>
        <row r="1211">
          <cell r="A1211">
            <v>5706</v>
          </cell>
          <cell r="B1211" t="str">
            <v>75MM SOCKET PLUG</v>
          </cell>
          <cell r="C1211" t="str">
            <v>SWR FG</v>
          </cell>
          <cell r="D1211">
            <v>32</v>
          </cell>
        </row>
        <row r="1212">
          <cell r="A1212">
            <v>5106</v>
          </cell>
          <cell r="B1212" t="str">
            <v>110MM SOCKET PLUG</v>
          </cell>
          <cell r="C1212" t="str">
            <v>SWR FG</v>
          </cell>
          <cell r="D1212">
            <v>76</v>
          </cell>
        </row>
        <row r="1213">
          <cell r="A1213">
            <v>5606</v>
          </cell>
          <cell r="B1213" t="str">
            <v>160MM SOCKET PLUG</v>
          </cell>
          <cell r="C1213" t="str">
            <v>SWR FG</v>
          </cell>
          <cell r="D1213">
            <v>296</v>
          </cell>
        </row>
        <row r="1214">
          <cell r="A1214" t="str">
            <v>AS-342</v>
          </cell>
          <cell r="B1214" t="str">
            <v>160MM EQUAL TEE4 KG/CM2(PN-6)</v>
          </cell>
          <cell r="C1214" t="str">
            <v>AGRI FITTING</v>
          </cell>
          <cell r="D1214">
            <v>1576</v>
          </cell>
        </row>
        <row r="1215">
          <cell r="A1215" t="str">
            <v>CH90</v>
          </cell>
          <cell r="B1215" t="str">
            <v>25 MM Q/T TURN CONCEALED VALVE VIVA</v>
          </cell>
          <cell r="C1215" t="str">
            <v>CPVC FITTING</v>
          </cell>
          <cell r="D1215">
            <v>0</v>
          </cell>
        </row>
        <row r="1216">
          <cell r="A1216" t="str">
            <v>UH88F</v>
          </cell>
          <cell r="B1216" t="str">
            <v>1''CANCELLED VALVE FULL TURN URBONA</v>
          </cell>
          <cell r="C1216" t="str">
            <v>UPVC FG</v>
          </cell>
        </row>
        <row r="1217">
          <cell r="A1217" t="str">
            <v>UH84F</v>
          </cell>
          <cell r="B1217" t="str">
            <v>1"CANCELLED VALVE FULL TURN CRACIA</v>
          </cell>
          <cell r="C1217" t="str">
            <v>UPVC FG</v>
          </cell>
        </row>
        <row r="1218">
          <cell r="A1218" t="str">
            <v>UH90F</v>
          </cell>
          <cell r="B1218" t="str">
            <v>1"CANCELLED VALVE FULL TURN VIVA</v>
          </cell>
          <cell r="C1218" t="str">
            <v>UPVC FG</v>
          </cell>
        </row>
        <row r="1219">
          <cell r="A1219" t="str">
            <v>UH86F</v>
          </cell>
          <cell r="B1219" t="str">
            <v>1"CANCELLED VALVE FULL TURN MACASA</v>
          </cell>
          <cell r="C1219" t="str">
            <v>UPVC FG</v>
          </cell>
        </row>
        <row r="1220">
          <cell r="A1220" t="str">
            <v>UH82F</v>
          </cell>
          <cell r="B1220" t="str">
            <v>1"CANCELLED VALVE FULL TURN TRINNGULAR</v>
          </cell>
          <cell r="C1220" t="str">
            <v>UPVC FG</v>
          </cell>
        </row>
        <row r="1221">
          <cell r="A1221" t="str">
            <v>UH89F</v>
          </cell>
          <cell r="B1221" t="str">
            <v>1"CANCELLED VALVE FULL TURN SAGA</v>
          </cell>
          <cell r="C1221" t="str">
            <v>UPVC FG</v>
          </cell>
        </row>
        <row r="1222">
          <cell r="A1222" t="str">
            <v>UH88Q</v>
          </cell>
          <cell r="B1222" t="str">
            <v>1''CANCELLED VALVE QUARTER TURN URBONA</v>
          </cell>
          <cell r="C1222" t="str">
            <v>UPVC FG</v>
          </cell>
        </row>
        <row r="1223">
          <cell r="A1223" t="str">
            <v>UH84Q</v>
          </cell>
          <cell r="B1223" t="str">
            <v>1"CANCELLED VALVE QUARTER TURN CRACIA</v>
          </cell>
          <cell r="C1223" t="str">
            <v>UPVC FG</v>
          </cell>
        </row>
        <row r="1224">
          <cell r="A1224" t="str">
            <v>UH90Q</v>
          </cell>
          <cell r="B1224" t="str">
            <v>1"CANCELLED VALVE QUARTER TURN VIVA</v>
          </cell>
          <cell r="C1224" t="str">
            <v>UPVC FG</v>
          </cell>
        </row>
        <row r="1225">
          <cell r="A1225" t="str">
            <v>UH86Q</v>
          </cell>
          <cell r="B1225" t="str">
            <v>1"CANCELLED VALVE QUARTER TURN MACASA</v>
          </cell>
          <cell r="C1225" t="str">
            <v>UPVC FG</v>
          </cell>
        </row>
        <row r="1226">
          <cell r="A1226" t="str">
            <v>UH82Q</v>
          </cell>
          <cell r="B1226" t="str">
            <v>1"CANCELLED VALVE QUARTER TURN TRINNGULAR</v>
          </cell>
          <cell r="C1226" t="str">
            <v>UPVC FG</v>
          </cell>
        </row>
        <row r="1227">
          <cell r="A1227" t="str">
            <v>UH89Q</v>
          </cell>
          <cell r="B1227" t="str">
            <v>1"CANCELLED VALVE QUARTER TURN SAGA</v>
          </cell>
          <cell r="C1227" t="str">
            <v>UPVC FG</v>
          </cell>
        </row>
        <row r="1228">
          <cell r="A1228">
            <v>4763</v>
          </cell>
          <cell r="B1228" t="str">
            <v xml:space="preserve">110X63 MMNAHANI TRAP WITH JALI </v>
          </cell>
          <cell r="C1228" t="str">
            <v>SWR FG</v>
          </cell>
          <cell r="D1228">
            <v>311</v>
          </cell>
        </row>
        <row r="1229">
          <cell r="A1229" t="str">
            <v>4763W</v>
          </cell>
          <cell r="B1229" t="str">
            <v xml:space="preserve">110X63 MMNAHANI TRAP WITHOUT JALI </v>
          </cell>
          <cell r="C1229" t="str">
            <v>SWR FG</v>
          </cell>
          <cell r="D1229">
            <v>258</v>
          </cell>
        </row>
        <row r="1230">
          <cell r="A1230">
            <v>4507</v>
          </cell>
          <cell r="B1230" t="str">
            <v xml:space="preserve">63 MM BACK FLOW VALVE  </v>
          </cell>
          <cell r="C1230" t="str">
            <v>SWR FG</v>
          </cell>
        </row>
        <row r="1231">
          <cell r="A1231">
            <v>5707</v>
          </cell>
          <cell r="B1231" t="str">
            <v xml:space="preserve">75 MM BACK FLOW VALVE  </v>
          </cell>
          <cell r="C1231" t="str">
            <v>SWR FG</v>
          </cell>
          <cell r="D1231">
            <v>64</v>
          </cell>
        </row>
        <row r="1232">
          <cell r="A1232">
            <v>5907</v>
          </cell>
          <cell r="B1232" t="str">
            <v xml:space="preserve">90 MM BACK FLOW VALVE </v>
          </cell>
          <cell r="C1232" t="str">
            <v>SWR FG</v>
          </cell>
          <cell r="D1232">
            <v>99</v>
          </cell>
        </row>
        <row r="1233">
          <cell r="A1233">
            <v>5107</v>
          </cell>
          <cell r="B1233" t="str">
            <v xml:space="preserve">110 MM BACK FLOW VALVE </v>
          </cell>
          <cell r="C1233" t="str">
            <v>SWR FG</v>
          </cell>
          <cell r="D1233">
            <v>74</v>
          </cell>
        </row>
        <row r="1234">
          <cell r="A1234">
            <v>5607</v>
          </cell>
          <cell r="B1234" t="str">
            <v xml:space="preserve">160 MM BACK FLOW VALVE </v>
          </cell>
          <cell r="C1234" t="str">
            <v>SWR FG</v>
          </cell>
          <cell r="D1234">
            <v>348</v>
          </cell>
        </row>
        <row r="1235">
          <cell r="A1235" t="str">
            <v>A-211</v>
          </cell>
          <cell r="B1235" t="str">
            <v>20 MM COUPLER AGRI-(10 KG)</v>
          </cell>
          <cell r="C1235" t="str">
            <v>AGRI FG</v>
          </cell>
          <cell r="D1235">
            <v>12</v>
          </cell>
        </row>
        <row r="1236">
          <cell r="A1236" t="str">
            <v>A-212</v>
          </cell>
          <cell r="B1236" t="str">
            <v>25 MM COUPLER AGRI-(10 KG)</v>
          </cell>
          <cell r="C1236" t="str">
            <v>AGRI FG</v>
          </cell>
          <cell r="D1236">
            <v>21</v>
          </cell>
        </row>
        <row r="1237">
          <cell r="A1237" t="str">
            <v>A-213</v>
          </cell>
          <cell r="B1237" t="str">
            <v xml:space="preserve">32 MM COUPLER 10 KG/CM2 </v>
          </cell>
          <cell r="C1237" t="str">
            <v>AGRI FG</v>
          </cell>
          <cell r="D1237">
            <v>31</v>
          </cell>
        </row>
        <row r="1238">
          <cell r="A1238" t="str">
            <v>A-214</v>
          </cell>
          <cell r="B1238" t="str">
            <v xml:space="preserve">40 MM COUPLER 10 KG/CM2 </v>
          </cell>
          <cell r="C1238" t="str">
            <v>AGRI FG</v>
          </cell>
          <cell r="D1238">
            <v>42</v>
          </cell>
        </row>
        <row r="1239">
          <cell r="A1239" t="str">
            <v>A-215</v>
          </cell>
          <cell r="B1239" t="str">
            <v xml:space="preserve">50 MM COUPLER 10 KG/CM2 </v>
          </cell>
          <cell r="C1239" t="str">
            <v>AGRI FG</v>
          </cell>
        </row>
        <row r="1240">
          <cell r="A1240" t="str">
            <v>A-311</v>
          </cell>
          <cell r="B1240" t="str">
            <v>20 MM EQUAL TEE  AGRI-(10 KG)</v>
          </cell>
          <cell r="C1240" t="str">
            <v>AGRI FG</v>
          </cell>
          <cell r="D1240">
            <v>40</v>
          </cell>
        </row>
        <row r="1241">
          <cell r="A1241" t="str">
            <v>A-312</v>
          </cell>
          <cell r="B1241" t="str">
            <v>25 MM EQUAL TEE  AGRI-(10 KG)</v>
          </cell>
          <cell r="C1241" t="str">
            <v>AGRI FG</v>
          </cell>
          <cell r="D1241">
            <v>40</v>
          </cell>
        </row>
        <row r="1242">
          <cell r="A1242" t="str">
            <v>A-313</v>
          </cell>
          <cell r="B1242" t="str">
            <v xml:space="preserve">32 MMTEE 10 KG/CM2 </v>
          </cell>
          <cell r="C1242" t="str">
            <v>AGRI FG</v>
          </cell>
          <cell r="D1242">
            <v>59</v>
          </cell>
        </row>
        <row r="1243">
          <cell r="A1243" t="str">
            <v>A-314</v>
          </cell>
          <cell r="B1243" t="str">
            <v xml:space="preserve">40 MMTEE 10 KG/CM2 </v>
          </cell>
          <cell r="C1243" t="str">
            <v>AGRI FG</v>
          </cell>
        </row>
        <row r="1244">
          <cell r="A1244" t="str">
            <v>A-315</v>
          </cell>
          <cell r="B1244" t="str">
            <v xml:space="preserve">50 MMTEE 10 KG/CM2 </v>
          </cell>
          <cell r="C1244" t="str">
            <v>AGRI FG</v>
          </cell>
        </row>
        <row r="1245">
          <cell r="A1245" t="str">
            <v>A-411</v>
          </cell>
          <cell r="B1245" t="str">
            <v xml:space="preserve">20 MM ELBOW 10 KG/CM2 </v>
          </cell>
          <cell r="C1245" t="str">
            <v>AGRI FG</v>
          </cell>
          <cell r="D1245">
            <v>18</v>
          </cell>
        </row>
        <row r="1246">
          <cell r="A1246" t="str">
            <v>A-412</v>
          </cell>
          <cell r="B1246" t="str">
            <v>25 MM ELBOW 90 AGRI-(10 KG)</v>
          </cell>
          <cell r="C1246" t="str">
            <v>AGRI FG</v>
          </cell>
          <cell r="D1246">
            <v>29</v>
          </cell>
        </row>
        <row r="1247">
          <cell r="A1247" t="str">
            <v>A-413</v>
          </cell>
          <cell r="B1247" t="str">
            <v xml:space="preserve">32 MM ELBOW 10 KG/CM2 </v>
          </cell>
          <cell r="C1247" t="str">
            <v>AGRI FG</v>
          </cell>
          <cell r="D1247">
            <v>46</v>
          </cell>
        </row>
        <row r="1248">
          <cell r="A1248" t="str">
            <v>A-414</v>
          </cell>
          <cell r="B1248" t="str">
            <v xml:space="preserve">40 MM ELBOW 10 KG/CM2 </v>
          </cell>
          <cell r="C1248" t="str">
            <v>AGRI FG</v>
          </cell>
        </row>
        <row r="1249">
          <cell r="A1249" t="str">
            <v>A-415</v>
          </cell>
          <cell r="B1249" t="str">
            <v xml:space="preserve">50 MM ELBOW 10 KG/CM2 </v>
          </cell>
          <cell r="C1249" t="str">
            <v>AGRI FG</v>
          </cell>
        </row>
        <row r="1250">
          <cell r="A1250" t="str">
            <v>A-417</v>
          </cell>
          <cell r="B1250" t="str">
            <v xml:space="preserve">110X75 MM Red. ELBOW 10 KG/CM2 </v>
          </cell>
          <cell r="C1250" t="str">
            <v>AGRI FG</v>
          </cell>
          <cell r="D1250">
            <v>475</v>
          </cell>
        </row>
        <row r="1251">
          <cell r="A1251" t="str">
            <v>A-419</v>
          </cell>
          <cell r="B1251" t="str">
            <v>REDUCER ELBOW 4KG 110X90</v>
          </cell>
          <cell r="C1251" t="str">
            <v>AGRI FG</v>
          </cell>
          <cell r="D1251">
            <v>476</v>
          </cell>
        </row>
        <row r="1252">
          <cell r="A1252" t="str">
            <v>A-509</v>
          </cell>
          <cell r="B1252" t="str">
            <v>ELBOW 45- 4 KG 90MM AGRI</v>
          </cell>
          <cell r="C1252" t="str">
            <v>AGRI FG</v>
          </cell>
          <cell r="D1252">
            <v>227</v>
          </cell>
        </row>
        <row r="1253">
          <cell r="A1253" t="str">
            <v>A-510</v>
          </cell>
          <cell r="B1253" t="str">
            <v>ELBOW 45- 4 KG 110MM AGRI</v>
          </cell>
          <cell r="C1253" t="str">
            <v>AGRI FG</v>
          </cell>
          <cell r="D1253">
            <v>345</v>
          </cell>
        </row>
        <row r="1254">
          <cell r="A1254" t="str">
            <v>A-511</v>
          </cell>
          <cell r="B1254" t="str">
            <v>20 MM ELBOW 45  AGRI-(10 KG)</v>
          </cell>
          <cell r="C1254" t="str">
            <v>AGRI FG</v>
          </cell>
          <cell r="D1254">
            <v>17</v>
          </cell>
        </row>
        <row r="1255">
          <cell r="A1255" t="str">
            <v>A-512</v>
          </cell>
          <cell r="B1255" t="str">
            <v>45° ELBOW 10kg/cm² 25MM</v>
          </cell>
          <cell r="C1255" t="str">
            <v>AGRI FG</v>
          </cell>
          <cell r="D1255">
            <v>27</v>
          </cell>
        </row>
        <row r="1256">
          <cell r="A1256" t="str">
            <v>A-513</v>
          </cell>
          <cell r="B1256" t="str">
            <v xml:space="preserve">32 MM 45* ELBOW 10 KG/CM2 </v>
          </cell>
          <cell r="C1256" t="str">
            <v>AGRI FG</v>
          </cell>
          <cell r="D1256">
            <v>38</v>
          </cell>
        </row>
        <row r="1257">
          <cell r="A1257" t="str">
            <v>A-514</v>
          </cell>
          <cell r="B1257" t="str">
            <v>45° ELBOW 10kg/cm² 40MM</v>
          </cell>
          <cell r="C1257" t="str">
            <v>AGRI FG</v>
          </cell>
          <cell r="D1257">
            <v>55</v>
          </cell>
        </row>
        <row r="1258">
          <cell r="A1258" t="str">
            <v>A-515</v>
          </cell>
          <cell r="B1258" t="str">
            <v>50° ELBOW 10kg/cm² 40MM</v>
          </cell>
          <cell r="C1258" t="str">
            <v>AGRI FG</v>
          </cell>
          <cell r="D1258">
            <v>82</v>
          </cell>
        </row>
        <row r="1259">
          <cell r="A1259" t="str">
            <v>A-711</v>
          </cell>
          <cell r="B1259" t="str">
            <v xml:space="preserve">20X25 MM REDUCER BUSH 4 KG/CM2 </v>
          </cell>
          <cell r="C1259" t="str">
            <v>AGRI FG</v>
          </cell>
          <cell r="D1259">
            <v>7</v>
          </cell>
        </row>
        <row r="1260">
          <cell r="A1260" t="str">
            <v>A-712</v>
          </cell>
          <cell r="B1260" t="str">
            <v xml:space="preserve">20X32 MMREDUCER BUSH 4 KG/CM2 </v>
          </cell>
          <cell r="C1260" t="str">
            <v>AGRI FG</v>
          </cell>
          <cell r="D1260">
            <v>14</v>
          </cell>
        </row>
        <row r="1261">
          <cell r="A1261" t="str">
            <v>A-713</v>
          </cell>
          <cell r="B1261" t="str">
            <v xml:space="preserve">20X40 MMREDUCER BUSH 4 KG/CM2 </v>
          </cell>
          <cell r="C1261" t="str">
            <v>AGRI FG</v>
          </cell>
          <cell r="D1261">
            <v>28</v>
          </cell>
        </row>
        <row r="1262">
          <cell r="A1262" t="str">
            <v>A-714</v>
          </cell>
          <cell r="B1262" t="str">
            <v xml:space="preserve">20X50 MMREDUCER BUSH 4 KG/CM2 </v>
          </cell>
          <cell r="C1262" t="str">
            <v>AGRI FG</v>
          </cell>
          <cell r="D1262">
            <v>40</v>
          </cell>
        </row>
        <row r="1263">
          <cell r="A1263" t="str">
            <v>A-715</v>
          </cell>
          <cell r="B1263" t="str">
            <v xml:space="preserve">25X32 MMREDUCER BUSH 4 KG/CM2 </v>
          </cell>
          <cell r="C1263" t="str">
            <v>AGRI FG</v>
          </cell>
          <cell r="D1263">
            <v>13</v>
          </cell>
        </row>
        <row r="1264">
          <cell r="A1264" t="str">
            <v>A-716</v>
          </cell>
          <cell r="B1264" t="str">
            <v xml:space="preserve">25X40 MMREDUCER BUSH 4 KG/CM2 </v>
          </cell>
          <cell r="C1264" t="str">
            <v>AGRI FG</v>
          </cell>
          <cell r="D1264">
            <v>32</v>
          </cell>
        </row>
        <row r="1265">
          <cell r="A1265" t="str">
            <v>A-717</v>
          </cell>
          <cell r="B1265" t="str">
            <v xml:space="preserve">25X50 MMREDUCER BUSH 4 KG/CM2 </v>
          </cell>
          <cell r="C1265" t="str">
            <v>AGRI FG</v>
          </cell>
          <cell r="D1265">
            <v>45</v>
          </cell>
        </row>
        <row r="1266">
          <cell r="A1266" t="str">
            <v>A-718</v>
          </cell>
          <cell r="B1266" t="str">
            <v>32X40 MM AGRI REDUCER BUSH 4 KG/CM2</v>
          </cell>
          <cell r="C1266" t="str">
            <v>AGRI FG</v>
          </cell>
          <cell r="D1266">
            <v>25</v>
          </cell>
        </row>
        <row r="1267">
          <cell r="A1267" t="str">
            <v>A-719</v>
          </cell>
          <cell r="B1267" t="str">
            <v xml:space="preserve">32X50 MMREDUCER BUSH 4 KG/CM2 </v>
          </cell>
          <cell r="C1267" t="str">
            <v>AGRI FG</v>
          </cell>
          <cell r="D1267">
            <v>44</v>
          </cell>
        </row>
        <row r="1268">
          <cell r="A1268" t="str">
            <v>A-720</v>
          </cell>
          <cell r="B1268" t="str">
            <v>32X40 MM AGRI REDUCER BUSH 4 KG/CM2</v>
          </cell>
          <cell r="C1268" t="str">
            <v>AGRI FG</v>
          </cell>
        </row>
        <row r="1269">
          <cell r="A1269" t="str">
            <v>A-721</v>
          </cell>
          <cell r="B1269" t="str">
            <v xml:space="preserve">50X63 MMREDUCER BUSH 4 KG/CM2 </v>
          </cell>
          <cell r="C1269" t="str">
            <v>AGRI FG</v>
          </cell>
        </row>
        <row r="1270">
          <cell r="A1270" t="str">
            <v>A-771</v>
          </cell>
          <cell r="B1270" t="str">
            <v>REDUCER COUPLER  110X 50 MM</v>
          </cell>
          <cell r="C1270" t="str">
            <v>AGRI FG</v>
          </cell>
        </row>
        <row r="1271">
          <cell r="A1271" t="str">
            <v>C59N</v>
          </cell>
          <cell r="B1271" t="str">
            <v>6" 90° ELBOW</v>
          </cell>
          <cell r="C1271" t="str">
            <v>CPVC FITTING</v>
          </cell>
          <cell r="D1271">
            <v>1975</v>
          </cell>
        </row>
        <row r="1272">
          <cell r="A1272" t="str">
            <v>A-30A</v>
          </cell>
          <cell r="B1272" t="str">
            <v>PIPE 3 MTRS Length 4 KG 125MM</v>
          </cell>
          <cell r="C1272" t="str">
            <v>AGRI PIPE</v>
          </cell>
          <cell r="D1272">
            <v>7.5</v>
          </cell>
        </row>
        <row r="1273">
          <cell r="A1273" t="str">
            <v>A-50A</v>
          </cell>
          <cell r="B1273" t="str">
            <v>125MM 6 Kg AGRI PIPE  (3 Mtr.)</v>
          </cell>
          <cell r="C1273" t="str">
            <v>AGRI PIPE</v>
          </cell>
          <cell r="D1273">
            <v>8</v>
          </cell>
        </row>
        <row r="1274">
          <cell r="A1274" t="str">
            <v>OPVC22</v>
          </cell>
          <cell r="B1274" t="str">
            <v>110MM OPVC PIPE 16KG/CM2</v>
          </cell>
          <cell r="C1274" t="str">
            <v>OPVC PIPE</v>
          </cell>
          <cell r="D1274">
            <v>0</v>
          </cell>
        </row>
        <row r="1275">
          <cell r="A1275" t="str">
            <v>C134</v>
          </cell>
          <cell r="B1275" t="str">
            <v>32 MM Non Return Valve</v>
          </cell>
          <cell r="C1275" t="str">
            <v>cpvc fg</v>
          </cell>
          <cell r="D1275">
            <v>123</v>
          </cell>
        </row>
        <row r="1276">
          <cell r="A1276" t="str">
            <v>C135</v>
          </cell>
          <cell r="B1276" t="str">
            <v>40 MM Non Return Valve</v>
          </cell>
          <cell r="C1276" t="str">
            <v>cpvc fg</v>
          </cell>
          <cell r="D1276">
            <v>140</v>
          </cell>
        </row>
        <row r="1277">
          <cell r="A1277" t="str">
            <v>UH88-L</v>
          </cell>
          <cell r="B1277" t="str">
            <v>1" UPVC  URBONA CONCEALED VALVE Q/T</v>
          </cell>
          <cell r="C1277" t="str">
            <v>UPVC FITTING</v>
          </cell>
          <cell r="D1277">
            <v>73.8</v>
          </cell>
        </row>
        <row r="1278">
          <cell r="A1278" t="str">
            <v>AS-247</v>
          </cell>
          <cell r="B1278" t="str">
            <v>AGRI COUPLER PN-6 75</v>
          </cell>
          <cell r="C1278" t="str">
            <v>AGRI FG</v>
          </cell>
          <cell r="D1278">
            <v>106.5</v>
          </cell>
        </row>
        <row r="1279">
          <cell r="A1279" t="str">
            <v>A-51A</v>
          </cell>
          <cell r="B1279" t="str">
            <v>140MM 6 Kg AGRI PIPE  (3 Mtr.)</v>
          </cell>
          <cell r="C1279" t="str">
            <v>AGRI PIPE</v>
          </cell>
          <cell r="D1279">
            <v>10.65</v>
          </cell>
        </row>
        <row r="1280">
          <cell r="A1280" t="str">
            <v>PP42</v>
          </cell>
          <cell r="B1280" t="str">
            <v>Coupler 20 MM PPR FITTINGS (White Single Layer)</v>
          </cell>
          <cell r="C1280" t="str">
            <v>PPR Fittimg</v>
          </cell>
          <cell r="D1280">
            <v>13</v>
          </cell>
        </row>
        <row r="1281">
          <cell r="A1281" t="str">
            <v>PP54</v>
          </cell>
          <cell r="B1281" t="str">
            <v>Elbow 90 32 MM PPR FITTINGS (White Single Layer)</v>
          </cell>
          <cell r="C1281" t="str">
            <v>PPR Fittimg</v>
          </cell>
          <cell r="D1281">
            <v>49</v>
          </cell>
        </row>
        <row r="1282">
          <cell r="A1282" t="str">
            <v>PP44</v>
          </cell>
          <cell r="B1282" t="str">
            <v>Coupler 32 MM PPR FITTINGS (White Single Layer)</v>
          </cell>
          <cell r="C1282" t="str">
            <v>PPR Fittimg</v>
          </cell>
          <cell r="D1282">
            <v>31</v>
          </cell>
        </row>
        <row r="1283">
          <cell r="A1283" t="str">
            <v>PP64</v>
          </cell>
          <cell r="B1283" t="str">
            <v>Equal Tee 32 MM PPR FITTINGS (White Single Layer)</v>
          </cell>
          <cell r="C1283" t="str">
            <v>PPR Fittimg</v>
          </cell>
          <cell r="D1283">
            <v>66</v>
          </cell>
        </row>
        <row r="1284">
          <cell r="A1284" t="str">
            <v>PP43</v>
          </cell>
          <cell r="B1284" t="str">
            <v>Coupler 25 MM PPR FITTINGS (White Single Layer)</v>
          </cell>
          <cell r="C1284" t="str">
            <v>PPR Fittimg</v>
          </cell>
          <cell r="D1284">
            <v>21</v>
          </cell>
        </row>
        <row r="1285">
          <cell r="A1285" t="str">
            <v>PP63</v>
          </cell>
          <cell r="B1285" t="str">
            <v>Equal Tee 25 MM PPR FITTINGS (White Single Layer)</v>
          </cell>
          <cell r="C1285" t="str">
            <v>PPR Fittimg</v>
          </cell>
          <cell r="D1285">
            <v>40</v>
          </cell>
        </row>
        <row r="1286">
          <cell r="A1286" t="str">
            <v>PP62</v>
          </cell>
          <cell r="B1286" t="str">
            <v>Equal Tee 20 MM PPR FITTINGS (White Single Layer)</v>
          </cell>
          <cell r="C1286" t="str">
            <v>PPR Fittimg</v>
          </cell>
          <cell r="D1286">
            <v>24</v>
          </cell>
        </row>
        <row r="1287">
          <cell r="A1287" t="str">
            <v>PP53</v>
          </cell>
          <cell r="B1287" t="str">
            <v>Elbow 90 25 MM PPR FITTINGS (White Single Layer)</v>
          </cell>
          <cell r="C1287" t="str">
            <v>PPR Fittimg</v>
          </cell>
          <cell r="D1287">
            <v>31</v>
          </cell>
        </row>
        <row r="1288">
          <cell r="A1288" t="str">
            <v>PP52</v>
          </cell>
          <cell r="B1288" t="str">
            <v>Elbow 90 20 MM PPR FITTINGS (White Single Layer)</v>
          </cell>
          <cell r="C1288" t="str">
            <v>PPR Fittimg</v>
          </cell>
          <cell r="D1288">
            <v>18</v>
          </cell>
        </row>
        <row r="1289">
          <cell r="A1289" t="str">
            <v>PP942</v>
          </cell>
          <cell r="B1289" t="str">
            <v>Reducer Bush 32x20 PPR FITTINGS (White Single Layer)</v>
          </cell>
          <cell r="C1289" t="str">
            <v>PPR Fittimg</v>
          </cell>
          <cell r="D1289">
            <v>27</v>
          </cell>
        </row>
        <row r="1290">
          <cell r="A1290" t="str">
            <v>PP943</v>
          </cell>
          <cell r="B1290" t="str">
            <v>Reducer Bush 32x25 PPR FITTINGS (White Single Layer)</v>
          </cell>
          <cell r="C1290" t="str">
            <v>PPR Fittimg</v>
          </cell>
          <cell r="D1290">
            <v>28</v>
          </cell>
        </row>
        <row r="1291">
          <cell r="A1291" t="str">
            <v>PP952</v>
          </cell>
          <cell r="B1291" t="str">
            <v>Reducer Coupler 40x20 PPR FITTINGS (White Single Layer)</v>
          </cell>
          <cell r="C1291" t="str">
            <v>PPR Fittimg</v>
          </cell>
          <cell r="D1291">
            <v>32</v>
          </cell>
        </row>
        <row r="1292">
          <cell r="A1292" t="str">
            <v>PP953</v>
          </cell>
          <cell r="B1292" t="str">
            <v>Reducer Coupler 40x25 PPR FITTINGS (White Single Layer)</v>
          </cell>
          <cell r="C1292" t="str">
            <v>PPR Fittimg</v>
          </cell>
          <cell r="D1292">
            <v>34</v>
          </cell>
        </row>
        <row r="1293">
          <cell r="A1293" t="str">
            <v>PP954</v>
          </cell>
          <cell r="B1293" t="str">
            <v>Reducer Coupler 40x32 PPR FITTINGS (White Single Layer)</v>
          </cell>
          <cell r="C1293" t="str">
            <v>PPR Fittimg</v>
          </cell>
          <cell r="D1293">
            <v>36</v>
          </cell>
        </row>
        <row r="1294">
          <cell r="A1294" t="str">
            <v>PP932</v>
          </cell>
          <cell r="B1294" t="str">
            <v>Reducer Coupler 25x20 PPR FITTINGS (White Single Layer)</v>
          </cell>
          <cell r="C1294" t="str">
            <v>PPR Fittimg</v>
          </cell>
          <cell r="D1294">
            <v>17</v>
          </cell>
        </row>
        <row r="1295">
          <cell r="A1295" t="str">
            <v>C230L</v>
          </cell>
          <cell r="B1295" t="str">
            <v>1/2" CPVC EXPANSION LOOP</v>
          </cell>
          <cell r="C1295" t="str">
            <v>CPVC-FG</v>
          </cell>
        </row>
        <row r="1296">
          <cell r="A1296" t="str">
            <v>C231L</v>
          </cell>
          <cell r="B1296" t="str">
            <v>3/4" CPVC EXPANSION LOOP</v>
          </cell>
          <cell r="C1296" t="str">
            <v>CPVC-FG</v>
          </cell>
        </row>
        <row r="1297">
          <cell r="A1297" t="str">
            <v>C232L</v>
          </cell>
          <cell r="B1297" t="str">
            <v>1" CPVC EXPANSION LOOP</v>
          </cell>
          <cell r="C1297" t="str">
            <v>CPVC-FG</v>
          </cell>
        </row>
        <row r="1298">
          <cell r="A1298" t="str">
            <v>C233L</v>
          </cell>
          <cell r="B1298" t="str">
            <v>1-1/4" CPVC EXPANSION LOOP</v>
          </cell>
          <cell r="C1298" t="str">
            <v>CPVC-FG</v>
          </cell>
        </row>
        <row r="1299">
          <cell r="A1299" t="str">
            <v>C234L</v>
          </cell>
          <cell r="B1299" t="str">
            <v>1-1/2" CPVC EXPANSION LOOP</v>
          </cell>
          <cell r="C1299" t="str">
            <v>CPVC-FG</v>
          </cell>
          <cell r="D1299">
            <v>930</v>
          </cell>
        </row>
        <row r="1300">
          <cell r="A1300" t="str">
            <v>C235L</v>
          </cell>
          <cell r="B1300" t="str">
            <v>2" CPVC EXPANSION LOOP</v>
          </cell>
          <cell r="C1300" t="str">
            <v>CPVC-FG</v>
          </cell>
          <cell r="D1300">
            <v>1820</v>
          </cell>
        </row>
        <row r="1301">
          <cell r="A1301" t="str">
            <v>CHB-72F</v>
          </cell>
          <cell r="B1301" t="str">
            <v>20 MM CONCEALED ACCESSORIES(HANDLE + Fitting)</v>
          </cell>
          <cell r="C1301" t="str">
            <v>CPVC-FG</v>
          </cell>
          <cell r="D1301">
            <v>180</v>
          </cell>
        </row>
        <row r="1302">
          <cell r="A1302" t="str">
            <v>WCT-3LL-05</v>
          </cell>
          <cell r="B1302" t="str">
            <v>WATER COOL TANK 3 LAYER LIGHT 500 LTR.</v>
          </cell>
          <cell r="C1302" t="str">
            <v xml:space="preserve">WATER TANK </v>
          </cell>
          <cell r="D1302">
            <v>11.5</v>
          </cell>
        </row>
        <row r="1303">
          <cell r="A1303" t="str">
            <v>WCT-3LL-07</v>
          </cell>
          <cell r="B1303" t="str">
            <v>WATER COOL TANK 3 LAYER LIGHT 750 LTR.</v>
          </cell>
          <cell r="C1303" t="str">
            <v xml:space="preserve">WATER TANK </v>
          </cell>
          <cell r="D1303">
            <v>18</v>
          </cell>
        </row>
        <row r="1304">
          <cell r="A1304" t="str">
            <v>WCT-3LL-10</v>
          </cell>
          <cell r="B1304" t="str">
            <v>WATER COOL TANK 3 LAYER LIGHT 1000 LTR.</v>
          </cell>
          <cell r="C1304" t="str">
            <v xml:space="preserve">WATER TANK </v>
          </cell>
          <cell r="D1304">
            <v>22.5</v>
          </cell>
        </row>
        <row r="1305">
          <cell r="A1305" t="str">
            <v>C521S</v>
          </cell>
          <cell r="B1305" t="str">
            <v>3/4"x1/2" 90⁰ BRASS ELBOW (New)</v>
          </cell>
          <cell r="C1305" t="str">
            <v>CPVC FITTING</v>
          </cell>
          <cell r="D1305">
            <v>29.5</v>
          </cell>
        </row>
        <row r="1306">
          <cell r="A1306" t="str">
            <v>WCT-3LL-05 B</v>
          </cell>
          <cell r="B1306" t="str">
            <v>WATER COOL TANK 3 LAYER LIGHT 500 LTR.</v>
          </cell>
          <cell r="C1306" t="str">
            <v xml:space="preserve">WATER TANK </v>
          </cell>
          <cell r="D1306">
            <v>11.5</v>
          </cell>
        </row>
        <row r="1307">
          <cell r="A1307" t="str">
            <v>WCT-3LL-07 B</v>
          </cell>
          <cell r="B1307" t="str">
            <v>WATER COOL TANK 3 LAYER LIGHT 750 LTR.</v>
          </cell>
          <cell r="C1307" t="str">
            <v xml:space="preserve">WATER TANK </v>
          </cell>
          <cell r="D1307">
            <v>18</v>
          </cell>
        </row>
        <row r="1308">
          <cell r="A1308" t="str">
            <v>WCT-3LL-10 B</v>
          </cell>
          <cell r="B1308" t="str">
            <v>WATER COOL TANK 3 LAYER LIGHT 1000 LTR.</v>
          </cell>
          <cell r="C1308" t="str">
            <v xml:space="preserve">WATER TANK </v>
          </cell>
          <cell r="D1308">
            <v>22.5</v>
          </cell>
        </row>
        <row r="1309">
          <cell r="A1309" t="str">
            <v>PP323</v>
          </cell>
          <cell r="B1309" t="str">
            <v>Brass Tee 25x15 MM PPR FITTINGS (White Single Layer)</v>
          </cell>
          <cell r="C1309" t="str">
            <v>PPR Fittimg</v>
          </cell>
          <cell r="D1309">
            <v>46</v>
          </cell>
        </row>
        <row r="1310">
          <cell r="A1310" t="str">
            <v>PP303</v>
          </cell>
          <cell r="B1310" t="str">
            <v>25x15mm male  brass tee</v>
          </cell>
          <cell r="C1310" t="str">
            <v>PPR Fittimg</v>
          </cell>
          <cell r="D1310">
            <v>52</v>
          </cell>
        </row>
        <row r="1311">
          <cell r="A1311" t="str">
            <v>WCT-3LL-05 Y</v>
          </cell>
          <cell r="B1311" t="str">
            <v>WATER COOL TANK 3 LAYER LIGHT 500 LTR.</v>
          </cell>
          <cell r="C1311" t="str">
            <v xml:space="preserve">WATER TANK </v>
          </cell>
          <cell r="D1311">
            <v>11.5</v>
          </cell>
        </row>
        <row r="1312">
          <cell r="A1312" t="str">
            <v>WCT-3LL-07 Y</v>
          </cell>
          <cell r="B1312" t="str">
            <v>WATER COOL TANK 3 LAYER LIGHT 750 LTR.</v>
          </cell>
          <cell r="C1312" t="str">
            <v xml:space="preserve">WATER TANK </v>
          </cell>
          <cell r="D1312">
            <v>18</v>
          </cell>
        </row>
        <row r="1313">
          <cell r="A1313" t="str">
            <v>WCT-3LL-10 Y</v>
          </cell>
          <cell r="B1313" t="str">
            <v>WATER COOL TANK 3 LAYER LIGHT 1000 LTR.</v>
          </cell>
          <cell r="C1313" t="str">
            <v xml:space="preserve">WATER TANK </v>
          </cell>
          <cell r="D1313">
            <v>22.5</v>
          </cell>
        </row>
        <row r="1314">
          <cell r="A1314" t="str">
            <v>PU13T</v>
          </cell>
          <cell r="B1314" t="str">
            <v>1" UPVC PIPE ( SCH 40 ) Thr.</v>
          </cell>
          <cell r="C1314" t="str">
            <v>UPVC PIPE</v>
          </cell>
          <cell r="D1314">
            <v>1.61</v>
          </cell>
        </row>
        <row r="1315">
          <cell r="A1315" t="str">
            <v>WCT-3LL-05 G</v>
          </cell>
          <cell r="B1315" t="str">
            <v>WATER COOL TANK 3 LAYER LIGHT 500 LTR.</v>
          </cell>
          <cell r="C1315" t="str">
            <v xml:space="preserve">WATER TANK </v>
          </cell>
          <cell r="D1315">
            <v>11.5</v>
          </cell>
        </row>
        <row r="1316">
          <cell r="A1316" t="str">
            <v>WCT-3LL-07 G</v>
          </cell>
          <cell r="B1316" t="str">
            <v>WATER COOL TANK 3 LAYER LIGHT 750 LTR.</v>
          </cell>
          <cell r="C1316" t="str">
            <v xml:space="preserve">WATER TANK </v>
          </cell>
          <cell r="D1316">
            <v>18</v>
          </cell>
        </row>
        <row r="1317">
          <cell r="A1317" t="str">
            <v>WCT-3LL-10 G</v>
          </cell>
          <cell r="B1317" t="str">
            <v>WATER COOL TANK 3 LAYER LIGHT 1000 LTR.</v>
          </cell>
          <cell r="C1317" t="str">
            <v xml:space="preserve">WATER TANK </v>
          </cell>
          <cell r="D1317">
            <v>22.5</v>
          </cell>
        </row>
        <row r="1318">
          <cell r="A1318" t="str">
            <v>WCT-3LL-05 GD</v>
          </cell>
          <cell r="B1318" t="str">
            <v>WATER COOL TANK 3 LAYER LIGHT 500 LTR.</v>
          </cell>
          <cell r="C1318" t="str">
            <v xml:space="preserve">WATER TANK </v>
          </cell>
          <cell r="D1318">
            <v>11.5</v>
          </cell>
        </row>
        <row r="1319">
          <cell r="A1319" t="str">
            <v>WCT-3LL-07 GD</v>
          </cell>
          <cell r="B1319" t="str">
            <v>WATER COOL TANK 3 LAYER LIGHT 750 LTR.</v>
          </cell>
          <cell r="C1319" t="str">
            <v xml:space="preserve">WATER TANK </v>
          </cell>
          <cell r="D1319">
            <v>18</v>
          </cell>
        </row>
        <row r="1320">
          <cell r="A1320" t="str">
            <v>WCT-3LL-10 GD</v>
          </cell>
          <cell r="B1320" t="str">
            <v>WATER COOL TANK 3 LAYER LIGHT 1000 LTR.</v>
          </cell>
          <cell r="C1320" t="str">
            <v xml:space="preserve">WATER TANK </v>
          </cell>
          <cell r="D1320">
            <v>22.5</v>
          </cell>
        </row>
        <row r="1321">
          <cell r="A1321" t="str">
            <v>WCT-3LL-05 PG</v>
          </cell>
          <cell r="B1321" t="str">
            <v>WATER COOL TANK 3 LAYER LIGHT 500 LTR.</v>
          </cell>
          <cell r="C1321" t="str">
            <v xml:space="preserve">WATER TANK </v>
          </cell>
          <cell r="D1321">
            <v>11.5</v>
          </cell>
        </row>
        <row r="1322">
          <cell r="A1322" t="str">
            <v>WCT-3LL-07 PG</v>
          </cell>
          <cell r="B1322" t="str">
            <v>WATER COOL TANK 3 LAYER LIGHT 750 LTR.</v>
          </cell>
          <cell r="C1322" t="str">
            <v xml:space="preserve">WATER TANK </v>
          </cell>
          <cell r="D1322">
            <v>18</v>
          </cell>
        </row>
        <row r="1323">
          <cell r="A1323" t="str">
            <v>WCT-3LL-10 PG</v>
          </cell>
          <cell r="B1323" t="str">
            <v>WATER COOL TANK 3 LAYER LIGHT 1000 LTR.</v>
          </cell>
          <cell r="C1323" t="str">
            <v xml:space="preserve">WATER TANK </v>
          </cell>
          <cell r="D1323">
            <v>22.5</v>
          </cell>
        </row>
        <row r="1324">
          <cell r="A1324" t="str">
            <v>WCT-3LL-05 P</v>
          </cell>
          <cell r="B1324" t="str">
            <v>WATER COOL TANK 3 LAYER LIGHT 500 LTR.</v>
          </cell>
          <cell r="C1324" t="str">
            <v xml:space="preserve">WATER TANK </v>
          </cell>
          <cell r="D1324">
            <v>11.5</v>
          </cell>
        </row>
        <row r="1325">
          <cell r="A1325" t="str">
            <v>WCT-3LL-07 P</v>
          </cell>
          <cell r="B1325" t="str">
            <v>WATER COOL TANK 3 LAYER LIGHT 750 LTR.</v>
          </cell>
          <cell r="C1325" t="str">
            <v xml:space="preserve">WATER TANK </v>
          </cell>
          <cell r="D1325">
            <v>18</v>
          </cell>
        </row>
        <row r="1326">
          <cell r="A1326" t="str">
            <v>WCT-3LL-10 P</v>
          </cell>
          <cell r="B1326" t="str">
            <v>WATER COOL TANK 3 LAYER LIGHT 1000 LTR.</v>
          </cell>
          <cell r="C1326" t="str">
            <v xml:space="preserve">WATER TANK </v>
          </cell>
          <cell r="D1326">
            <v>22.5</v>
          </cell>
        </row>
        <row r="1327">
          <cell r="A1327" t="str">
            <v>PP523</v>
          </cell>
          <cell r="B1327" t="str">
            <v>Brass Elbow 90 25x15 MM PPR FITTINGS (White Single Layer)</v>
          </cell>
          <cell r="C1327" t="str">
            <v>PPR Fittimg</v>
          </cell>
          <cell r="D1327">
            <v>39</v>
          </cell>
        </row>
        <row r="1328">
          <cell r="A1328" t="str">
            <v>PP513</v>
          </cell>
          <cell r="B1328" t="str">
            <v>Male Brass Elbow 90 25x15 MM PPR FITTINGS (White Single Layer)</v>
          </cell>
          <cell r="C1328" t="str">
            <v>PPR Fittimg</v>
          </cell>
          <cell r="D1328">
            <v>45</v>
          </cell>
        </row>
        <row r="1329">
          <cell r="A1329" t="str">
            <v>PP413</v>
          </cell>
          <cell r="B1329" t="str">
            <v>25"x1/2" Female brass coupling</v>
          </cell>
          <cell r="C1329" t="str">
            <v>PPR Fittimg</v>
          </cell>
          <cell r="D1329">
            <v>26</v>
          </cell>
        </row>
        <row r="1330">
          <cell r="A1330" t="str">
            <v>PP403</v>
          </cell>
          <cell r="B1330" t="str">
            <v>25"x1/2" Male brass coupling</v>
          </cell>
          <cell r="C1330" t="str">
            <v>PPR Fittimg</v>
          </cell>
          <cell r="D1330">
            <v>26</v>
          </cell>
        </row>
        <row r="1331">
          <cell r="A1331" t="str">
            <v>PP33</v>
          </cell>
          <cell r="B1331" t="str">
            <v>Union 25 MM PPR FITTINGS (White Single Layer)</v>
          </cell>
          <cell r="C1331" t="str">
            <v>PPR Fittimg</v>
          </cell>
        </row>
        <row r="1332">
          <cell r="A1332" t="str">
            <v>PEA-531B</v>
          </cell>
          <cell r="B1332" t="str">
            <v>Female Threaded Elbow 90' Size 16x1/2" (MM)</v>
          </cell>
        </row>
        <row r="1333">
          <cell r="A1333" t="str">
            <v>PEA-322B</v>
          </cell>
          <cell r="B1333" t="str">
            <v>Unequal Tea Size 20x16x20 (MM)</v>
          </cell>
        </row>
        <row r="1334">
          <cell r="A1334" t="str">
            <v>PEA-731B</v>
          </cell>
          <cell r="B1334" t="str">
            <v>Male Threaded Adapter Size 16x1/2" (MM)</v>
          </cell>
        </row>
        <row r="1335">
          <cell r="A1335" t="str">
            <v>WT-4LWP-10</v>
          </cell>
          <cell r="B1335" t="str">
            <v>Water Tank 4 layer Light 1000 Ltr. WP</v>
          </cell>
          <cell r="C1335" t="str">
            <v xml:space="preserve">WATER TANK </v>
          </cell>
          <cell r="D1335">
            <v>25.5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18"/>
  <sheetViews>
    <sheetView workbookViewId="0">
      <pane ySplit="4" topLeftCell="A1139" activePane="bottomLeft" state="frozen"/>
      <selection pane="bottomLeft" activeCell="E1152" sqref="E1152"/>
    </sheetView>
  </sheetViews>
  <sheetFormatPr defaultRowHeight="13.8" x14ac:dyDescent="0.3"/>
  <cols>
    <col min="1" max="1" width="12.44140625" style="1" bestFit="1" customWidth="1"/>
    <col min="2" max="2" width="39" style="2" customWidth="1"/>
    <col min="3" max="3" width="14.109375" style="2" customWidth="1"/>
    <col min="4" max="4" width="9.6640625" style="3" customWidth="1"/>
    <col min="5" max="5" width="10.33203125" style="3" customWidth="1"/>
    <col min="6" max="6" width="11.21875" style="3" customWidth="1"/>
    <col min="7" max="8" width="10.33203125" style="3" customWidth="1"/>
    <col min="9" max="9" width="10.44140625" style="3" customWidth="1"/>
    <col min="10" max="10" width="9.88671875" style="3" customWidth="1"/>
    <col min="11" max="13" width="11.21875" style="2" customWidth="1"/>
    <col min="14" max="14" width="10.21875" style="2" customWidth="1"/>
    <col min="15" max="15" width="8.88671875" style="2"/>
    <col min="16" max="16" width="8.88671875" style="3"/>
    <col min="17" max="16384" width="8.88671875" style="2"/>
  </cols>
  <sheetData>
    <row r="1" spans="1:16" ht="14.4" thickBot="1" x14ac:dyDescent="0.35"/>
    <row r="2" spans="1:16" s="11" customFormat="1" ht="15" thickBot="1" x14ac:dyDescent="0.35">
      <c r="A2" s="4" t="s">
        <v>0</v>
      </c>
      <c r="B2" s="5"/>
      <c r="C2" s="5"/>
      <c r="D2" s="6"/>
      <c r="E2" s="62"/>
      <c r="F2" s="7" t="s">
        <v>1</v>
      </c>
      <c r="G2" s="8"/>
      <c r="H2" s="9"/>
      <c r="I2" s="10"/>
      <c r="J2" s="6"/>
      <c r="P2" s="12"/>
    </row>
    <row r="3" spans="1:16" ht="36" customHeight="1" x14ac:dyDescent="0.3">
      <c r="A3" s="13" t="s">
        <v>2</v>
      </c>
      <c r="B3" s="14"/>
      <c r="C3" s="14"/>
      <c r="D3" s="15"/>
      <c r="E3" s="17">
        <f>SUBTOTAL(9,E5:E1486)</f>
        <v>1332830</v>
      </c>
      <c r="F3" s="17">
        <f>SUBTOTAL(9,F5:F1486)</f>
        <v>1662497</v>
      </c>
      <c r="G3" s="17">
        <f>SUBTOTAL(9,G5:G1486)</f>
        <v>1492422</v>
      </c>
      <c r="H3" s="17">
        <f>SUBTOTAL(9,H5:H1486)</f>
        <v>1502905</v>
      </c>
      <c r="I3" s="16">
        <f>SUBTOTAL(9,I5:I1486)</f>
        <v>830115</v>
      </c>
      <c r="J3" s="16">
        <f>SUBTOTAL(9,J5:J1486)</f>
        <v>672790</v>
      </c>
      <c r="K3" s="18"/>
      <c r="L3" s="16">
        <f>SUBTOTAL(9,L5:L1486)/1000</f>
        <v>792.87565143875941</v>
      </c>
      <c r="M3" s="16">
        <f>SUBTOTAL(9,M5:M1486)/1000</f>
        <v>1665.2635099999986</v>
      </c>
      <c r="N3" s="16">
        <f>SUBTOTAL(9,N5:N1486)</f>
        <v>103677565.74999994</v>
      </c>
    </row>
    <row r="4" spans="1:16" ht="27.6" x14ac:dyDescent="0.3">
      <c r="A4" s="19" t="s">
        <v>3</v>
      </c>
      <c r="B4" s="20" t="s">
        <v>4</v>
      </c>
      <c r="C4" s="21" t="s">
        <v>5</v>
      </c>
      <c r="D4" s="22" t="s">
        <v>6</v>
      </c>
      <c r="E4" s="23" t="s">
        <v>9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4" t="s">
        <v>12</v>
      </c>
      <c r="L4" s="24" t="s">
        <v>13</v>
      </c>
      <c r="M4" s="24" t="s">
        <v>14</v>
      </c>
      <c r="N4" s="24" t="s">
        <v>15</v>
      </c>
    </row>
    <row r="5" spans="1:16" ht="15" customHeight="1" x14ac:dyDescent="0.3">
      <c r="A5" s="25" t="s">
        <v>16</v>
      </c>
      <c r="B5" s="26" t="s">
        <v>17</v>
      </c>
      <c r="C5" s="26" t="s">
        <v>18</v>
      </c>
      <c r="D5" s="27">
        <v>100</v>
      </c>
      <c r="E5" s="27">
        <v>1930</v>
      </c>
      <c r="F5" s="27">
        <v>0</v>
      </c>
      <c r="G5" s="27">
        <v>146</v>
      </c>
      <c r="H5" s="27">
        <v>1784</v>
      </c>
      <c r="I5" s="27">
        <f>+IFERROR(VLOOKUP(A5,'[1]Pending Dispatch'!$N$2:$O$651,2,0),0)</f>
        <v>65</v>
      </c>
      <c r="J5" s="27">
        <f>+H5-I5</f>
        <v>1719</v>
      </c>
      <c r="K5" s="28">
        <v>0.37</v>
      </c>
      <c r="L5" s="28">
        <v>0.77700000000000002</v>
      </c>
      <c r="M5" s="26">
        <v>78</v>
      </c>
      <c r="N5" s="26">
        <v>134082</v>
      </c>
    </row>
    <row r="6" spans="1:16" ht="15" customHeight="1" x14ac:dyDescent="0.3">
      <c r="A6" s="25" t="s">
        <v>19</v>
      </c>
      <c r="B6" s="26" t="s">
        <v>20</v>
      </c>
      <c r="C6" s="26" t="s">
        <v>18</v>
      </c>
      <c r="D6" s="27">
        <v>55</v>
      </c>
      <c r="E6" s="27">
        <v>18501</v>
      </c>
      <c r="F6" s="27">
        <v>14300</v>
      </c>
      <c r="G6" s="27">
        <v>28300</v>
      </c>
      <c r="H6" s="27">
        <v>4501</v>
      </c>
      <c r="I6" s="27">
        <f>+IFERROR(VLOOKUP(A6,'[1]Pending Dispatch'!$N$2:$O$651,2,0),0)</f>
        <v>12760</v>
      </c>
      <c r="J6" s="27">
        <f t="shared" ref="J6:J69" si="0">+H6-I6</f>
        <v>-8259</v>
      </c>
      <c r="K6" s="28">
        <v>0.62</v>
      </c>
      <c r="L6" s="28">
        <v>2.3969200000000002</v>
      </c>
      <c r="M6" s="26">
        <v>369</v>
      </c>
      <c r="N6" s="26">
        <v>-2745360</v>
      </c>
    </row>
    <row r="7" spans="1:16" ht="15" customHeight="1" x14ac:dyDescent="0.3">
      <c r="A7" s="25" t="s">
        <v>21</v>
      </c>
      <c r="B7" s="26" t="s">
        <v>22</v>
      </c>
      <c r="C7" s="26" t="s">
        <v>18</v>
      </c>
      <c r="D7" s="27">
        <v>30</v>
      </c>
      <c r="E7" s="27">
        <v>1950</v>
      </c>
      <c r="F7" s="27">
        <v>24240</v>
      </c>
      <c r="G7" s="27">
        <v>22760</v>
      </c>
      <c r="H7" s="27">
        <v>3430</v>
      </c>
      <c r="I7" s="27">
        <f>+IFERROR(VLOOKUP(A7,'[1]Pending Dispatch'!$N$2:$O$651,2,0),0)</f>
        <v>8100</v>
      </c>
      <c r="J7" s="27">
        <f t="shared" si="0"/>
        <v>-4670</v>
      </c>
      <c r="K7" s="28">
        <v>0.99</v>
      </c>
      <c r="L7" s="28">
        <v>4.2995700000000001</v>
      </c>
      <c r="M7" s="26">
        <v>169</v>
      </c>
      <c r="N7" s="26">
        <v>-491114</v>
      </c>
    </row>
    <row r="8" spans="1:16" ht="15.75" customHeight="1" x14ac:dyDescent="0.3">
      <c r="A8" s="25" t="s">
        <v>23</v>
      </c>
      <c r="B8" s="26" t="s">
        <v>24</v>
      </c>
      <c r="C8" s="26" t="s">
        <v>18</v>
      </c>
      <c r="D8" s="27">
        <v>20</v>
      </c>
      <c r="E8" s="27">
        <v>1950</v>
      </c>
      <c r="F8" s="27">
        <v>3420</v>
      </c>
      <c r="G8" s="27">
        <v>2900</v>
      </c>
      <c r="H8" s="27">
        <v>2470</v>
      </c>
      <c r="I8" s="27">
        <f>+IFERROR(VLOOKUP(A8,'[1]Pending Dispatch'!$N$2:$O$651,2,0),0)</f>
        <v>2020</v>
      </c>
      <c r="J8" s="27">
        <f t="shared" si="0"/>
        <v>450</v>
      </c>
      <c r="K8" s="28">
        <v>1.52</v>
      </c>
      <c r="L8" s="28">
        <v>2.1857600000000001</v>
      </c>
      <c r="M8" s="26">
        <v>927</v>
      </c>
      <c r="N8" s="26">
        <v>376362</v>
      </c>
    </row>
    <row r="9" spans="1:16" ht="15" customHeight="1" x14ac:dyDescent="0.3">
      <c r="A9" s="25" t="s">
        <v>25</v>
      </c>
      <c r="B9" s="26" t="s">
        <v>26</v>
      </c>
      <c r="C9" s="26" t="s">
        <v>18</v>
      </c>
      <c r="D9" s="27">
        <v>15</v>
      </c>
      <c r="E9" s="27">
        <v>225</v>
      </c>
      <c r="F9" s="27">
        <v>2295</v>
      </c>
      <c r="G9" s="27">
        <v>1307</v>
      </c>
      <c r="H9" s="27">
        <v>1213</v>
      </c>
      <c r="I9" s="27">
        <f>+IFERROR(VLOOKUP(A9,'[1]Pending Dispatch'!$N$2:$O$651,2,0),0)</f>
        <v>570</v>
      </c>
      <c r="J9" s="27">
        <f t="shared" si="0"/>
        <v>643</v>
      </c>
      <c r="K9" s="28">
        <v>2.1</v>
      </c>
      <c r="L9" s="28">
        <v>2.4990000000000001</v>
      </c>
      <c r="M9" s="26">
        <v>1287</v>
      </c>
      <c r="N9" s="26">
        <v>788931</v>
      </c>
    </row>
    <row r="10" spans="1:16" ht="15" customHeight="1" x14ac:dyDescent="0.3">
      <c r="A10" s="25" t="s">
        <v>27</v>
      </c>
      <c r="B10" s="26" t="s">
        <v>28</v>
      </c>
      <c r="C10" s="26" t="s">
        <v>18</v>
      </c>
      <c r="D10" s="27">
        <v>10</v>
      </c>
      <c r="E10" s="27">
        <v>265</v>
      </c>
      <c r="F10" s="27">
        <v>610</v>
      </c>
      <c r="G10" s="27">
        <v>450</v>
      </c>
      <c r="H10" s="27">
        <v>425</v>
      </c>
      <c r="I10" s="27">
        <f>+IFERROR(VLOOKUP(A10,'[1]Pending Dispatch'!$N$2:$O$651,2,0),0)</f>
        <v>240</v>
      </c>
      <c r="J10" s="27">
        <f t="shared" si="0"/>
        <v>185</v>
      </c>
      <c r="K10" s="28">
        <v>3.58</v>
      </c>
      <c r="L10" s="28">
        <v>5.43086</v>
      </c>
      <c r="M10" s="26">
        <v>2196</v>
      </c>
      <c r="N10" s="26">
        <v>362340</v>
      </c>
    </row>
    <row r="11" spans="1:16" ht="15" customHeight="1" x14ac:dyDescent="0.3">
      <c r="A11" s="25" t="s">
        <v>29</v>
      </c>
      <c r="B11" s="26" t="s">
        <v>30</v>
      </c>
      <c r="C11" s="26" t="s">
        <v>18</v>
      </c>
      <c r="D11" s="27">
        <v>5</v>
      </c>
      <c r="E11" s="27">
        <v>3</v>
      </c>
      <c r="F11" s="27">
        <v>0</v>
      </c>
      <c r="G11" s="27">
        <v>0</v>
      </c>
      <c r="H11" s="27">
        <v>3</v>
      </c>
      <c r="I11" s="27">
        <f>+IFERROR(VLOOKUP(A11,'[1]Pending Dispatch'!$N$2:$O$651,2,0),0)</f>
        <v>0</v>
      </c>
      <c r="J11" s="27">
        <f t="shared" si="0"/>
        <v>3</v>
      </c>
      <c r="K11" s="28">
        <v>6.6</v>
      </c>
      <c r="L11" s="28">
        <v>1.9799999999999998E-2</v>
      </c>
      <c r="M11" s="26">
        <v>4480</v>
      </c>
      <c r="N11" s="26">
        <v>13440</v>
      </c>
    </row>
    <row r="12" spans="1:16" ht="15" customHeight="1" x14ac:dyDescent="0.3">
      <c r="A12" s="25" t="s">
        <v>31</v>
      </c>
      <c r="B12" s="26" t="s">
        <v>32</v>
      </c>
      <c r="C12" s="26" t="s">
        <v>18</v>
      </c>
      <c r="D12" s="27">
        <v>4</v>
      </c>
      <c r="E12" s="27">
        <v>100</v>
      </c>
      <c r="F12" s="27">
        <v>0</v>
      </c>
      <c r="G12" s="27">
        <v>0</v>
      </c>
      <c r="H12" s="27">
        <v>100</v>
      </c>
      <c r="I12" s="27">
        <f>+IFERROR(VLOOKUP(A12,'[1]Pending Dispatch'!$N$2:$O$651,2,0),0)</f>
        <v>0</v>
      </c>
      <c r="J12" s="27">
        <f t="shared" si="0"/>
        <v>100</v>
      </c>
      <c r="K12" s="28">
        <v>8.6</v>
      </c>
      <c r="L12" s="28">
        <v>1.2212000000000001</v>
      </c>
      <c r="M12" s="26">
        <v>48</v>
      </c>
      <c r="N12" s="26">
        <v>4800</v>
      </c>
    </row>
    <row r="13" spans="1:16" ht="15" customHeight="1" x14ac:dyDescent="0.3">
      <c r="A13" s="25" t="s">
        <v>33</v>
      </c>
      <c r="B13" s="26" t="s">
        <v>34</v>
      </c>
      <c r="C13" s="26" t="s">
        <v>18</v>
      </c>
      <c r="D13" s="27">
        <v>2</v>
      </c>
      <c r="E13" s="27">
        <v>256</v>
      </c>
      <c r="F13" s="27">
        <v>0</v>
      </c>
      <c r="G13" s="27">
        <v>0</v>
      </c>
      <c r="H13" s="27">
        <v>256</v>
      </c>
      <c r="I13" s="27">
        <f>+IFERROR(VLOOKUP(A13,'[1]Pending Dispatch'!$N$2:$O$651,2,0),0)</f>
        <v>0</v>
      </c>
      <c r="J13" s="27">
        <f t="shared" si="0"/>
        <v>256</v>
      </c>
      <c r="K13" s="28">
        <v>12.5</v>
      </c>
      <c r="L13" s="28">
        <v>3.4</v>
      </c>
      <c r="M13" s="26">
        <v>126</v>
      </c>
      <c r="N13" s="26">
        <v>32256</v>
      </c>
    </row>
    <row r="14" spans="1:16" ht="15" customHeight="1" x14ac:dyDescent="0.3">
      <c r="A14" s="25" t="s">
        <v>35</v>
      </c>
      <c r="B14" s="26" t="s">
        <v>36</v>
      </c>
      <c r="C14" s="26" t="s">
        <v>18</v>
      </c>
      <c r="D14" s="27">
        <v>1</v>
      </c>
      <c r="E14" s="27">
        <v>0</v>
      </c>
      <c r="F14" s="27">
        <v>0</v>
      </c>
      <c r="G14" s="27">
        <v>0</v>
      </c>
      <c r="H14" s="27">
        <v>0</v>
      </c>
      <c r="I14" s="27">
        <f>+IFERROR(VLOOKUP(A14,'[1]Pending Dispatch'!$N$2:$O$651,2,0),0)</f>
        <v>0</v>
      </c>
      <c r="J14" s="27">
        <f t="shared" si="0"/>
        <v>0</v>
      </c>
      <c r="K14" s="28">
        <v>0</v>
      </c>
      <c r="L14" s="28">
        <v>0</v>
      </c>
      <c r="M14" s="26">
        <v>16800</v>
      </c>
      <c r="N14" s="26">
        <v>0</v>
      </c>
    </row>
    <row r="15" spans="1:16" ht="15" customHeight="1" x14ac:dyDescent="0.3">
      <c r="A15" s="25" t="s">
        <v>37</v>
      </c>
      <c r="B15" s="26" t="s">
        <v>38</v>
      </c>
      <c r="C15" s="26" t="s">
        <v>18</v>
      </c>
      <c r="D15" s="27">
        <v>100</v>
      </c>
      <c r="E15" s="27">
        <v>986</v>
      </c>
      <c r="F15" s="27">
        <v>0</v>
      </c>
      <c r="G15" s="27">
        <v>0</v>
      </c>
      <c r="H15" s="27">
        <v>986</v>
      </c>
      <c r="I15" s="27">
        <f>+IFERROR(VLOOKUP(A15,'[1]Pending Dispatch'!$N$2:$O$651,2,0),0)</f>
        <v>600</v>
      </c>
      <c r="J15" s="27">
        <f t="shared" si="0"/>
        <v>386</v>
      </c>
      <c r="K15" s="28">
        <v>0.35</v>
      </c>
      <c r="L15" s="28">
        <v>0.38009999999999999</v>
      </c>
      <c r="M15" s="26">
        <v>219</v>
      </c>
      <c r="N15" s="26">
        <v>84534</v>
      </c>
    </row>
    <row r="16" spans="1:16" ht="15" customHeight="1" x14ac:dyDescent="0.3">
      <c r="A16" s="25" t="s">
        <v>39</v>
      </c>
      <c r="B16" s="26" t="s">
        <v>40</v>
      </c>
      <c r="C16" s="26" t="s">
        <v>18</v>
      </c>
      <c r="D16" s="27">
        <v>55</v>
      </c>
      <c r="E16" s="27">
        <v>2787</v>
      </c>
      <c r="F16" s="27">
        <v>29645</v>
      </c>
      <c r="G16" s="27">
        <v>16100</v>
      </c>
      <c r="H16" s="27">
        <v>16332</v>
      </c>
      <c r="I16" s="27">
        <f>+IFERROR(VLOOKUP(A16,'[1]Pending Dispatch'!$N$2:$O$651,2,0),0)</f>
        <v>4116</v>
      </c>
      <c r="J16" s="27">
        <f t="shared" si="0"/>
        <v>12216</v>
      </c>
      <c r="K16" s="28">
        <v>0.52</v>
      </c>
      <c r="L16" s="28">
        <v>0.37180000000000002</v>
      </c>
      <c r="M16" s="26">
        <v>324</v>
      </c>
      <c r="N16" s="26">
        <v>3957984</v>
      </c>
    </row>
    <row r="17" spans="1:14" ht="15" customHeight="1" x14ac:dyDescent="0.3">
      <c r="A17" s="25" t="s">
        <v>41</v>
      </c>
      <c r="B17" s="26" t="s">
        <v>42</v>
      </c>
      <c r="C17" s="26" t="s">
        <v>18</v>
      </c>
      <c r="D17" s="27">
        <v>30</v>
      </c>
      <c r="E17" s="27">
        <v>6493</v>
      </c>
      <c r="F17" s="27">
        <v>9840</v>
      </c>
      <c r="G17" s="27">
        <v>14227</v>
      </c>
      <c r="H17" s="27">
        <v>2106</v>
      </c>
      <c r="I17" s="27">
        <f>+IFERROR(VLOOKUP(A17,'[1]Pending Dispatch'!$N$2:$O$651,2,0),0)</f>
        <v>3705</v>
      </c>
      <c r="J17" s="27">
        <f t="shared" si="0"/>
        <v>-1599</v>
      </c>
      <c r="K17" s="28">
        <v>0.8</v>
      </c>
      <c r="L17" s="28">
        <v>1.36</v>
      </c>
      <c r="M17" s="26">
        <v>498</v>
      </c>
      <c r="N17" s="26">
        <v>-796302</v>
      </c>
    </row>
    <row r="18" spans="1:14" ht="15" customHeight="1" x14ac:dyDescent="0.3">
      <c r="A18" s="25" t="s">
        <v>43</v>
      </c>
      <c r="B18" s="26" t="s">
        <v>44</v>
      </c>
      <c r="C18" s="26" t="s">
        <v>18</v>
      </c>
      <c r="D18" s="27">
        <v>20</v>
      </c>
      <c r="E18" s="27">
        <v>1898</v>
      </c>
      <c r="F18" s="27">
        <v>3960</v>
      </c>
      <c r="G18" s="27">
        <v>4967</v>
      </c>
      <c r="H18" s="27">
        <v>891</v>
      </c>
      <c r="I18" s="27">
        <f>+IFERROR(VLOOKUP(A18,'[1]Pending Dispatch'!$N$2:$O$651,2,0),0)</f>
        <v>640</v>
      </c>
      <c r="J18" s="27">
        <f t="shared" si="0"/>
        <v>251</v>
      </c>
      <c r="K18" s="28">
        <v>1.25</v>
      </c>
      <c r="L18" s="28">
        <v>4.6849999999999996</v>
      </c>
      <c r="M18" s="26">
        <v>778</v>
      </c>
      <c r="N18" s="26">
        <v>195278</v>
      </c>
    </row>
    <row r="19" spans="1:14" ht="15" customHeight="1" x14ac:dyDescent="0.3">
      <c r="A19" s="25" t="s">
        <v>45</v>
      </c>
      <c r="B19" s="26" t="s">
        <v>46</v>
      </c>
      <c r="C19" s="26" t="s">
        <v>18</v>
      </c>
      <c r="D19" s="27">
        <v>15</v>
      </c>
      <c r="E19" s="27">
        <v>1095</v>
      </c>
      <c r="F19" s="27">
        <v>7290</v>
      </c>
      <c r="G19" s="27">
        <v>4155</v>
      </c>
      <c r="H19" s="27">
        <v>4230</v>
      </c>
      <c r="I19" s="27">
        <f>+IFERROR(VLOOKUP(A19,'[1]Pending Dispatch'!$N$2:$O$651,2,0),0)</f>
        <v>225</v>
      </c>
      <c r="J19" s="27">
        <f t="shared" si="0"/>
        <v>4005</v>
      </c>
      <c r="K19" s="28">
        <v>1.75</v>
      </c>
      <c r="L19" s="28">
        <v>0.57750000000000001</v>
      </c>
      <c r="M19" s="26">
        <v>1092</v>
      </c>
      <c r="N19" s="26">
        <v>4373460</v>
      </c>
    </row>
    <row r="20" spans="1:14" ht="16.2" customHeight="1" x14ac:dyDescent="0.3">
      <c r="A20" s="25" t="s">
        <v>47</v>
      </c>
      <c r="B20" s="26" t="s">
        <v>46</v>
      </c>
      <c r="C20" s="26" t="s">
        <v>18</v>
      </c>
      <c r="D20" s="27">
        <v>10</v>
      </c>
      <c r="E20" s="27">
        <v>8</v>
      </c>
      <c r="F20" s="27">
        <v>1500</v>
      </c>
      <c r="G20" s="27">
        <v>1090</v>
      </c>
      <c r="H20" s="27">
        <v>418</v>
      </c>
      <c r="I20" s="27">
        <f>+IFERROR(VLOOKUP(A20,'[1]Pending Dispatch'!$N$2:$O$651,2,0),0)</f>
        <v>150</v>
      </c>
      <c r="J20" s="27">
        <f t="shared" si="0"/>
        <v>268</v>
      </c>
      <c r="K20" s="28">
        <v>3</v>
      </c>
      <c r="L20" s="28">
        <v>0.46800000000000003</v>
      </c>
      <c r="M20" s="26">
        <v>1842</v>
      </c>
      <c r="N20" s="26">
        <v>493656</v>
      </c>
    </row>
    <row r="21" spans="1:14" ht="15" customHeight="1" x14ac:dyDescent="0.3">
      <c r="A21" s="25" t="s">
        <v>48</v>
      </c>
      <c r="B21" s="26" t="s">
        <v>49</v>
      </c>
      <c r="C21" s="26" t="s">
        <v>18</v>
      </c>
      <c r="D21" s="27">
        <v>5</v>
      </c>
      <c r="E21" s="27">
        <v>109</v>
      </c>
      <c r="F21" s="27">
        <v>0</v>
      </c>
      <c r="G21" s="27">
        <v>5</v>
      </c>
      <c r="H21" s="27">
        <v>104</v>
      </c>
      <c r="I21" s="27">
        <f>+IFERROR(VLOOKUP(A21,'[1]Pending Dispatch'!$N$2:$O$651,2,0),0)</f>
        <v>0</v>
      </c>
      <c r="J21" s="27">
        <f t="shared" si="0"/>
        <v>104</v>
      </c>
      <c r="K21" s="28">
        <v>4.7</v>
      </c>
      <c r="L21" s="28">
        <v>0.6533000000000001</v>
      </c>
      <c r="M21" s="26">
        <v>3390</v>
      </c>
      <c r="N21" s="26">
        <v>352560</v>
      </c>
    </row>
    <row r="22" spans="1:14" ht="15" customHeight="1" x14ac:dyDescent="0.3">
      <c r="A22" s="25" t="s">
        <v>50</v>
      </c>
      <c r="B22" s="26" t="s">
        <v>51</v>
      </c>
      <c r="C22" s="26" t="s">
        <v>18</v>
      </c>
      <c r="D22" s="27">
        <v>4</v>
      </c>
      <c r="E22" s="27">
        <v>88</v>
      </c>
      <c r="F22" s="27">
        <v>536</v>
      </c>
      <c r="G22" s="27">
        <v>177</v>
      </c>
      <c r="H22" s="27">
        <v>447</v>
      </c>
      <c r="I22" s="27">
        <f>+IFERROR(VLOOKUP(A22,'[1]Pending Dispatch'!$N$2:$O$651,2,0),0)</f>
        <v>0</v>
      </c>
      <c r="J22" s="27">
        <f t="shared" si="0"/>
        <v>447</v>
      </c>
      <c r="K22" s="28">
        <v>6.6</v>
      </c>
      <c r="L22" s="28">
        <v>0.89100000000000001</v>
      </c>
      <c r="M22" s="26">
        <v>4490</v>
      </c>
      <c r="N22" s="26">
        <v>2007030</v>
      </c>
    </row>
    <row r="23" spans="1:14" ht="15" customHeight="1" x14ac:dyDescent="0.3">
      <c r="A23" s="25" t="s">
        <v>52</v>
      </c>
      <c r="B23" s="26" t="s">
        <v>53</v>
      </c>
      <c r="C23" s="26" t="s">
        <v>18</v>
      </c>
      <c r="D23" s="27">
        <v>2</v>
      </c>
      <c r="E23" s="27">
        <v>154</v>
      </c>
      <c r="F23" s="27">
        <v>0</v>
      </c>
      <c r="G23" s="27">
        <v>77</v>
      </c>
      <c r="H23" s="27">
        <v>77</v>
      </c>
      <c r="I23" s="27">
        <f>+IFERROR(VLOOKUP(A23,'[1]Pending Dispatch'!$N$2:$O$651,2,0),0)</f>
        <v>0</v>
      </c>
      <c r="J23" s="27">
        <f t="shared" si="0"/>
        <v>77</v>
      </c>
      <c r="K23" s="28">
        <v>9.8000000000000007</v>
      </c>
      <c r="L23" s="28">
        <v>2.3618000000000001</v>
      </c>
      <c r="M23" s="26">
        <v>6390</v>
      </c>
      <c r="N23" s="26">
        <v>492030</v>
      </c>
    </row>
    <row r="24" spans="1:14" ht="15" customHeight="1" x14ac:dyDescent="0.3">
      <c r="A24" s="25" t="s">
        <v>54</v>
      </c>
      <c r="B24" s="26" t="s">
        <v>55</v>
      </c>
      <c r="C24" s="26" t="s">
        <v>18</v>
      </c>
      <c r="D24" s="27">
        <v>1</v>
      </c>
      <c r="E24" s="27">
        <v>0</v>
      </c>
      <c r="F24" s="27">
        <v>0</v>
      </c>
      <c r="G24" s="27">
        <v>0</v>
      </c>
      <c r="H24" s="27">
        <v>0</v>
      </c>
      <c r="I24" s="27">
        <f>+IFERROR(VLOOKUP(A24,'[1]Pending Dispatch'!$N$2:$O$651,2,0),0)</f>
        <v>0</v>
      </c>
      <c r="J24" s="27">
        <f t="shared" si="0"/>
        <v>0</v>
      </c>
      <c r="K24" s="28">
        <v>0</v>
      </c>
      <c r="L24" s="28">
        <v>0</v>
      </c>
      <c r="M24" s="26">
        <v>10990</v>
      </c>
      <c r="N24" s="26">
        <v>0</v>
      </c>
    </row>
    <row r="25" spans="1:14" ht="15" customHeight="1" x14ac:dyDescent="0.3">
      <c r="A25" s="25" t="s">
        <v>56</v>
      </c>
      <c r="B25" s="26" t="s">
        <v>17</v>
      </c>
      <c r="C25" s="26" t="s">
        <v>18</v>
      </c>
      <c r="D25" s="27">
        <v>100</v>
      </c>
      <c r="E25" s="27">
        <v>68</v>
      </c>
      <c r="F25" s="27">
        <v>0</v>
      </c>
      <c r="G25" s="27">
        <v>0</v>
      </c>
      <c r="H25" s="27">
        <v>68</v>
      </c>
      <c r="I25" s="27">
        <f>+IFERROR(VLOOKUP(A25,'[1]Pending Dispatch'!$N$2:$O$651,2,0),0)</f>
        <v>0</v>
      </c>
      <c r="J25" s="27">
        <f t="shared" si="0"/>
        <v>68</v>
      </c>
      <c r="K25" s="28">
        <v>0.6166666666666667</v>
      </c>
      <c r="L25" s="28">
        <v>4.1933333333333336E-2</v>
      </c>
      <c r="M25" s="26">
        <v>395</v>
      </c>
      <c r="N25" s="26">
        <v>26860</v>
      </c>
    </row>
    <row r="26" spans="1:14" ht="15" customHeight="1" x14ac:dyDescent="0.3">
      <c r="A26" s="25" t="s">
        <v>57</v>
      </c>
      <c r="B26" s="26" t="s">
        <v>20</v>
      </c>
      <c r="C26" s="26" t="s">
        <v>18</v>
      </c>
      <c r="D26" s="27">
        <v>55</v>
      </c>
      <c r="E26" s="27">
        <v>369</v>
      </c>
      <c r="F26" s="27">
        <v>0</v>
      </c>
      <c r="G26" s="27">
        <v>0</v>
      </c>
      <c r="H26" s="27">
        <v>369</v>
      </c>
      <c r="I26" s="27">
        <f>+IFERROR(VLOOKUP(A26,'[1]Pending Dispatch'!$N$2:$O$651,2,0),0)</f>
        <v>715</v>
      </c>
      <c r="J26" s="27">
        <f t="shared" si="0"/>
        <v>-346</v>
      </c>
      <c r="K26" s="28">
        <v>1.0333333333333332</v>
      </c>
      <c r="L26" s="28">
        <v>1.3433333333333332E-2</v>
      </c>
      <c r="M26" s="26">
        <v>615</v>
      </c>
      <c r="N26" s="26">
        <v>-212790</v>
      </c>
    </row>
    <row r="27" spans="1:14" ht="15" customHeight="1" x14ac:dyDescent="0.3">
      <c r="A27" s="25" t="s">
        <v>58</v>
      </c>
      <c r="B27" s="26" t="s">
        <v>22</v>
      </c>
      <c r="C27" s="26" t="s">
        <v>18</v>
      </c>
      <c r="D27" s="27">
        <v>30</v>
      </c>
      <c r="E27" s="27">
        <v>122</v>
      </c>
      <c r="F27" s="27">
        <v>0</v>
      </c>
      <c r="G27" s="27">
        <v>0</v>
      </c>
      <c r="H27" s="27">
        <v>122</v>
      </c>
      <c r="I27" s="27">
        <f>+IFERROR(VLOOKUP(A27,'[1]Pending Dispatch'!$N$2:$O$651,2,0),0)</f>
        <v>105</v>
      </c>
      <c r="J27" s="27">
        <f t="shared" si="0"/>
        <v>17</v>
      </c>
      <c r="K27" s="28">
        <v>1.6500000000000001</v>
      </c>
      <c r="L27" s="28">
        <v>0.20130000000000001</v>
      </c>
      <c r="M27" s="26">
        <v>995</v>
      </c>
      <c r="N27" s="26">
        <v>16915</v>
      </c>
    </row>
    <row r="28" spans="1:14" ht="15" customHeight="1" x14ac:dyDescent="0.3">
      <c r="A28" s="25" t="s">
        <v>59</v>
      </c>
      <c r="B28" s="26" t="s">
        <v>24</v>
      </c>
      <c r="C28" s="26" t="s">
        <v>18</v>
      </c>
      <c r="D28" s="27">
        <v>20</v>
      </c>
      <c r="E28" s="27">
        <v>45</v>
      </c>
      <c r="F28" s="27">
        <v>0</v>
      </c>
      <c r="G28" s="27">
        <v>0</v>
      </c>
      <c r="H28" s="27">
        <v>45</v>
      </c>
      <c r="I28" s="27">
        <f>+IFERROR(VLOOKUP(A28,'[1]Pending Dispatch'!$N$2:$O$651,2,0),0)</f>
        <v>0</v>
      </c>
      <c r="J28" s="27">
        <f t="shared" si="0"/>
        <v>45</v>
      </c>
      <c r="K28" s="28">
        <v>2.5333333333333337</v>
      </c>
      <c r="L28" s="28">
        <v>0.11400000000000002</v>
      </c>
      <c r="M28" s="26">
        <v>1545</v>
      </c>
      <c r="N28" s="26">
        <v>69525</v>
      </c>
    </row>
    <row r="29" spans="1:14" ht="15" customHeight="1" x14ac:dyDescent="0.3">
      <c r="A29" s="25" t="s">
        <v>60</v>
      </c>
      <c r="B29" s="26" t="s">
        <v>26</v>
      </c>
      <c r="C29" s="26" t="s">
        <v>18</v>
      </c>
      <c r="D29" s="27">
        <v>15</v>
      </c>
      <c r="E29" s="27">
        <v>934</v>
      </c>
      <c r="F29" s="27">
        <v>0</v>
      </c>
      <c r="G29" s="27">
        <v>0</v>
      </c>
      <c r="H29" s="27">
        <v>934</v>
      </c>
      <c r="I29" s="27">
        <f>+IFERROR(VLOOKUP(A29,'[1]Pending Dispatch'!$N$2:$O$651,2,0),0)</f>
        <v>0</v>
      </c>
      <c r="J29" s="27">
        <f t="shared" si="0"/>
        <v>934</v>
      </c>
      <c r="K29" s="28">
        <v>3.5000000000000004</v>
      </c>
      <c r="L29" s="28">
        <v>3.5315000000000003</v>
      </c>
      <c r="M29" s="26">
        <v>2145</v>
      </c>
      <c r="N29" s="26">
        <v>2003430</v>
      </c>
    </row>
    <row r="30" spans="1:14" ht="15" customHeight="1" x14ac:dyDescent="0.3">
      <c r="A30" s="25" t="s">
        <v>61</v>
      </c>
      <c r="B30" s="26" t="s">
        <v>28</v>
      </c>
      <c r="C30" s="26" t="s">
        <v>18</v>
      </c>
      <c r="D30" s="27">
        <v>10</v>
      </c>
      <c r="E30" s="27">
        <v>0</v>
      </c>
      <c r="F30" s="27">
        <v>0</v>
      </c>
      <c r="G30" s="27">
        <v>0</v>
      </c>
      <c r="H30" s="27">
        <v>0</v>
      </c>
      <c r="I30" s="27">
        <f>+IFERROR(VLOOKUP(A30,'[1]Pending Dispatch'!$N$2:$O$651,2,0),0)</f>
        <v>0</v>
      </c>
      <c r="J30" s="27">
        <f t="shared" si="0"/>
        <v>0</v>
      </c>
      <c r="K30" s="28">
        <v>5.9666666666666668</v>
      </c>
      <c r="L30" s="28">
        <v>0</v>
      </c>
      <c r="M30" s="26">
        <v>3660</v>
      </c>
      <c r="N30" s="26">
        <v>0</v>
      </c>
    </row>
    <row r="31" spans="1:14" ht="15" customHeight="1" x14ac:dyDescent="0.3">
      <c r="A31" s="25" t="s">
        <v>62</v>
      </c>
      <c r="B31" s="26" t="s">
        <v>63</v>
      </c>
      <c r="C31" s="26" t="s">
        <v>18</v>
      </c>
      <c r="D31" s="27">
        <v>5</v>
      </c>
      <c r="E31" s="27">
        <v>0</v>
      </c>
      <c r="F31" s="27">
        <v>0</v>
      </c>
      <c r="G31" s="27">
        <v>0</v>
      </c>
      <c r="H31" s="27">
        <v>0</v>
      </c>
      <c r="I31" s="27">
        <f>+IFERROR(VLOOKUP(A31,'[1]Pending Dispatch'!$N$2:$O$651,2,0),0)</f>
        <v>0</v>
      </c>
      <c r="J31" s="27">
        <f t="shared" si="0"/>
        <v>0</v>
      </c>
      <c r="K31" s="28">
        <v>10.999999999999998</v>
      </c>
      <c r="L31" s="28">
        <v>0</v>
      </c>
      <c r="M31" s="26">
        <v>7466.67</v>
      </c>
      <c r="N31" s="26">
        <v>0</v>
      </c>
    </row>
    <row r="32" spans="1:14" ht="15" customHeight="1" x14ac:dyDescent="0.3">
      <c r="A32" s="25" t="s">
        <v>64</v>
      </c>
      <c r="B32" s="26" t="s">
        <v>65</v>
      </c>
      <c r="C32" s="26" t="s">
        <v>18</v>
      </c>
      <c r="D32" s="27">
        <v>4</v>
      </c>
      <c r="E32" s="27">
        <v>2</v>
      </c>
      <c r="F32" s="27">
        <v>0</v>
      </c>
      <c r="G32" s="27">
        <v>0</v>
      </c>
      <c r="H32" s="27">
        <v>2</v>
      </c>
      <c r="I32" s="27">
        <f>+IFERROR(VLOOKUP(A32,'[1]Pending Dispatch'!$N$2:$O$651,2,0),0)</f>
        <v>0</v>
      </c>
      <c r="J32" s="27">
        <f t="shared" si="0"/>
        <v>2</v>
      </c>
      <c r="K32" s="28">
        <v>14.333333333333334</v>
      </c>
      <c r="L32" s="28">
        <v>2.8666666666666667E-2</v>
      </c>
      <c r="M32" s="26">
        <v>9966.67</v>
      </c>
      <c r="N32" s="26">
        <v>19933.34</v>
      </c>
    </row>
    <row r="33" spans="1:16" ht="15" customHeight="1" x14ac:dyDescent="0.3">
      <c r="A33" s="25" t="s">
        <v>66</v>
      </c>
      <c r="B33" s="26" t="s">
        <v>67</v>
      </c>
      <c r="C33" s="26" t="s">
        <v>18</v>
      </c>
      <c r="D33" s="27">
        <v>2</v>
      </c>
      <c r="E33" s="27">
        <v>0</v>
      </c>
      <c r="F33" s="27">
        <v>0</v>
      </c>
      <c r="G33" s="27">
        <v>0</v>
      </c>
      <c r="H33" s="27">
        <v>0</v>
      </c>
      <c r="I33" s="27">
        <f>+IFERROR(VLOOKUP(A33,'[1]Pending Dispatch'!$N$2:$O$651,2,0),0)</f>
        <v>0</v>
      </c>
      <c r="J33" s="27">
        <f t="shared" si="0"/>
        <v>0</v>
      </c>
      <c r="K33" s="28">
        <v>20.833333333333336</v>
      </c>
      <c r="L33" s="28">
        <v>0</v>
      </c>
      <c r="M33" s="26">
        <v>14466.67</v>
      </c>
      <c r="N33" s="26">
        <v>0</v>
      </c>
    </row>
    <row r="34" spans="1:16" ht="15" customHeight="1" x14ac:dyDescent="0.3">
      <c r="A34" s="25" t="s">
        <v>68</v>
      </c>
      <c r="B34" s="26" t="s">
        <v>69</v>
      </c>
      <c r="C34" s="26" t="s">
        <v>18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f>+IFERROR(VLOOKUP(A34,'[1]Pending Dispatch'!$N$2:$O$651,2,0),0)</f>
        <v>0</v>
      </c>
      <c r="J34" s="27">
        <f t="shared" si="0"/>
        <v>0</v>
      </c>
      <c r="K34" s="28">
        <v>0</v>
      </c>
      <c r="L34" s="28">
        <v>0</v>
      </c>
      <c r="M34" s="26">
        <v>28000</v>
      </c>
      <c r="N34" s="26">
        <v>0</v>
      </c>
    </row>
    <row r="35" spans="1:16" ht="15" customHeight="1" x14ac:dyDescent="0.3">
      <c r="A35" s="25" t="s">
        <v>70</v>
      </c>
      <c r="B35" s="26" t="s">
        <v>38</v>
      </c>
      <c r="C35" s="26" t="s">
        <v>18</v>
      </c>
      <c r="D35" s="27">
        <v>100</v>
      </c>
      <c r="E35" s="27">
        <v>0</v>
      </c>
      <c r="F35" s="27">
        <v>0</v>
      </c>
      <c r="G35" s="27">
        <v>0</v>
      </c>
      <c r="H35" s="27">
        <v>0</v>
      </c>
      <c r="I35" s="27">
        <f>+IFERROR(VLOOKUP(A35,'[1]Pending Dispatch'!$N$2:$O$651,2,0),0)</f>
        <v>0</v>
      </c>
      <c r="J35" s="27">
        <f t="shared" si="0"/>
        <v>0</v>
      </c>
      <c r="K35" s="28">
        <v>0.58333333333333326</v>
      </c>
      <c r="L35" s="28">
        <v>0</v>
      </c>
      <c r="M35" s="26">
        <v>365</v>
      </c>
      <c r="N35" s="26">
        <v>0</v>
      </c>
    </row>
    <row r="36" spans="1:16" ht="15" customHeight="1" x14ac:dyDescent="0.3">
      <c r="A36" s="25" t="s">
        <v>71</v>
      </c>
      <c r="B36" s="26" t="s">
        <v>40</v>
      </c>
      <c r="C36" s="26" t="s">
        <v>18</v>
      </c>
      <c r="D36" s="27">
        <v>55</v>
      </c>
      <c r="E36" s="27">
        <v>0</v>
      </c>
      <c r="F36" s="27">
        <v>15</v>
      </c>
      <c r="G36" s="27">
        <v>15</v>
      </c>
      <c r="H36" s="27">
        <v>0</v>
      </c>
      <c r="I36" s="27">
        <f>+IFERROR(VLOOKUP(A36,'[1]Pending Dispatch'!$N$2:$O$651,2,0),0)</f>
        <v>0</v>
      </c>
      <c r="J36" s="27">
        <f t="shared" si="0"/>
        <v>0</v>
      </c>
      <c r="K36" s="28">
        <v>0.8666666666666667</v>
      </c>
      <c r="L36" s="28">
        <v>0</v>
      </c>
      <c r="M36" s="26">
        <v>540</v>
      </c>
      <c r="N36" s="26">
        <v>0</v>
      </c>
    </row>
    <row r="37" spans="1:16" ht="15" customHeight="1" x14ac:dyDescent="0.3">
      <c r="A37" s="25" t="s">
        <v>72</v>
      </c>
      <c r="B37" s="26" t="s">
        <v>42</v>
      </c>
      <c r="C37" s="26" t="s">
        <v>18</v>
      </c>
      <c r="D37" s="27">
        <v>30</v>
      </c>
      <c r="E37" s="27">
        <v>0</v>
      </c>
      <c r="F37" s="27">
        <v>0</v>
      </c>
      <c r="G37" s="27">
        <v>0</v>
      </c>
      <c r="H37" s="27">
        <v>0</v>
      </c>
      <c r="I37" s="27">
        <f>+IFERROR(VLOOKUP(A37,'[1]Pending Dispatch'!$N$2:$O$651,2,0),0)</f>
        <v>0</v>
      </c>
      <c r="J37" s="27">
        <f t="shared" si="0"/>
        <v>0</v>
      </c>
      <c r="K37" s="28">
        <v>1.3333333333333333</v>
      </c>
      <c r="L37" s="28">
        <v>0</v>
      </c>
      <c r="M37" s="26">
        <v>830</v>
      </c>
      <c r="N37" s="26">
        <v>0</v>
      </c>
    </row>
    <row r="38" spans="1:16" ht="15" customHeight="1" x14ac:dyDescent="0.3">
      <c r="A38" s="25" t="s">
        <v>73</v>
      </c>
      <c r="B38" s="26" t="s">
        <v>44</v>
      </c>
      <c r="C38" s="26" t="s">
        <v>18</v>
      </c>
      <c r="D38" s="27">
        <v>20</v>
      </c>
      <c r="E38" s="27">
        <v>0</v>
      </c>
      <c r="F38" s="27">
        <v>0</v>
      </c>
      <c r="G38" s="27">
        <v>0</v>
      </c>
      <c r="H38" s="27">
        <v>0</v>
      </c>
      <c r="I38" s="27">
        <f>+IFERROR(VLOOKUP(A38,'[1]Pending Dispatch'!$N$2:$O$651,2,0),0)</f>
        <v>0</v>
      </c>
      <c r="J38" s="27">
        <f t="shared" si="0"/>
        <v>0</v>
      </c>
      <c r="K38" s="28">
        <v>2.0833333333333335</v>
      </c>
      <c r="L38" s="28">
        <v>0</v>
      </c>
      <c r="M38" s="26">
        <v>1296.67</v>
      </c>
      <c r="N38" s="26">
        <v>0</v>
      </c>
    </row>
    <row r="39" spans="1:16" ht="15" customHeight="1" x14ac:dyDescent="0.3">
      <c r="A39" s="25" t="s">
        <v>74</v>
      </c>
      <c r="B39" s="26" t="s">
        <v>46</v>
      </c>
      <c r="C39" s="26" t="s">
        <v>18</v>
      </c>
      <c r="D39" s="27">
        <v>15</v>
      </c>
      <c r="E39" s="27">
        <v>30</v>
      </c>
      <c r="F39" s="27">
        <v>0</v>
      </c>
      <c r="G39" s="27">
        <v>0</v>
      </c>
      <c r="H39" s="27">
        <v>30</v>
      </c>
      <c r="I39" s="27">
        <f>+IFERROR(VLOOKUP(A39,'[1]Pending Dispatch'!$N$2:$O$651,2,0),0)</f>
        <v>0</v>
      </c>
      <c r="J39" s="27">
        <f t="shared" si="0"/>
        <v>30</v>
      </c>
      <c r="K39" s="28">
        <v>2.916666666666667</v>
      </c>
      <c r="L39" s="28">
        <v>8.7500000000000008E-2</v>
      </c>
      <c r="M39" s="26">
        <v>1820</v>
      </c>
      <c r="N39" s="26">
        <v>54600</v>
      </c>
    </row>
    <row r="40" spans="1:16" ht="15" customHeight="1" x14ac:dyDescent="0.3">
      <c r="A40" s="25" t="s">
        <v>75</v>
      </c>
      <c r="B40" s="26" t="s">
        <v>76</v>
      </c>
      <c r="C40" s="26" t="s">
        <v>18</v>
      </c>
      <c r="D40" s="27">
        <v>10</v>
      </c>
      <c r="E40" s="27">
        <v>0</v>
      </c>
      <c r="F40" s="27">
        <v>0</v>
      </c>
      <c r="G40" s="27">
        <v>0</v>
      </c>
      <c r="H40" s="27">
        <v>0</v>
      </c>
      <c r="I40" s="27">
        <f>+IFERROR(VLOOKUP(A40,'[1]Pending Dispatch'!$N$2:$O$651,2,0),0)</f>
        <v>0</v>
      </c>
      <c r="J40" s="27">
        <f t="shared" si="0"/>
        <v>0</v>
      </c>
      <c r="K40" s="28">
        <v>5</v>
      </c>
      <c r="L40" s="28">
        <v>0</v>
      </c>
      <c r="M40" s="26">
        <v>3070</v>
      </c>
      <c r="N40" s="26">
        <v>0</v>
      </c>
    </row>
    <row r="41" spans="1:16" ht="15" customHeight="1" x14ac:dyDescent="0.3">
      <c r="A41" s="25" t="s">
        <v>77</v>
      </c>
      <c r="B41" s="26" t="s">
        <v>78</v>
      </c>
      <c r="C41" s="26" t="s">
        <v>18</v>
      </c>
      <c r="D41" s="27">
        <v>5</v>
      </c>
      <c r="E41" s="27">
        <v>20</v>
      </c>
      <c r="F41" s="27">
        <v>0</v>
      </c>
      <c r="G41" s="27">
        <v>0</v>
      </c>
      <c r="H41" s="27">
        <v>20</v>
      </c>
      <c r="I41" s="27">
        <f>+IFERROR(VLOOKUP(A41,'[1]Pending Dispatch'!$N$2:$O$651,2,0),0)</f>
        <v>0</v>
      </c>
      <c r="J41" s="27">
        <f t="shared" si="0"/>
        <v>20</v>
      </c>
      <c r="K41" s="28">
        <v>7.833333333333333</v>
      </c>
      <c r="L41" s="28">
        <v>0.15666666666666665</v>
      </c>
      <c r="M41" s="26">
        <v>5650</v>
      </c>
      <c r="N41" s="26">
        <v>113000</v>
      </c>
    </row>
    <row r="42" spans="1:16" ht="15" customHeight="1" x14ac:dyDescent="0.3">
      <c r="A42" s="25" t="s">
        <v>79</v>
      </c>
      <c r="B42" s="26" t="s">
        <v>80</v>
      </c>
      <c r="C42" s="26" t="s">
        <v>18</v>
      </c>
      <c r="D42" s="27">
        <v>4</v>
      </c>
      <c r="E42" s="27">
        <v>26</v>
      </c>
      <c r="F42" s="27">
        <v>0</v>
      </c>
      <c r="G42" s="27">
        <v>0</v>
      </c>
      <c r="H42" s="27">
        <v>26</v>
      </c>
      <c r="I42" s="27">
        <f>+IFERROR(VLOOKUP(A42,'[1]Pending Dispatch'!$N$2:$O$651,2,0),0)</f>
        <v>0</v>
      </c>
      <c r="J42" s="27">
        <f t="shared" si="0"/>
        <v>26</v>
      </c>
      <c r="K42" s="28">
        <v>10.999999999999998</v>
      </c>
      <c r="L42" s="28">
        <v>0.28599999999999992</v>
      </c>
      <c r="M42" s="26">
        <v>7483.33</v>
      </c>
      <c r="N42" s="26">
        <v>194566.58</v>
      </c>
    </row>
    <row r="43" spans="1:16" ht="15" customHeight="1" x14ac:dyDescent="0.3">
      <c r="A43" s="25" t="s">
        <v>81</v>
      </c>
      <c r="B43" s="26" t="s">
        <v>82</v>
      </c>
      <c r="C43" s="26" t="s">
        <v>18</v>
      </c>
      <c r="D43" s="27">
        <v>2</v>
      </c>
      <c r="E43" s="27">
        <v>26</v>
      </c>
      <c r="F43" s="27">
        <v>0</v>
      </c>
      <c r="G43" s="27">
        <v>0</v>
      </c>
      <c r="H43" s="27">
        <v>26</v>
      </c>
      <c r="I43" s="27">
        <f>+IFERROR(VLOOKUP(A43,'[1]Pending Dispatch'!$N$2:$O$651,2,0),0)</f>
        <v>0</v>
      </c>
      <c r="J43" s="27">
        <f t="shared" si="0"/>
        <v>26</v>
      </c>
      <c r="K43" s="28">
        <v>16.333333333333336</v>
      </c>
      <c r="L43" s="28">
        <v>0.42466666666666675</v>
      </c>
      <c r="M43" s="26">
        <v>78</v>
      </c>
      <c r="N43" s="26">
        <v>2028</v>
      </c>
    </row>
    <row r="44" spans="1:16" ht="15" customHeight="1" x14ac:dyDescent="0.3">
      <c r="A44" s="25" t="s">
        <v>83</v>
      </c>
      <c r="B44" s="26" t="s">
        <v>84</v>
      </c>
      <c r="C44" s="26" t="s">
        <v>18</v>
      </c>
      <c r="D44" s="27">
        <v>1</v>
      </c>
      <c r="E44" s="27">
        <v>13</v>
      </c>
      <c r="F44" s="27">
        <v>0</v>
      </c>
      <c r="G44" s="27">
        <v>0</v>
      </c>
      <c r="H44" s="27">
        <v>13</v>
      </c>
      <c r="I44" s="27">
        <f>+IFERROR(VLOOKUP(A44,'[1]Pending Dispatch'!$N$2:$O$651,2,0),0)</f>
        <v>0</v>
      </c>
      <c r="J44" s="27">
        <f t="shared" si="0"/>
        <v>13</v>
      </c>
      <c r="K44" s="28">
        <v>0</v>
      </c>
      <c r="L44" s="28">
        <v>0</v>
      </c>
      <c r="M44" s="26">
        <v>300</v>
      </c>
      <c r="N44" s="26">
        <v>3900</v>
      </c>
    </row>
    <row r="45" spans="1:16" ht="15" customHeight="1" x14ac:dyDescent="0.3">
      <c r="A45" s="25" t="s">
        <v>85</v>
      </c>
      <c r="B45" s="26" t="s">
        <v>86</v>
      </c>
      <c r="C45" s="26" t="s">
        <v>87</v>
      </c>
      <c r="D45" s="27">
        <v>200</v>
      </c>
      <c r="E45" s="27">
        <v>1682</v>
      </c>
      <c r="F45" s="27">
        <v>7240</v>
      </c>
      <c r="G45" s="27">
        <v>4335</v>
      </c>
      <c r="H45" s="27">
        <v>4587</v>
      </c>
      <c r="I45" s="27">
        <f>+IFERROR(VLOOKUP(A45,'[1]Pending Dispatch'!$N$2:$O$651,2,0),0)</f>
        <v>2400</v>
      </c>
      <c r="J45" s="27">
        <f t="shared" si="0"/>
        <v>2187</v>
      </c>
      <c r="K45" s="28">
        <v>8.48E-2</v>
      </c>
      <c r="L45" s="28">
        <v>7.6913599999999999E-2</v>
      </c>
      <c r="M45" s="26">
        <v>92.8</v>
      </c>
      <c r="N45" s="26">
        <v>110153.59999999999</v>
      </c>
    </row>
    <row r="46" spans="1:16" ht="15" customHeight="1" x14ac:dyDescent="0.3">
      <c r="A46" s="25" t="s">
        <v>88</v>
      </c>
      <c r="B46" s="26" t="s">
        <v>89</v>
      </c>
      <c r="C46" s="26" t="s">
        <v>87</v>
      </c>
      <c r="D46" s="27">
        <v>150</v>
      </c>
      <c r="E46" s="27">
        <v>3499</v>
      </c>
      <c r="F46" s="27">
        <v>748</v>
      </c>
      <c r="G46" s="27">
        <v>2150</v>
      </c>
      <c r="H46" s="27">
        <v>2097</v>
      </c>
      <c r="I46" s="27">
        <f>+IFERROR(VLOOKUP(A46,'[1]Pending Dispatch'!$N$2:$O$651,2,0),0)</f>
        <v>615</v>
      </c>
      <c r="J46" s="27">
        <f t="shared" si="0"/>
        <v>1482</v>
      </c>
      <c r="K46" s="28">
        <v>8.3250000000000005E-2</v>
      </c>
      <c r="L46" s="28">
        <v>0.28796175000000002</v>
      </c>
      <c r="M46" s="26">
        <v>136</v>
      </c>
      <c r="N46" s="26">
        <v>185232</v>
      </c>
    </row>
    <row r="47" spans="1:16" s="29" customFormat="1" ht="15" customHeight="1" x14ac:dyDescent="0.3">
      <c r="A47" s="25" t="s">
        <v>90</v>
      </c>
      <c r="B47" s="26" t="s">
        <v>91</v>
      </c>
      <c r="C47" s="26" t="s">
        <v>87</v>
      </c>
      <c r="D47" s="27">
        <v>300</v>
      </c>
      <c r="E47" s="27">
        <v>0</v>
      </c>
      <c r="F47" s="27">
        <v>0</v>
      </c>
      <c r="G47" s="27">
        <v>0</v>
      </c>
      <c r="H47" s="27">
        <v>0</v>
      </c>
      <c r="I47" s="27">
        <f>+IFERROR(VLOOKUP(A47,'[1]Pending Dispatch'!$N$2:$O$651,2,0),0)</f>
        <v>0</v>
      </c>
      <c r="J47" s="27">
        <f t="shared" si="0"/>
        <v>0</v>
      </c>
      <c r="K47" s="28">
        <v>0</v>
      </c>
      <c r="L47" s="28">
        <v>0</v>
      </c>
      <c r="M47" s="26">
        <v>36</v>
      </c>
      <c r="N47" s="26">
        <v>0</v>
      </c>
      <c r="O47" s="29" t="s">
        <v>92</v>
      </c>
      <c r="P47" s="30"/>
    </row>
    <row r="48" spans="1:16" s="29" customFormat="1" ht="15" customHeight="1" x14ac:dyDescent="0.3">
      <c r="A48" s="25" t="s">
        <v>93</v>
      </c>
      <c r="B48" s="26" t="s">
        <v>94</v>
      </c>
      <c r="C48" s="26" t="s">
        <v>87</v>
      </c>
      <c r="D48" s="27">
        <v>300</v>
      </c>
      <c r="E48" s="27">
        <v>4450</v>
      </c>
      <c r="F48" s="27">
        <v>0</v>
      </c>
      <c r="G48" s="27">
        <v>0</v>
      </c>
      <c r="H48" s="27">
        <v>4450</v>
      </c>
      <c r="I48" s="27">
        <f>+IFERROR(VLOOKUP(A48,'[1]Pending Dispatch'!$N$2:$O$651,2,0),0)</f>
        <v>0</v>
      </c>
      <c r="J48" s="27">
        <f t="shared" si="0"/>
        <v>4450</v>
      </c>
      <c r="K48" s="28">
        <v>3.7999999999999999E-2</v>
      </c>
      <c r="L48" s="28">
        <v>0.11323999999999999</v>
      </c>
      <c r="M48" s="26">
        <v>48</v>
      </c>
      <c r="N48" s="26">
        <v>213600</v>
      </c>
      <c r="O48" s="29" t="s">
        <v>92</v>
      </c>
      <c r="P48" s="30"/>
    </row>
    <row r="49" spans="1:16" s="29" customFormat="1" ht="15" customHeight="1" x14ac:dyDescent="0.3">
      <c r="A49" s="25" t="s">
        <v>95</v>
      </c>
      <c r="B49" s="26" t="s">
        <v>96</v>
      </c>
      <c r="C49" s="26" t="s">
        <v>87</v>
      </c>
      <c r="D49" s="27">
        <v>150</v>
      </c>
      <c r="E49" s="27">
        <v>1810</v>
      </c>
      <c r="F49" s="27">
        <v>0</v>
      </c>
      <c r="G49" s="27">
        <v>0</v>
      </c>
      <c r="H49" s="27">
        <v>1810</v>
      </c>
      <c r="I49" s="27">
        <f>+IFERROR(VLOOKUP(A49,'[1]Pending Dispatch'!$N$2:$O$651,2,0),0)</f>
        <v>0</v>
      </c>
      <c r="J49" s="27">
        <f t="shared" si="0"/>
        <v>1810</v>
      </c>
      <c r="K49" s="28">
        <v>8.3000000000000004E-2</v>
      </c>
      <c r="L49" s="28">
        <v>0</v>
      </c>
      <c r="M49" s="26">
        <v>86</v>
      </c>
      <c r="N49" s="26">
        <v>155660</v>
      </c>
      <c r="O49" s="29" t="s">
        <v>92</v>
      </c>
      <c r="P49" s="30"/>
    </row>
    <row r="50" spans="1:16" s="29" customFormat="1" ht="15" customHeight="1" x14ac:dyDescent="0.3">
      <c r="A50" s="25" t="s">
        <v>97</v>
      </c>
      <c r="B50" s="26" t="s">
        <v>98</v>
      </c>
      <c r="C50" s="26" t="s">
        <v>87</v>
      </c>
      <c r="D50" s="27">
        <v>100</v>
      </c>
      <c r="E50" s="27">
        <v>0</v>
      </c>
      <c r="F50" s="27">
        <v>0</v>
      </c>
      <c r="G50" s="27">
        <v>0</v>
      </c>
      <c r="H50" s="27">
        <v>0</v>
      </c>
      <c r="I50" s="27">
        <f>+IFERROR(VLOOKUP(A50,'[1]Pending Dispatch'!$N$2:$O$651,2,0),0)</f>
        <v>0</v>
      </c>
      <c r="J50" s="27">
        <f t="shared" si="0"/>
        <v>0</v>
      </c>
      <c r="K50" s="28">
        <v>0.123</v>
      </c>
      <c r="L50" s="28">
        <v>0</v>
      </c>
      <c r="M50" s="26">
        <v>138</v>
      </c>
      <c r="N50" s="26">
        <v>0</v>
      </c>
      <c r="O50" s="29" t="s">
        <v>92</v>
      </c>
      <c r="P50" s="30"/>
    </row>
    <row r="51" spans="1:16" s="29" customFormat="1" ht="15" customHeight="1" x14ac:dyDescent="0.3">
      <c r="A51" s="25" t="s">
        <v>99</v>
      </c>
      <c r="B51" s="26" t="s">
        <v>100</v>
      </c>
      <c r="C51" s="26" t="s">
        <v>87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f>+IFERROR(VLOOKUP(A51,'[1]Pending Dispatch'!$N$2:$O$651,2,0),0)</f>
        <v>0</v>
      </c>
      <c r="J51" s="27">
        <f t="shared" si="0"/>
        <v>0</v>
      </c>
      <c r="K51" s="28">
        <v>0</v>
      </c>
      <c r="L51" s="28">
        <v>0</v>
      </c>
      <c r="M51" s="26">
        <v>276</v>
      </c>
      <c r="N51" s="26">
        <v>0</v>
      </c>
      <c r="O51" s="29" t="s">
        <v>92</v>
      </c>
      <c r="P51" s="30"/>
    </row>
    <row r="52" spans="1:16" s="29" customFormat="1" ht="15" customHeight="1" x14ac:dyDescent="0.3">
      <c r="A52" s="25" t="s">
        <v>101</v>
      </c>
      <c r="B52" s="26" t="s">
        <v>102</v>
      </c>
      <c r="C52" s="26" t="s">
        <v>87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f>+IFERROR(VLOOKUP(A52,'[1]Pending Dispatch'!$N$2:$O$651,2,0),0)</f>
        <v>0</v>
      </c>
      <c r="J52" s="27">
        <f t="shared" si="0"/>
        <v>0</v>
      </c>
      <c r="K52" s="28">
        <v>0</v>
      </c>
      <c r="L52" s="28">
        <v>0</v>
      </c>
      <c r="M52" s="26">
        <v>364</v>
      </c>
      <c r="N52" s="26">
        <v>0</v>
      </c>
      <c r="O52" s="29" t="s">
        <v>92</v>
      </c>
      <c r="P52" s="30"/>
    </row>
    <row r="53" spans="1:16" ht="15" customHeight="1" x14ac:dyDescent="0.3">
      <c r="A53" s="25" t="s">
        <v>103</v>
      </c>
      <c r="B53" s="26" t="s">
        <v>104</v>
      </c>
      <c r="C53" s="26" t="s">
        <v>87</v>
      </c>
      <c r="D53" s="27">
        <v>15</v>
      </c>
      <c r="E53" s="27">
        <v>612</v>
      </c>
      <c r="F53" s="27">
        <v>484</v>
      </c>
      <c r="G53" s="27">
        <v>900</v>
      </c>
      <c r="H53" s="27">
        <v>196</v>
      </c>
      <c r="I53" s="27">
        <f>+IFERROR(VLOOKUP(A53,'[1]Pending Dispatch'!$N$2:$O$651,2,0),0)</f>
        <v>480</v>
      </c>
      <c r="J53" s="27">
        <f t="shared" si="0"/>
        <v>-284</v>
      </c>
      <c r="K53" s="28">
        <v>0.15580000000000002</v>
      </c>
      <c r="L53" s="28">
        <v>2.8044000000000003E-2</v>
      </c>
      <c r="M53" s="26">
        <v>482</v>
      </c>
      <c r="N53" s="26">
        <v>-173520</v>
      </c>
    </row>
    <row r="54" spans="1:16" s="29" customFormat="1" ht="15" customHeight="1" x14ac:dyDescent="0.3">
      <c r="A54" s="25" t="s">
        <v>105</v>
      </c>
      <c r="B54" s="26" t="s">
        <v>106</v>
      </c>
      <c r="C54" s="26" t="s">
        <v>87</v>
      </c>
      <c r="D54" s="27">
        <v>15</v>
      </c>
      <c r="E54" s="27">
        <v>5</v>
      </c>
      <c r="F54" s="27">
        <v>0</v>
      </c>
      <c r="G54" s="27">
        <v>0</v>
      </c>
      <c r="H54" s="27">
        <v>5</v>
      </c>
      <c r="I54" s="27">
        <f>+IFERROR(VLOOKUP(A54,'[1]Pending Dispatch'!$N$2:$O$651,2,0),0)</f>
        <v>0</v>
      </c>
      <c r="J54" s="27">
        <f t="shared" si="0"/>
        <v>5</v>
      </c>
      <c r="K54" s="28">
        <v>0.15580000000000002</v>
      </c>
      <c r="L54" s="28">
        <v>1.9475000000000003E-2</v>
      </c>
      <c r="M54" s="26">
        <v>0</v>
      </c>
      <c r="N54" s="26">
        <v>0</v>
      </c>
      <c r="O54" s="29" t="s">
        <v>92</v>
      </c>
      <c r="P54" s="30"/>
    </row>
    <row r="55" spans="1:16" s="29" customFormat="1" ht="15" customHeight="1" x14ac:dyDescent="0.3">
      <c r="A55" s="25" t="s">
        <v>107</v>
      </c>
      <c r="B55" s="26" t="s">
        <v>108</v>
      </c>
      <c r="C55" s="26" t="s">
        <v>87</v>
      </c>
      <c r="D55" s="27">
        <v>15</v>
      </c>
      <c r="E55" s="27">
        <v>4</v>
      </c>
      <c r="F55" s="27">
        <v>0</v>
      </c>
      <c r="G55" s="27">
        <v>0</v>
      </c>
      <c r="H55" s="27">
        <v>4</v>
      </c>
      <c r="I55" s="27">
        <f>+IFERROR(VLOOKUP(A55,'[1]Pending Dispatch'!$N$2:$O$651,2,0),0)</f>
        <v>0</v>
      </c>
      <c r="J55" s="27">
        <f t="shared" si="0"/>
        <v>4</v>
      </c>
      <c r="K55" s="28">
        <v>0.15580000000000002</v>
      </c>
      <c r="L55" s="28">
        <v>6.2320000000000008E-4</v>
      </c>
      <c r="M55" s="26">
        <v>0</v>
      </c>
      <c r="N55" s="26">
        <v>0</v>
      </c>
      <c r="O55" s="29" t="s">
        <v>92</v>
      </c>
      <c r="P55" s="30"/>
    </row>
    <row r="56" spans="1:16" s="29" customFormat="1" ht="15" customHeight="1" x14ac:dyDescent="0.3">
      <c r="A56" s="25" t="s">
        <v>109</v>
      </c>
      <c r="B56" s="26" t="s">
        <v>110</v>
      </c>
      <c r="C56" s="26" t="s">
        <v>87</v>
      </c>
      <c r="D56" s="27">
        <v>15</v>
      </c>
      <c r="E56" s="27">
        <v>221</v>
      </c>
      <c r="F56" s="27">
        <v>0</v>
      </c>
      <c r="G56" s="27">
        <v>0</v>
      </c>
      <c r="H56" s="27">
        <v>221</v>
      </c>
      <c r="I56" s="27">
        <f>+IFERROR(VLOOKUP(A56,'[1]Pending Dispatch'!$N$2:$O$651,2,0),0)</f>
        <v>0</v>
      </c>
      <c r="J56" s="27">
        <f t="shared" si="0"/>
        <v>221</v>
      </c>
      <c r="K56" s="28">
        <v>0.15580000000000002</v>
      </c>
      <c r="L56" s="28">
        <v>3.4431800000000005E-2</v>
      </c>
      <c r="M56" s="26">
        <v>0</v>
      </c>
      <c r="N56" s="26">
        <v>0</v>
      </c>
      <c r="O56" s="29" t="s">
        <v>92</v>
      </c>
      <c r="P56" s="30"/>
    </row>
    <row r="57" spans="1:16" s="29" customFormat="1" ht="15" customHeight="1" x14ac:dyDescent="0.3">
      <c r="A57" s="25" t="s">
        <v>111</v>
      </c>
      <c r="B57" s="26" t="s">
        <v>112</v>
      </c>
      <c r="C57" s="26" t="s">
        <v>87</v>
      </c>
      <c r="D57" s="27">
        <v>15</v>
      </c>
      <c r="E57" s="27">
        <v>140</v>
      </c>
      <c r="F57" s="27">
        <v>0</v>
      </c>
      <c r="G57" s="27">
        <v>0</v>
      </c>
      <c r="H57" s="27">
        <v>140</v>
      </c>
      <c r="I57" s="27">
        <f>+IFERROR(VLOOKUP(A57,'[1]Pending Dispatch'!$N$2:$O$651,2,0),0)</f>
        <v>0</v>
      </c>
      <c r="J57" s="27">
        <f t="shared" si="0"/>
        <v>140</v>
      </c>
      <c r="K57" s="28">
        <v>0.15580000000000002</v>
      </c>
      <c r="L57" s="28">
        <v>2.1812000000000005E-2</v>
      </c>
      <c r="M57" s="26">
        <v>0</v>
      </c>
      <c r="N57" s="26">
        <v>0</v>
      </c>
      <c r="O57" s="29" t="s">
        <v>92</v>
      </c>
      <c r="P57" s="30"/>
    </row>
    <row r="58" spans="1:16" ht="15" customHeight="1" x14ac:dyDescent="0.3">
      <c r="A58" s="25" t="s">
        <v>113</v>
      </c>
      <c r="B58" s="26" t="s">
        <v>114</v>
      </c>
      <c r="C58" s="26" t="s">
        <v>87</v>
      </c>
      <c r="D58" s="27">
        <v>15</v>
      </c>
      <c r="E58" s="27">
        <v>11</v>
      </c>
      <c r="F58" s="27">
        <v>107</v>
      </c>
      <c r="G58" s="27">
        <v>75</v>
      </c>
      <c r="H58" s="27">
        <v>43</v>
      </c>
      <c r="I58" s="27">
        <f>+IFERROR(VLOOKUP(A58,'[1]Pending Dispatch'!$N$2:$O$651,2,0),0)</f>
        <v>75</v>
      </c>
      <c r="J58" s="27">
        <f t="shared" si="0"/>
        <v>-32</v>
      </c>
      <c r="K58" s="28">
        <v>9.4E-2</v>
      </c>
      <c r="L58" s="28">
        <v>1.5321999999999999E-2</v>
      </c>
      <c r="M58" s="26">
        <v>38</v>
      </c>
      <c r="N58" s="26">
        <v>494</v>
      </c>
    </row>
    <row r="59" spans="1:16" ht="15" customHeight="1" x14ac:dyDescent="0.3">
      <c r="A59" s="25" t="s">
        <v>115</v>
      </c>
      <c r="B59" s="26" t="s">
        <v>116</v>
      </c>
      <c r="C59" s="26" t="s">
        <v>87</v>
      </c>
      <c r="D59" s="27">
        <v>75</v>
      </c>
      <c r="E59" s="27">
        <v>1907</v>
      </c>
      <c r="F59" s="27">
        <v>1200</v>
      </c>
      <c r="G59" s="27">
        <v>1524</v>
      </c>
      <c r="H59" s="27">
        <v>1583</v>
      </c>
      <c r="I59" s="27">
        <f>+IFERROR(VLOOKUP(A59,'[1]Pending Dispatch'!$N$2:$O$651,2,0),0)</f>
        <v>1257</v>
      </c>
      <c r="J59" s="27">
        <f t="shared" si="0"/>
        <v>326</v>
      </c>
      <c r="K59" s="28">
        <v>0.11198000000000001</v>
      </c>
      <c r="L59" s="28">
        <v>0.16987366000000004</v>
      </c>
      <c r="M59" s="26">
        <v>90</v>
      </c>
      <c r="N59" s="26">
        <v>-11160</v>
      </c>
    </row>
    <row r="60" spans="1:16" ht="15" customHeight="1" x14ac:dyDescent="0.3">
      <c r="A60" s="25" t="s">
        <v>117</v>
      </c>
      <c r="B60" s="26" t="s">
        <v>118</v>
      </c>
      <c r="C60" s="26" t="s">
        <v>87</v>
      </c>
      <c r="D60" s="27">
        <v>44</v>
      </c>
      <c r="E60" s="27">
        <v>45</v>
      </c>
      <c r="F60" s="27">
        <v>3476</v>
      </c>
      <c r="G60" s="27">
        <v>2707</v>
      </c>
      <c r="H60" s="27">
        <v>814</v>
      </c>
      <c r="I60" s="27">
        <f>+IFERROR(VLOOKUP(A60,'[1]Pending Dispatch'!$N$2:$O$651,2,0),0)</f>
        <v>1410</v>
      </c>
      <c r="J60" s="27">
        <f t="shared" si="0"/>
        <v>-596</v>
      </c>
      <c r="K60" s="28">
        <v>0.18026000000000003</v>
      </c>
      <c r="L60" s="28">
        <v>7.1743480000000026E-2</v>
      </c>
      <c r="M60" s="26">
        <v>0</v>
      </c>
      <c r="N60" s="26">
        <v>0</v>
      </c>
    </row>
    <row r="61" spans="1:16" ht="15" customHeight="1" x14ac:dyDescent="0.3">
      <c r="A61" s="25" t="s">
        <v>119</v>
      </c>
      <c r="B61" s="26" t="s">
        <v>120</v>
      </c>
      <c r="C61" s="26" t="s">
        <v>87</v>
      </c>
      <c r="D61" s="27">
        <v>26</v>
      </c>
      <c r="E61" s="27">
        <v>312</v>
      </c>
      <c r="F61" s="27">
        <v>390</v>
      </c>
      <c r="G61" s="27">
        <v>392</v>
      </c>
      <c r="H61" s="27">
        <v>310</v>
      </c>
      <c r="I61" s="27">
        <f>+IFERROR(VLOOKUP(A61,'[1]Pending Dispatch'!$N$2:$O$651,2,0),0)</f>
        <v>236</v>
      </c>
      <c r="J61" s="27">
        <f t="shared" si="0"/>
        <v>74</v>
      </c>
      <c r="K61" s="28">
        <v>0.29680000000000001</v>
      </c>
      <c r="L61" s="28">
        <v>5.9953600000000003E-2</v>
      </c>
      <c r="M61" s="26">
        <v>0</v>
      </c>
      <c r="N61" s="26">
        <v>0</v>
      </c>
    </row>
    <row r="62" spans="1:16" ht="15" customHeight="1" x14ac:dyDescent="0.3">
      <c r="A62" s="25" t="s">
        <v>121</v>
      </c>
      <c r="B62" s="26" t="s">
        <v>122</v>
      </c>
      <c r="C62" s="26" t="s">
        <v>87</v>
      </c>
      <c r="D62" s="27">
        <v>18</v>
      </c>
      <c r="E62" s="27">
        <v>1</v>
      </c>
      <c r="F62" s="27">
        <v>666</v>
      </c>
      <c r="G62" s="27">
        <v>472</v>
      </c>
      <c r="H62" s="27">
        <v>195</v>
      </c>
      <c r="I62" s="27">
        <f>+IFERROR(VLOOKUP(A62,'[1]Pending Dispatch'!$N$2:$O$651,2,0),0)</f>
        <v>236</v>
      </c>
      <c r="J62" s="27">
        <f t="shared" si="0"/>
        <v>-41</v>
      </c>
      <c r="K62" s="28">
        <v>0.42922500000000008</v>
      </c>
      <c r="L62" s="28">
        <v>0.18156217500000002</v>
      </c>
      <c r="M62" s="26">
        <v>0</v>
      </c>
      <c r="N62" s="26">
        <v>0</v>
      </c>
    </row>
    <row r="63" spans="1:16" ht="15" customHeight="1" x14ac:dyDescent="0.3">
      <c r="A63" s="25" t="s">
        <v>123</v>
      </c>
      <c r="B63" s="26" t="s">
        <v>124</v>
      </c>
      <c r="C63" s="26" t="s">
        <v>87</v>
      </c>
      <c r="D63" s="27">
        <v>10</v>
      </c>
      <c r="E63" s="27">
        <v>152</v>
      </c>
      <c r="F63" s="27">
        <v>0</v>
      </c>
      <c r="G63" s="27">
        <v>65</v>
      </c>
      <c r="H63" s="27">
        <v>87</v>
      </c>
      <c r="I63" s="27">
        <f>+IFERROR(VLOOKUP(A63,'[1]Pending Dispatch'!$N$2:$O$651,2,0),0)</f>
        <v>20</v>
      </c>
      <c r="J63" s="27">
        <f t="shared" si="0"/>
        <v>67</v>
      </c>
      <c r="K63" s="28">
        <v>0.66274999999999995</v>
      </c>
      <c r="L63" s="28">
        <v>7.8204499999999996E-2</v>
      </c>
      <c r="M63" s="26">
        <v>0</v>
      </c>
      <c r="N63" s="26">
        <v>0</v>
      </c>
    </row>
    <row r="64" spans="1:16" ht="14.4" customHeight="1" x14ac:dyDescent="0.3">
      <c r="A64" s="25" t="s">
        <v>125</v>
      </c>
      <c r="B64" s="26" t="s">
        <v>126</v>
      </c>
      <c r="C64" s="26" t="s">
        <v>87</v>
      </c>
      <c r="D64" s="27">
        <v>100</v>
      </c>
      <c r="E64" s="27">
        <v>2749</v>
      </c>
      <c r="F64" s="27">
        <v>900</v>
      </c>
      <c r="G64" s="27">
        <v>1520</v>
      </c>
      <c r="H64" s="27">
        <v>2129</v>
      </c>
      <c r="I64" s="27">
        <f>+IFERROR(VLOOKUP(A64,'[1]Pending Dispatch'!$N$2:$O$651,2,0),0)</f>
        <v>1000</v>
      </c>
      <c r="J64" s="27">
        <f t="shared" si="0"/>
        <v>1129</v>
      </c>
      <c r="K64" s="28">
        <v>0.11178000000000002</v>
      </c>
      <c r="L64" s="28">
        <v>1.9002600000000005E-2</v>
      </c>
      <c r="M64" s="26">
        <v>169.1</v>
      </c>
      <c r="N64" s="26">
        <v>174003.9</v>
      </c>
    </row>
    <row r="65" spans="1:14" ht="15" customHeight="1" x14ac:dyDescent="0.3">
      <c r="A65" s="25" t="s">
        <v>127</v>
      </c>
      <c r="B65" s="26" t="s">
        <v>128</v>
      </c>
      <c r="C65" s="26" t="s">
        <v>87</v>
      </c>
      <c r="D65" s="27">
        <v>70</v>
      </c>
      <c r="E65" s="27">
        <v>30</v>
      </c>
      <c r="F65" s="27">
        <v>4690</v>
      </c>
      <c r="G65" s="27">
        <v>1610</v>
      </c>
      <c r="H65" s="27">
        <v>3110</v>
      </c>
      <c r="I65" s="27">
        <f>+IFERROR(VLOOKUP(A65,'[1]Pending Dispatch'!$N$2:$O$651,2,0),0)</f>
        <v>1050</v>
      </c>
      <c r="J65" s="27">
        <f t="shared" si="0"/>
        <v>2060</v>
      </c>
      <c r="K65" s="28">
        <v>0.18006</v>
      </c>
      <c r="L65" s="28">
        <v>0.32410800000000001</v>
      </c>
      <c r="M65" s="26">
        <v>326.8</v>
      </c>
      <c r="N65" s="26">
        <v>650332</v>
      </c>
    </row>
    <row r="66" spans="1:14" ht="15" customHeight="1" x14ac:dyDescent="0.3">
      <c r="A66" s="25" t="s">
        <v>129</v>
      </c>
      <c r="B66" s="26" t="s">
        <v>130</v>
      </c>
      <c r="C66" s="26" t="s">
        <v>87</v>
      </c>
      <c r="D66" s="27">
        <v>40</v>
      </c>
      <c r="E66" s="27">
        <v>405</v>
      </c>
      <c r="F66" s="27">
        <v>1560</v>
      </c>
      <c r="G66" s="27">
        <v>280</v>
      </c>
      <c r="H66" s="27">
        <v>1685</v>
      </c>
      <c r="I66" s="27">
        <f>+IFERROR(VLOOKUP(A66,'[1]Pending Dispatch'!$N$2:$O$651,2,0),0)</f>
        <v>300</v>
      </c>
      <c r="J66" s="27">
        <f t="shared" si="0"/>
        <v>1385</v>
      </c>
      <c r="K66" s="28">
        <v>0.29544999999999999</v>
      </c>
      <c r="L66" s="28">
        <v>1.0340749999999999E-2</v>
      </c>
      <c r="M66" s="26">
        <v>505.4</v>
      </c>
      <c r="N66" s="26">
        <v>694925</v>
      </c>
    </row>
    <row r="67" spans="1:14" ht="15" customHeight="1" x14ac:dyDescent="0.3">
      <c r="A67" s="25" t="s">
        <v>131</v>
      </c>
      <c r="B67" s="26" t="s">
        <v>132</v>
      </c>
      <c r="C67" s="26" t="s">
        <v>87</v>
      </c>
      <c r="D67" s="27">
        <v>20</v>
      </c>
      <c r="E67" s="27">
        <v>87</v>
      </c>
      <c r="F67" s="27">
        <v>0</v>
      </c>
      <c r="G67" s="27">
        <v>15</v>
      </c>
      <c r="H67" s="27">
        <v>72</v>
      </c>
      <c r="I67" s="27">
        <f>+IFERROR(VLOOKUP(A67,'[1]Pending Dispatch'!$N$2:$O$651,2,0),0)</f>
        <v>90</v>
      </c>
      <c r="J67" s="27">
        <f t="shared" si="0"/>
        <v>-18</v>
      </c>
      <c r="K67" s="28">
        <v>0.42922500000000008</v>
      </c>
      <c r="L67" s="28">
        <v>0.10430167500000001</v>
      </c>
      <c r="M67" s="26">
        <v>900.6</v>
      </c>
      <c r="N67" s="26">
        <v>-20713.8</v>
      </c>
    </row>
    <row r="68" spans="1:14" ht="15" customHeight="1" x14ac:dyDescent="0.3">
      <c r="A68" s="25" t="s">
        <v>133</v>
      </c>
      <c r="B68" s="26" t="s">
        <v>134</v>
      </c>
      <c r="C68" s="26" t="s">
        <v>87</v>
      </c>
      <c r="D68" s="27">
        <v>15</v>
      </c>
      <c r="E68" s="27">
        <v>285</v>
      </c>
      <c r="F68" s="27">
        <v>0</v>
      </c>
      <c r="G68" s="27">
        <v>10</v>
      </c>
      <c r="H68" s="27">
        <v>275</v>
      </c>
      <c r="I68" s="27">
        <f>+IFERROR(VLOOKUP(A68,'[1]Pending Dispatch'!$N$2:$O$651,2,0),0)</f>
        <v>5</v>
      </c>
      <c r="J68" s="27">
        <f t="shared" si="0"/>
        <v>270</v>
      </c>
      <c r="K68" s="28">
        <v>0.70140000000000002</v>
      </c>
      <c r="L68" s="28">
        <v>3.5070000000000001E-3</v>
      </c>
      <c r="M68" s="26">
        <v>1606.2</v>
      </c>
      <c r="N68" s="26">
        <v>425643</v>
      </c>
    </row>
    <row r="69" spans="1:14" ht="15" customHeight="1" x14ac:dyDescent="0.3">
      <c r="A69" s="25" t="s">
        <v>135</v>
      </c>
      <c r="B69" s="26" t="s">
        <v>136</v>
      </c>
      <c r="C69" s="26" t="s">
        <v>87</v>
      </c>
      <c r="D69" s="27">
        <v>150</v>
      </c>
      <c r="E69" s="27">
        <v>74</v>
      </c>
      <c r="F69" s="27">
        <v>4103</v>
      </c>
      <c r="G69" s="27">
        <v>2910</v>
      </c>
      <c r="H69" s="27">
        <v>1267</v>
      </c>
      <c r="I69" s="27">
        <f>+IFERROR(VLOOKUP(A69,'[1]Pending Dispatch'!$N$2:$O$651,2,0),0)</f>
        <v>1104</v>
      </c>
      <c r="J69" s="27">
        <f t="shared" si="0"/>
        <v>163</v>
      </c>
      <c r="K69" s="28">
        <v>6.5939999999999999E-2</v>
      </c>
      <c r="L69" s="28">
        <v>6.3434279999999996E-2</v>
      </c>
      <c r="M69" s="26">
        <v>94</v>
      </c>
      <c r="N69" s="26">
        <v>-70218</v>
      </c>
    </row>
    <row r="70" spans="1:14" ht="15" customHeight="1" x14ac:dyDescent="0.3">
      <c r="A70" s="25" t="s">
        <v>137</v>
      </c>
      <c r="B70" s="26" t="s">
        <v>138</v>
      </c>
      <c r="C70" s="26" t="s">
        <v>87</v>
      </c>
      <c r="D70" s="27">
        <v>100</v>
      </c>
      <c r="E70" s="27">
        <v>10</v>
      </c>
      <c r="F70" s="27">
        <v>8080</v>
      </c>
      <c r="G70" s="27">
        <v>6450</v>
      </c>
      <c r="H70" s="27">
        <v>1640</v>
      </c>
      <c r="I70" s="27">
        <f>+IFERROR(VLOOKUP(A70,'[1]Pending Dispatch'!$N$2:$O$651,2,0),0)</f>
        <v>1931</v>
      </c>
      <c r="J70" s="27">
        <f t="shared" ref="J70:J133" si="1">+H70-I70</f>
        <v>-291</v>
      </c>
      <c r="K70" s="28">
        <v>9.6450000000000008E-2</v>
      </c>
      <c r="L70" s="28">
        <v>0.11323230000000001</v>
      </c>
      <c r="M70" s="26">
        <v>116</v>
      </c>
      <c r="N70" s="26">
        <v>-120060</v>
      </c>
    </row>
    <row r="71" spans="1:14" ht="15" customHeight="1" x14ac:dyDescent="0.3">
      <c r="A71" s="25" t="s">
        <v>139</v>
      </c>
      <c r="B71" s="26" t="s">
        <v>140</v>
      </c>
      <c r="C71" s="26" t="s">
        <v>87</v>
      </c>
      <c r="D71" s="27">
        <v>80</v>
      </c>
      <c r="E71" s="27">
        <v>773</v>
      </c>
      <c r="F71" s="27">
        <v>20</v>
      </c>
      <c r="G71" s="27">
        <v>480</v>
      </c>
      <c r="H71" s="27">
        <v>313</v>
      </c>
      <c r="I71" s="27">
        <f>+IFERROR(VLOOKUP(A71,'[1]Pending Dispatch'!$N$2:$O$651,2,0),0)</f>
        <v>740</v>
      </c>
      <c r="J71" s="27">
        <f t="shared" si="1"/>
        <v>-427</v>
      </c>
      <c r="K71" s="28">
        <v>0.14489999999999997</v>
      </c>
      <c r="L71" s="28">
        <v>3.7818899999999996E-2</v>
      </c>
      <c r="M71" s="26">
        <v>188</v>
      </c>
      <c r="N71" s="26">
        <v>-84976</v>
      </c>
    </row>
    <row r="72" spans="1:14" ht="15" customHeight="1" x14ac:dyDescent="0.3">
      <c r="A72" s="25" t="s">
        <v>141</v>
      </c>
      <c r="B72" s="26" t="s">
        <v>142</v>
      </c>
      <c r="C72" s="26" t="s">
        <v>87</v>
      </c>
      <c r="D72" s="27">
        <v>50</v>
      </c>
      <c r="E72" s="27">
        <v>465</v>
      </c>
      <c r="F72" s="27">
        <v>940</v>
      </c>
      <c r="G72" s="27">
        <v>620</v>
      </c>
      <c r="H72" s="27">
        <v>785</v>
      </c>
      <c r="I72" s="27">
        <f>+IFERROR(VLOOKUP(A72,'[1]Pending Dispatch'!$N$2:$O$651,2,0),0)</f>
        <v>450</v>
      </c>
      <c r="J72" s="27">
        <f t="shared" si="1"/>
        <v>335</v>
      </c>
      <c r="K72" s="28">
        <v>0.16134999999999999</v>
      </c>
      <c r="L72" s="28">
        <v>0.24073419999999998</v>
      </c>
      <c r="M72" s="26">
        <v>308</v>
      </c>
      <c r="N72" s="26">
        <v>97020</v>
      </c>
    </row>
    <row r="73" spans="1:14" ht="15" customHeight="1" x14ac:dyDescent="0.3">
      <c r="A73" s="25" t="s">
        <v>143</v>
      </c>
      <c r="B73" s="26" t="s">
        <v>144</v>
      </c>
      <c r="C73" s="26" t="s">
        <v>87</v>
      </c>
      <c r="D73" s="27">
        <v>30</v>
      </c>
      <c r="E73" s="27">
        <v>325</v>
      </c>
      <c r="F73" s="27">
        <v>10</v>
      </c>
      <c r="G73" s="27">
        <v>155</v>
      </c>
      <c r="H73" s="27">
        <v>180</v>
      </c>
      <c r="I73" s="27">
        <f>+IFERROR(VLOOKUP(A73,'[1]Pending Dispatch'!$N$2:$O$651,2,0),0)</f>
        <v>0</v>
      </c>
      <c r="J73" s="27">
        <f t="shared" si="1"/>
        <v>180</v>
      </c>
      <c r="K73" s="28">
        <v>0.28705000000000003</v>
      </c>
      <c r="L73" s="28">
        <v>7.4058900000000011E-2</v>
      </c>
      <c r="M73" s="26">
        <v>548</v>
      </c>
      <c r="N73" s="26">
        <v>93160</v>
      </c>
    </row>
    <row r="74" spans="1:14" ht="15" customHeight="1" x14ac:dyDescent="0.3">
      <c r="A74" s="25" t="s">
        <v>145</v>
      </c>
      <c r="B74" s="26" t="s">
        <v>146</v>
      </c>
      <c r="C74" s="26" t="s">
        <v>87</v>
      </c>
      <c r="D74" s="27">
        <v>1200</v>
      </c>
      <c r="E74" s="27">
        <v>770</v>
      </c>
      <c r="F74" s="27">
        <v>0</v>
      </c>
      <c r="G74" s="27">
        <v>17</v>
      </c>
      <c r="H74" s="27">
        <v>753</v>
      </c>
      <c r="I74" s="27">
        <f>+IFERROR(VLOOKUP(A74,'[1]Pending Dispatch'!$N$2:$O$651,2,0),0)</f>
        <v>0</v>
      </c>
      <c r="J74" s="27">
        <f t="shared" si="1"/>
        <v>753</v>
      </c>
      <c r="K74" s="28">
        <v>7.2500000000000004E-3</v>
      </c>
      <c r="L74" s="28">
        <v>6.8150000000000007E-3</v>
      </c>
      <c r="M74" s="26">
        <v>14.8</v>
      </c>
      <c r="N74" s="26">
        <v>10922.4</v>
      </c>
    </row>
    <row r="75" spans="1:14" ht="15" customHeight="1" x14ac:dyDescent="0.3">
      <c r="A75" s="25" t="s">
        <v>147</v>
      </c>
      <c r="B75" s="26" t="s">
        <v>148</v>
      </c>
      <c r="C75" s="26" t="s">
        <v>87</v>
      </c>
      <c r="D75" s="27">
        <v>600</v>
      </c>
      <c r="E75" s="27">
        <v>30804</v>
      </c>
      <c r="F75" s="27">
        <v>35326</v>
      </c>
      <c r="G75" s="27">
        <v>26550</v>
      </c>
      <c r="H75" s="27">
        <v>39580</v>
      </c>
      <c r="I75" s="27">
        <f>+IFERROR(VLOOKUP(A75,'[1]Pending Dispatch'!$N$2:$O$651,2,0),0)</f>
        <v>19344</v>
      </c>
      <c r="J75" s="27">
        <f t="shared" si="1"/>
        <v>20236</v>
      </c>
      <c r="K75" s="28">
        <v>1.35E-2</v>
      </c>
      <c r="L75" s="28">
        <v>0.46585799999999999</v>
      </c>
      <c r="M75" s="26">
        <v>17.399999999999999</v>
      </c>
      <c r="N75" s="26">
        <v>289118.39999999997</v>
      </c>
    </row>
    <row r="76" spans="1:14" ht="15" customHeight="1" x14ac:dyDescent="0.3">
      <c r="A76" s="25" t="s">
        <v>149</v>
      </c>
      <c r="B76" s="26" t="s">
        <v>150</v>
      </c>
      <c r="C76" s="26" t="s">
        <v>87</v>
      </c>
      <c r="D76" s="27">
        <v>600</v>
      </c>
      <c r="E76" s="27">
        <v>12538</v>
      </c>
      <c r="F76" s="27">
        <v>59100</v>
      </c>
      <c r="G76" s="27">
        <v>28035</v>
      </c>
      <c r="H76" s="27">
        <v>43603</v>
      </c>
      <c r="I76" s="27">
        <f>+IFERROR(VLOOKUP(A76,'[1]Pending Dispatch'!$N$2:$O$651,2,0),0)</f>
        <v>9800</v>
      </c>
      <c r="J76" s="27">
        <f t="shared" si="1"/>
        <v>33803</v>
      </c>
      <c r="K76" s="28">
        <v>2.0399999999999998E-2</v>
      </c>
      <c r="L76" s="28">
        <v>0.84825240000000002</v>
      </c>
      <c r="M76" s="26">
        <v>28.4</v>
      </c>
      <c r="N76" s="26">
        <v>961141.2</v>
      </c>
    </row>
    <row r="77" spans="1:14" ht="15" customHeight="1" x14ac:dyDescent="0.3">
      <c r="A77" s="25" t="s">
        <v>151</v>
      </c>
      <c r="B77" s="26" t="s">
        <v>152</v>
      </c>
      <c r="C77" s="26" t="s">
        <v>87</v>
      </c>
      <c r="D77" s="27">
        <v>300</v>
      </c>
      <c r="E77" s="27">
        <v>693</v>
      </c>
      <c r="F77" s="27">
        <v>5447</v>
      </c>
      <c r="G77" s="27">
        <v>3560</v>
      </c>
      <c r="H77" s="27">
        <v>2580</v>
      </c>
      <c r="I77" s="27">
        <f>+IFERROR(VLOOKUP(A77,'[1]Pending Dispatch'!$N$2:$O$651,2,0),0)</f>
        <v>3000</v>
      </c>
      <c r="J77" s="27">
        <f t="shared" si="1"/>
        <v>-420</v>
      </c>
      <c r="K77" s="28">
        <v>3.6400000000000002E-2</v>
      </c>
      <c r="L77" s="28">
        <v>0.18564000000000003</v>
      </c>
      <c r="M77" s="26">
        <v>56.6</v>
      </c>
      <c r="N77" s="26">
        <v>-30281</v>
      </c>
    </row>
    <row r="78" spans="1:14" ht="15" customHeight="1" x14ac:dyDescent="0.3">
      <c r="A78" s="25" t="s">
        <v>153</v>
      </c>
      <c r="B78" s="26" t="s">
        <v>154</v>
      </c>
      <c r="C78" s="26" t="s">
        <v>87</v>
      </c>
      <c r="D78" s="27">
        <v>200</v>
      </c>
      <c r="E78" s="27">
        <v>1780</v>
      </c>
      <c r="F78" s="27">
        <v>12150</v>
      </c>
      <c r="G78" s="27">
        <v>2613</v>
      </c>
      <c r="H78" s="27">
        <v>11317</v>
      </c>
      <c r="I78" s="27">
        <f>+IFERROR(VLOOKUP(A78,'[1]Pending Dispatch'!$N$2:$O$651,2,0),0)</f>
        <v>1200</v>
      </c>
      <c r="J78" s="27">
        <f t="shared" si="1"/>
        <v>10117</v>
      </c>
      <c r="K78" s="28">
        <v>6.0899999999999996E-2</v>
      </c>
      <c r="L78" s="28">
        <v>0.21662129999999999</v>
      </c>
      <c r="M78" s="26">
        <v>99.8</v>
      </c>
      <c r="N78" s="26">
        <v>984726.6</v>
      </c>
    </row>
    <row r="79" spans="1:14" ht="15" customHeight="1" x14ac:dyDescent="0.3">
      <c r="A79" s="25" t="s">
        <v>155</v>
      </c>
      <c r="B79" s="26" t="s">
        <v>156</v>
      </c>
      <c r="C79" s="26" t="s">
        <v>87</v>
      </c>
      <c r="D79" s="27">
        <v>50</v>
      </c>
      <c r="E79" s="27">
        <v>153</v>
      </c>
      <c r="F79" s="27">
        <v>3907</v>
      </c>
      <c r="G79" s="27">
        <v>1420</v>
      </c>
      <c r="H79" s="27">
        <v>2640</v>
      </c>
      <c r="I79" s="27">
        <f>+IFERROR(VLOOKUP(A79,'[1]Pending Dispatch'!$N$2:$O$651,2,0),0)</f>
        <v>400</v>
      </c>
      <c r="J79" s="27">
        <f t="shared" si="1"/>
        <v>2240</v>
      </c>
      <c r="K79" s="28">
        <v>0.13300000000000001</v>
      </c>
      <c r="L79" s="28">
        <v>0.33688899999999999</v>
      </c>
      <c r="M79" s="26">
        <v>218</v>
      </c>
      <c r="N79" s="26">
        <v>481780</v>
      </c>
    </row>
    <row r="80" spans="1:14" ht="15" customHeight="1" x14ac:dyDescent="0.3">
      <c r="A80" s="25" t="s">
        <v>157</v>
      </c>
      <c r="B80" s="26" t="s">
        <v>158</v>
      </c>
      <c r="C80" s="26" t="s">
        <v>87</v>
      </c>
      <c r="D80" s="27">
        <v>25</v>
      </c>
      <c r="E80" s="27">
        <v>419</v>
      </c>
      <c r="F80" s="27">
        <v>9</v>
      </c>
      <c r="G80" s="27">
        <v>6</v>
      </c>
      <c r="H80" s="27">
        <v>422</v>
      </c>
      <c r="I80" s="27">
        <f>+IFERROR(VLOOKUP(A80,'[1]Pending Dispatch'!$N$2:$O$651,2,0),0)</f>
        <v>0</v>
      </c>
      <c r="J80" s="27">
        <f t="shared" si="1"/>
        <v>422</v>
      </c>
      <c r="K80" s="28">
        <v>0.30789999999999995</v>
      </c>
      <c r="L80" s="28">
        <v>0.13824709999999998</v>
      </c>
      <c r="M80" s="26">
        <v>618</v>
      </c>
      <c r="N80" s="26">
        <v>260796</v>
      </c>
    </row>
    <row r="81" spans="1:14" ht="15" customHeight="1" x14ac:dyDescent="0.3">
      <c r="A81" s="25" t="s">
        <v>159</v>
      </c>
      <c r="B81" s="26" t="s">
        <v>160</v>
      </c>
      <c r="C81" s="26" t="s">
        <v>87</v>
      </c>
      <c r="D81" s="27">
        <v>18</v>
      </c>
      <c r="E81" s="27">
        <v>497</v>
      </c>
      <c r="F81" s="27">
        <v>0</v>
      </c>
      <c r="G81" s="27">
        <v>150</v>
      </c>
      <c r="H81" s="27">
        <v>347</v>
      </c>
      <c r="I81" s="27">
        <f>+IFERROR(VLOOKUP(A81,'[1]Pending Dispatch'!$N$2:$O$651,2,0),0)</f>
        <v>18</v>
      </c>
      <c r="J81" s="27">
        <f t="shared" si="1"/>
        <v>329</v>
      </c>
      <c r="K81" s="28">
        <v>0.4385</v>
      </c>
      <c r="L81" s="28">
        <v>4.8673499999999995E-2</v>
      </c>
      <c r="M81" s="26">
        <v>892</v>
      </c>
      <c r="N81" s="26">
        <v>293468</v>
      </c>
    </row>
    <row r="82" spans="1:14" ht="15" customHeight="1" x14ac:dyDescent="0.3">
      <c r="A82" s="25" t="s">
        <v>161</v>
      </c>
      <c r="B82" s="26" t="s">
        <v>162</v>
      </c>
      <c r="C82" s="26" t="s">
        <v>87</v>
      </c>
      <c r="D82" s="27">
        <v>10</v>
      </c>
      <c r="E82" s="27">
        <v>203</v>
      </c>
      <c r="F82" s="27">
        <v>9</v>
      </c>
      <c r="G82" s="27">
        <v>70</v>
      </c>
      <c r="H82" s="27">
        <v>142</v>
      </c>
      <c r="I82" s="27">
        <f>+IFERROR(VLOOKUP(A82,'[1]Pending Dispatch'!$N$2:$O$651,2,0),0)</f>
        <v>10</v>
      </c>
      <c r="J82" s="27">
        <f t="shared" si="1"/>
        <v>132</v>
      </c>
      <c r="K82" s="28">
        <v>0.65949999999999998</v>
      </c>
      <c r="L82" s="28">
        <v>0.18465999999999999</v>
      </c>
      <c r="M82" s="26">
        <v>1348</v>
      </c>
      <c r="N82" s="26">
        <v>177936</v>
      </c>
    </row>
    <row r="83" spans="1:14" ht="15" customHeight="1" x14ac:dyDescent="0.3">
      <c r="A83" s="25" t="s">
        <v>163</v>
      </c>
      <c r="B83" s="26" t="s">
        <v>164</v>
      </c>
      <c r="C83" s="26" t="s">
        <v>87</v>
      </c>
      <c r="D83" s="27">
        <v>600</v>
      </c>
      <c r="E83" s="27">
        <v>1613</v>
      </c>
      <c r="F83" s="27">
        <v>0</v>
      </c>
      <c r="G83" s="27">
        <v>200</v>
      </c>
      <c r="H83" s="27">
        <v>1413</v>
      </c>
      <c r="I83" s="27">
        <f>+IFERROR(VLOOKUP(A83,'[1]Pending Dispatch'!$N$2:$O$651,2,0),0)</f>
        <v>29</v>
      </c>
      <c r="J83" s="27">
        <f t="shared" si="1"/>
        <v>1384</v>
      </c>
      <c r="K83" s="28">
        <v>1.7000000000000001E-2</v>
      </c>
      <c r="L83" s="28">
        <v>2.9325000000000004E-2</v>
      </c>
      <c r="M83" s="26">
        <v>29.8</v>
      </c>
      <c r="N83" s="26">
        <v>40230</v>
      </c>
    </row>
    <row r="84" spans="1:14" ht="15" customHeight="1" x14ac:dyDescent="0.3">
      <c r="A84" s="25" t="s">
        <v>165</v>
      </c>
      <c r="B84" s="26" t="s">
        <v>166</v>
      </c>
      <c r="C84" s="26" t="s">
        <v>87</v>
      </c>
      <c r="D84" s="27">
        <v>1000</v>
      </c>
      <c r="E84" s="27">
        <v>293</v>
      </c>
      <c r="F84" s="27">
        <v>4700</v>
      </c>
      <c r="G84" s="27">
        <v>1020</v>
      </c>
      <c r="H84" s="27">
        <v>3973</v>
      </c>
      <c r="I84" s="27">
        <f>+IFERROR(VLOOKUP(A84,'[1]Pending Dispatch'!$N$2:$O$651,2,0),0)</f>
        <v>2000</v>
      </c>
      <c r="J84" s="27">
        <f t="shared" si="1"/>
        <v>1973</v>
      </c>
      <c r="K84" s="28">
        <v>1.0999999999999999E-2</v>
      </c>
      <c r="L84" s="28">
        <v>1.4311000000000001E-2</v>
      </c>
      <c r="M84" s="26">
        <v>16.8</v>
      </c>
      <c r="N84" s="26">
        <v>32894.400000000001</v>
      </c>
    </row>
    <row r="85" spans="1:14" ht="15" customHeight="1" x14ac:dyDescent="0.3">
      <c r="A85" s="25" t="s">
        <v>167</v>
      </c>
      <c r="B85" s="26" t="s">
        <v>168</v>
      </c>
      <c r="C85" s="26" t="s">
        <v>87</v>
      </c>
      <c r="D85" s="27">
        <v>800</v>
      </c>
      <c r="E85" s="27">
        <v>36631</v>
      </c>
      <c r="F85" s="27">
        <v>76800</v>
      </c>
      <c r="G85" s="27">
        <v>76025</v>
      </c>
      <c r="H85" s="27">
        <v>37406</v>
      </c>
      <c r="I85" s="27">
        <f>+IFERROR(VLOOKUP(A85,'[1]Pending Dispatch'!$N$2:$O$651,2,0),0)</f>
        <v>34900</v>
      </c>
      <c r="J85" s="27">
        <f t="shared" si="1"/>
        <v>2506</v>
      </c>
      <c r="K85" s="28">
        <v>2.29E-2</v>
      </c>
      <c r="L85" s="28">
        <v>1.1831514000000001</v>
      </c>
      <c r="M85" s="26">
        <v>19.899999999999999</v>
      </c>
      <c r="N85" s="26">
        <v>-93709.099999999991</v>
      </c>
    </row>
    <row r="86" spans="1:14" ht="15" customHeight="1" x14ac:dyDescent="0.3">
      <c r="A86" s="25" t="s">
        <v>169</v>
      </c>
      <c r="B86" s="26" t="s">
        <v>170</v>
      </c>
      <c r="C86" s="26" t="s">
        <v>87</v>
      </c>
      <c r="D86" s="27">
        <v>400</v>
      </c>
      <c r="E86" s="27">
        <v>47857</v>
      </c>
      <c r="F86" s="27">
        <v>36095</v>
      </c>
      <c r="G86" s="27">
        <v>61175</v>
      </c>
      <c r="H86" s="27">
        <v>22777</v>
      </c>
      <c r="I86" s="27">
        <f>+IFERROR(VLOOKUP(A86,'[1]Pending Dispatch'!$N$2:$O$651,2,0),0)</f>
        <v>20200</v>
      </c>
      <c r="J86" s="27">
        <f t="shared" si="1"/>
        <v>2577</v>
      </c>
      <c r="K86" s="28">
        <v>3.6299999999999999E-2</v>
      </c>
      <c r="L86" s="28">
        <v>1.256343</v>
      </c>
      <c r="M86" s="26">
        <v>39.799999999999997</v>
      </c>
      <c r="N86" s="26">
        <v>22964.6</v>
      </c>
    </row>
    <row r="87" spans="1:14" ht="15" customHeight="1" x14ac:dyDescent="0.3">
      <c r="A87" s="25" t="s">
        <v>171</v>
      </c>
      <c r="B87" s="26" t="s">
        <v>172</v>
      </c>
      <c r="C87" s="26" t="s">
        <v>87</v>
      </c>
      <c r="D87" s="27">
        <v>200</v>
      </c>
      <c r="E87" s="27">
        <v>9713</v>
      </c>
      <c r="F87" s="27">
        <v>0</v>
      </c>
      <c r="G87" s="27">
        <v>7256</v>
      </c>
      <c r="H87" s="27">
        <v>2457</v>
      </c>
      <c r="I87" s="27">
        <f>+IFERROR(VLOOKUP(A87,'[1]Pending Dispatch'!$N$2:$O$651,2,0),0)</f>
        <v>2400</v>
      </c>
      <c r="J87" s="27">
        <f t="shared" si="1"/>
        <v>57</v>
      </c>
      <c r="K87" s="28">
        <v>7.0949999999999999E-2</v>
      </c>
      <c r="L87" s="28">
        <v>0.10131659999999999</v>
      </c>
      <c r="M87" s="26">
        <v>89.9</v>
      </c>
      <c r="N87" s="26">
        <v>-5214.2000000000007</v>
      </c>
    </row>
    <row r="88" spans="1:14" ht="15" customHeight="1" x14ac:dyDescent="0.3">
      <c r="A88" s="25" t="s">
        <v>173</v>
      </c>
      <c r="B88" s="26" t="s">
        <v>174</v>
      </c>
      <c r="C88" s="26" t="s">
        <v>87</v>
      </c>
      <c r="D88" s="27">
        <v>120</v>
      </c>
      <c r="E88" s="27">
        <v>32</v>
      </c>
      <c r="F88" s="27">
        <v>6500</v>
      </c>
      <c r="G88" s="27">
        <v>4520</v>
      </c>
      <c r="H88" s="27">
        <v>2012</v>
      </c>
      <c r="I88" s="27">
        <f>+IFERROR(VLOOKUP(A88,'[1]Pending Dispatch'!$N$2:$O$651,2,0),0)</f>
        <v>2000</v>
      </c>
      <c r="J88" s="27">
        <f t="shared" si="1"/>
        <v>12</v>
      </c>
      <c r="K88" s="28">
        <v>0.11225</v>
      </c>
      <c r="L88" s="28">
        <v>3.1879000000000005E-2</v>
      </c>
      <c r="M88" s="26">
        <v>164.4</v>
      </c>
      <c r="N88" s="26">
        <v>-47347.200000000004</v>
      </c>
    </row>
    <row r="89" spans="1:14" ht="15" customHeight="1" x14ac:dyDescent="0.3">
      <c r="A89" s="25" t="s">
        <v>175</v>
      </c>
      <c r="B89" s="26" t="s">
        <v>176</v>
      </c>
      <c r="C89" s="26" t="s">
        <v>87</v>
      </c>
      <c r="D89" s="27">
        <v>50</v>
      </c>
      <c r="E89" s="27">
        <v>900</v>
      </c>
      <c r="F89" s="27">
        <v>11</v>
      </c>
      <c r="G89" s="27">
        <v>500</v>
      </c>
      <c r="H89" s="27">
        <v>411</v>
      </c>
      <c r="I89" s="27">
        <f>+IFERROR(VLOOKUP(A89,'[1]Pending Dispatch'!$N$2:$O$651,2,0),0)</f>
        <v>550</v>
      </c>
      <c r="J89" s="27">
        <f t="shared" si="1"/>
        <v>-139</v>
      </c>
      <c r="K89" s="28">
        <v>0.2132</v>
      </c>
      <c r="L89" s="28">
        <v>0.25221559999999998</v>
      </c>
      <c r="M89" s="26">
        <v>158</v>
      </c>
      <c r="N89" s="26">
        <v>-26860</v>
      </c>
    </row>
    <row r="90" spans="1:14" ht="15" customHeight="1" x14ac:dyDescent="0.3">
      <c r="A90" s="25" t="s">
        <v>177</v>
      </c>
      <c r="B90" s="26" t="s">
        <v>178</v>
      </c>
      <c r="C90" s="26" t="s">
        <v>87</v>
      </c>
      <c r="D90" s="27">
        <v>15</v>
      </c>
      <c r="E90" s="27">
        <v>258</v>
      </c>
      <c r="F90" s="27">
        <v>0</v>
      </c>
      <c r="G90" s="27">
        <v>21</v>
      </c>
      <c r="H90" s="27">
        <v>237</v>
      </c>
      <c r="I90" s="27">
        <f>+IFERROR(VLOOKUP(A90,'[1]Pending Dispatch'!$N$2:$O$651,2,0),0)</f>
        <v>15</v>
      </c>
      <c r="J90" s="27">
        <f t="shared" si="1"/>
        <v>222</v>
      </c>
      <c r="K90" s="28">
        <v>0.52200000000000002</v>
      </c>
      <c r="L90" s="28">
        <v>0.15033600000000003</v>
      </c>
      <c r="M90" s="26">
        <v>194</v>
      </c>
      <c r="N90" s="26">
        <v>43068</v>
      </c>
    </row>
    <row r="91" spans="1:14" ht="15" customHeight="1" x14ac:dyDescent="0.3">
      <c r="A91" s="25" t="s">
        <v>179</v>
      </c>
      <c r="B91" s="26" t="s">
        <v>180</v>
      </c>
      <c r="C91" s="26" t="s">
        <v>87</v>
      </c>
      <c r="D91" s="27">
        <v>10</v>
      </c>
      <c r="E91" s="27">
        <v>404</v>
      </c>
      <c r="F91" s="27">
        <v>0</v>
      </c>
      <c r="G91" s="27">
        <v>11</v>
      </c>
      <c r="H91" s="27">
        <v>393</v>
      </c>
      <c r="I91" s="27">
        <f>+IFERROR(VLOOKUP(A91,'[1]Pending Dispatch'!$N$2:$O$651,2,0),0)</f>
        <v>10</v>
      </c>
      <c r="J91" s="27">
        <f t="shared" si="1"/>
        <v>383</v>
      </c>
      <c r="K91" s="28">
        <v>0.81420000000000003</v>
      </c>
      <c r="L91" s="28">
        <v>0.40872840000000005</v>
      </c>
      <c r="M91" s="26">
        <v>114</v>
      </c>
      <c r="N91" s="26">
        <v>43662</v>
      </c>
    </row>
    <row r="92" spans="1:14" ht="15" customHeight="1" x14ac:dyDescent="0.3">
      <c r="A92" s="25" t="s">
        <v>181</v>
      </c>
      <c r="B92" s="26" t="s">
        <v>182</v>
      </c>
      <c r="C92" s="26" t="s">
        <v>87</v>
      </c>
      <c r="D92" s="27">
        <v>5</v>
      </c>
      <c r="E92" s="27">
        <v>82</v>
      </c>
      <c r="F92" s="27">
        <v>0</v>
      </c>
      <c r="G92" s="27">
        <v>0</v>
      </c>
      <c r="H92" s="27">
        <v>82</v>
      </c>
      <c r="I92" s="27">
        <f>+IFERROR(VLOOKUP(A92,'[1]Pending Dispatch'!$N$2:$O$651,2,0),0)</f>
        <v>0</v>
      </c>
      <c r="J92" s="27">
        <f t="shared" si="1"/>
        <v>82</v>
      </c>
      <c r="K92" s="28">
        <v>1.3620000000000001</v>
      </c>
      <c r="L92" s="28">
        <v>0.125304</v>
      </c>
      <c r="M92" s="26">
        <v>2288</v>
      </c>
      <c r="N92" s="26">
        <v>187616</v>
      </c>
    </row>
    <row r="93" spans="1:14" ht="15" customHeight="1" x14ac:dyDescent="0.3">
      <c r="A93" s="25" t="s">
        <v>183</v>
      </c>
      <c r="B93" s="26" t="s">
        <v>184</v>
      </c>
      <c r="C93" s="26" t="s">
        <v>87</v>
      </c>
      <c r="D93" s="27">
        <v>600</v>
      </c>
      <c r="E93" s="27">
        <v>2261</v>
      </c>
      <c r="F93" s="27">
        <v>19</v>
      </c>
      <c r="G93" s="27">
        <v>0</v>
      </c>
      <c r="H93" s="27">
        <v>2280</v>
      </c>
      <c r="I93" s="27">
        <f>+IFERROR(VLOOKUP(A93,'[1]Pending Dispatch'!$N$2:$O$651,2,0),0)</f>
        <v>731</v>
      </c>
      <c r="J93" s="27">
        <f t="shared" si="1"/>
        <v>1549</v>
      </c>
      <c r="K93" s="28">
        <v>1.4800000000000001E-2</v>
      </c>
      <c r="L93" s="28">
        <v>3.7518000000000003E-2</v>
      </c>
      <c r="M93" s="26">
        <v>23.8</v>
      </c>
      <c r="N93" s="26">
        <v>36866.200000000004</v>
      </c>
    </row>
    <row r="94" spans="1:14" ht="15" customHeight="1" x14ac:dyDescent="0.3">
      <c r="A94" s="25" t="s">
        <v>185</v>
      </c>
      <c r="B94" s="26" t="s">
        <v>186</v>
      </c>
      <c r="C94" s="26" t="s">
        <v>87</v>
      </c>
      <c r="D94" s="27">
        <v>500</v>
      </c>
      <c r="E94" s="27">
        <v>2234</v>
      </c>
      <c r="F94" s="27">
        <v>68150</v>
      </c>
      <c r="G94" s="27">
        <v>29420</v>
      </c>
      <c r="H94" s="27">
        <v>40964</v>
      </c>
      <c r="I94" s="27">
        <f>+IFERROR(VLOOKUP(A94,'[1]Pending Dispatch'!$N$2:$O$651,2,0),0)</f>
        <v>13371</v>
      </c>
      <c r="J94" s="27">
        <f t="shared" si="1"/>
        <v>27593</v>
      </c>
      <c r="K94" s="28">
        <v>2.9000000000000001E-2</v>
      </c>
      <c r="L94" s="28">
        <v>0.68712600000000013</v>
      </c>
      <c r="M94" s="26">
        <v>32.4</v>
      </c>
      <c r="N94" s="26">
        <v>812689.2</v>
      </c>
    </row>
    <row r="95" spans="1:14" ht="15" customHeight="1" x14ac:dyDescent="0.3">
      <c r="A95" s="25" t="s">
        <v>187</v>
      </c>
      <c r="B95" s="26" t="s">
        <v>188</v>
      </c>
      <c r="C95" s="26" t="s">
        <v>87</v>
      </c>
      <c r="D95" s="27">
        <v>300</v>
      </c>
      <c r="E95" s="27">
        <v>4752</v>
      </c>
      <c r="F95" s="27">
        <v>33600</v>
      </c>
      <c r="G95" s="27">
        <v>16135</v>
      </c>
      <c r="H95" s="27">
        <v>22217</v>
      </c>
      <c r="I95" s="27">
        <f>+IFERROR(VLOOKUP(A95,'[1]Pending Dispatch'!$N$2:$O$651,2,0),0)</f>
        <v>7781</v>
      </c>
      <c r="J95" s="27">
        <f t="shared" si="1"/>
        <v>14436</v>
      </c>
      <c r="K95" s="28">
        <v>4.9200000000000001E-2</v>
      </c>
      <c r="L95" s="28">
        <v>0.50557920000000001</v>
      </c>
      <c r="M95" s="26">
        <v>51.9</v>
      </c>
      <c r="N95" s="26">
        <v>971100.9</v>
      </c>
    </row>
    <row r="96" spans="1:14" ht="15" customHeight="1" x14ac:dyDescent="0.3">
      <c r="A96" s="25" t="s">
        <v>189</v>
      </c>
      <c r="B96" s="26" t="s">
        <v>190</v>
      </c>
      <c r="C96" s="26" t="s">
        <v>87</v>
      </c>
      <c r="D96" s="27">
        <v>150</v>
      </c>
      <c r="E96" s="27">
        <v>3957</v>
      </c>
      <c r="F96" s="27">
        <v>112</v>
      </c>
      <c r="G96" s="27">
        <v>1800</v>
      </c>
      <c r="H96" s="27">
        <v>2269</v>
      </c>
      <c r="I96" s="27">
        <f>+IFERROR(VLOOKUP(A96,'[1]Pending Dispatch'!$N$2:$O$651,2,0),0)</f>
        <v>1500</v>
      </c>
      <c r="J96" s="27">
        <f t="shared" si="1"/>
        <v>769</v>
      </c>
      <c r="K96" s="28">
        <v>8.7300000000000003E-2</v>
      </c>
      <c r="L96" s="28">
        <v>0.12405330000000001</v>
      </c>
      <c r="M96" s="26">
        <v>112</v>
      </c>
      <c r="N96" s="26">
        <v>63168</v>
      </c>
    </row>
    <row r="97" spans="1:16" ht="15" customHeight="1" x14ac:dyDescent="0.3">
      <c r="A97" s="25" t="s">
        <v>191</v>
      </c>
      <c r="B97" s="26" t="s">
        <v>192</v>
      </c>
      <c r="C97" s="26" t="s">
        <v>87</v>
      </c>
      <c r="D97" s="27">
        <v>80</v>
      </c>
      <c r="E97" s="27">
        <v>1642</v>
      </c>
      <c r="F97" s="27">
        <v>1820</v>
      </c>
      <c r="G97" s="27">
        <v>1788</v>
      </c>
      <c r="H97" s="27">
        <v>1674</v>
      </c>
      <c r="I97" s="27">
        <f>+IFERROR(VLOOKUP(A97,'[1]Pending Dispatch'!$N$2:$O$651,2,0),0)</f>
        <v>1240</v>
      </c>
      <c r="J97" s="27">
        <f t="shared" si="1"/>
        <v>434</v>
      </c>
      <c r="K97" s="28">
        <v>0.14545</v>
      </c>
      <c r="L97" s="28">
        <v>0.45336764999999996</v>
      </c>
      <c r="M97" s="26">
        <v>204</v>
      </c>
      <c r="N97" s="26">
        <v>47736</v>
      </c>
    </row>
    <row r="98" spans="1:16" ht="15" customHeight="1" x14ac:dyDescent="0.3">
      <c r="A98" s="25" t="s">
        <v>193</v>
      </c>
      <c r="B98" s="26" t="s">
        <v>194</v>
      </c>
      <c r="C98" s="26" t="s">
        <v>87</v>
      </c>
      <c r="D98" s="27">
        <v>40</v>
      </c>
      <c r="E98" s="27">
        <v>314</v>
      </c>
      <c r="F98" s="27">
        <v>470</v>
      </c>
      <c r="G98" s="27">
        <v>350</v>
      </c>
      <c r="H98" s="27">
        <v>434</v>
      </c>
      <c r="I98" s="27">
        <f>+IFERROR(VLOOKUP(A98,'[1]Pending Dispatch'!$N$2:$O$651,2,0),0)</f>
        <v>290</v>
      </c>
      <c r="J98" s="27">
        <f t="shared" si="1"/>
        <v>144</v>
      </c>
      <c r="K98" s="28">
        <v>0.29749999999999999</v>
      </c>
      <c r="L98" s="28">
        <v>0.1139425</v>
      </c>
      <c r="M98" s="26">
        <v>418</v>
      </c>
      <c r="N98" s="26">
        <v>49742</v>
      </c>
    </row>
    <row r="99" spans="1:16" ht="15" customHeight="1" x14ac:dyDescent="0.3">
      <c r="A99" s="25" t="s">
        <v>195</v>
      </c>
      <c r="B99" s="26" t="s">
        <v>196</v>
      </c>
      <c r="C99" s="26" t="s">
        <v>87</v>
      </c>
      <c r="D99" s="27">
        <v>10</v>
      </c>
      <c r="E99" s="27">
        <v>64</v>
      </c>
      <c r="F99" s="27">
        <v>0</v>
      </c>
      <c r="G99" s="27">
        <v>14</v>
      </c>
      <c r="H99" s="27">
        <v>50</v>
      </c>
      <c r="I99" s="27">
        <f>+IFERROR(VLOOKUP(A99,'[1]Pending Dispatch'!$N$2:$O$651,2,0),0)</f>
        <v>0</v>
      </c>
      <c r="J99" s="27">
        <f t="shared" si="1"/>
        <v>50</v>
      </c>
      <c r="K99" s="28">
        <v>0.68700000000000006</v>
      </c>
      <c r="L99" s="28">
        <v>4.3968E-2</v>
      </c>
      <c r="M99" s="26">
        <v>1360</v>
      </c>
      <c r="N99" s="26">
        <v>68000</v>
      </c>
    </row>
    <row r="100" spans="1:16" ht="15" customHeight="1" x14ac:dyDescent="0.3">
      <c r="A100" s="25" t="s">
        <v>197</v>
      </c>
      <c r="B100" s="26" t="s">
        <v>198</v>
      </c>
      <c r="C100" s="26" t="s">
        <v>87</v>
      </c>
      <c r="D100" s="27">
        <v>6</v>
      </c>
      <c r="E100" s="27">
        <v>1</v>
      </c>
      <c r="F100" s="27">
        <v>100</v>
      </c>
      <c r="G100" s="27">
        <v>6</v>
      </c>
      <c r="H100" s="27">
        <v>95</v>
      </c>
      <c r="I100" s="27">
        <f>+IFERROR(VLOOKUP(A100,'[1]Pending Dispatch'!$N$2:$O$651,2,0),0)</f>
        <v>6</v>
      </c>
      <c r="J100" s="27">
        <f t="shared" si="1"/>
        <v>89</v>
      </c>
      <c r="K100" s="28">
        <v>1.0735999999999999</v>
      </c>
      <c r="L100" s="28">
        <v>0.15459839999999997</v>
      </c>
      <c r="M100" s="26">
        <v>1980</v>
      </c>
      <c r="N100" s="26">
        <v>176220</v>
      </c>
    </row>
    <row r="101" spans="1:16" ht="15" customHeight="1" x14ac:dyDescent="0.3">
      <c r="A101" s="25" t="s">
        <v>199</v>
      </c>
      <c r="B101" s="26" t="s">
        <v>200</v>
      </c>
      <c r="C101" s="26" t="s">
        <v>87</v>
      </c>
      <c r="D101" s="27">
        <v>4</v>
      </c>
      <c r="E101" s="27">
        <v>330</v>
      </c>
      <c r="F101" s="27">
        <v>0</v>
      </c>
      <c r="G101" s="27">
        <v>0</v>
      </c>
      <c r="H101" s="27">
        <v>330</v>
      </c>
      <c r="I101" s="27">
        <f>+IFERROR(VLOOKUP(A101,'[1]Pending Dispatch'!$N$2:$O$651,2,0),0)</f>
        <v>0</v>
      </c>
      <c r="J101" s="27">
        <f t="shared" si="1"/>
        <v>330</v>
      </c>
      <c r="K101" s="28">
        <v>1.7230000000000001</v>
      </c>
      <c r="L101" s="28">
        <v>0.578928</v>
      </c>
      <c r="M101" s="26">
        <v>3240</v>
      </c>
      <c r="N101" s="26">
        <v>1069200</v>
      </c>
    </row>
    <row r="102" spans="1:16" ht="15" customHeight="1" x14ac:dyDescent="0.3">
      <c r="A102" s="25" t="s">
        <v>201</v>
      </c>
      <c r="B102" s="26" t="s">
        <v>202</v>
      </c>
      <c r="C102" s="26" t="s">
        <v>87</v>
      </c>
      <c r="D102" s="27">
        <v>150</v>
      </c>
      <c r="E102" s="27">
        <v>3508</v>
      </c>
      <c r="F102" s="27">
        <v>18324</v>
      </c>
      <c r="G102" s="27">
        <v>8064</v>
      </c>
      <c r="H102" s="27">
        <v>13768</v>
      </c>
      <c r="I102" s="27">
        <f>+IFERROR(VLOOKUP(A102,'[1]Pending Dispatch'!$N$2:$O$651,2,0),0)</f>
        <v>5231</v>
      </c>
      <c r="J102" s="27">
        <f t="shared" si="1"/>
        <v>8537</v>
      </c>
      <c r="K102" s="28">
        <v>7.6249999999999998E-2</v>
      </c>
      <c r="L102" s="28">
        <v>0.14281625000000001</v>
      </c>
      <c r="M102" s="26">
        <v>168.8</v>
      </c>
      <c r="N102" s="26">
        <v>1213165.6000000001</v>
      </c>
    </row>
    <row r="103" spans="1:16" ht="15" customHeight="1" x14ac:dyDescent="0.3">
      <c r="A103" s="25" t="s">
        <v>203</v>
      </c>
      <c r="B103" s="26" t="s">
        <v>204</v>
      </c>
      <c r="C103" s="26" t="s">
        <v>87</v>
      </c>
      <c r="D103" s="27">
        <v>150</v>
      </c>
      <c r="E103" s="27">
        <v>1797</v>
      </c>
      <c r="F103" s="27">
        <v>4891</v>
      </c>
      <c r="G103" s="27">
        <v>3684</v>
      </c>
      <c r="H103" s="27">
        <v>3004</v>
      </c>
      <c r="I103" s="27">
        <f>+IFERROR(VLOOKUP(A103,'[1]Pending Dispatch'!$N$2:$O$651,2,0),0)</f>
        <v>2100</v>
      </c>
      <c r="J103" s="27">
        <f t="shared" si="1"/>
        <v>904</v>
      </c>
      <c r="K103" s="28">
        <v>8.7999999999999995E-2</v>
      </c>
      <c r="L103" s="28">
        <v>0.44395999999999997</v>
      </c>
      <c r="M103" s="26">
        <v>248.6</v>
      </c>
      <c r="N103" s="26">
        <v>220756.8</v>
      </c>
      <c r="P103" s="30"/>
    </row>
    <row r="104" spans="1:16" ht="15" customHeight="1" x14ac:dyDescent="0.3">
      <c r="A104" s="25" t="s">
        <v>205</v>
      </c>
      <c r="B104" s="26" t="s">
        <v>206</v>
      </c>
      <c r="C104" s="26" t="s">
        <v>87</v>
      </c>
      <c r="D104" s="27">
        <v>50</v>
      </c>
      <c r="E104" s="27">
        <v>9</v>
      </c>
      <c r="F104" s="27">
        <v>3395</v>
      </c>
      <c r="G104" s="27">
        <v>1900</v>
      </c>
      <c r="H104" s="27">
        <v>1504</v>
      </c>
      <c r="I104" s="27">
        <f>+IFERROR(VLOOKUP(A104,'[1]Pending Dispatch'!$N$2:$O$651,2,0),0)</f>
        <v>950</v>
      </c>
      <c r="J104" s="27">
        <f t="shared" si="1"/>
        <v>554</v>
      </c>
      <c r="K104" s="28">
        <v>0.17449999999999999</v>
      </c>
      <c r="L104" s="28">
        <v>0.35353699999999999</v>
      </c>
      <c r="M104" s="26">
        <v>368</v>
      </c>
      <c r="N104" s="26">
        <v>1486352</v>
      </c>
    </row>
    <row r="105" spans="1:16" ht="15" customHeight="1" x14ac:dyDescent="0.3">
      <c r="A105" s="25" t="s">
        <v>207</v>
      </c>
      <c r="B105" s="26" t="s">
        <v>208</v>
      </c>
      <c r="C105" s="26" t="s">
        <v>87</v>
      </c>
      <c r="D105" s="27">
        <v>25</v>
      </c>
      <c r="E105" s="27">
        <v>238</v>
      </c>
      <c r="F105" s="27">
        <v>0</v>
      </c>
      <c r="G105" s="27">
        <v>225</v>
      </c>
      <c r="H105" s="27">
        <v>13</v>
      </c>
      <c r="I105" s="27">
        <f>+IFERROR(VLOOKUP(A105,'[1]Pending Dispatch'!$N$2:$O$651,2,0),0)</f>
        <v>175</v>
      </c>
      <c r="J105" s="27">
        <f t="shared" si="1"/>
        <v>-162</v>
      </c>
      <c r="K105" s="28">
        <v>0.36549999999999999</v>
      </c>
      <c r="L105" s="28">
        <v>0.1122085</v>
      </c>
      <c r="M105" s="26">
        <v>798</v>
      </c>
      <c r="N105" s="26">
        <v>264138</v>
      </c>
    </row>
    <row r="106" spans="1:16" ht="15" customHeight="1" x14ac:dyDescent="0.3">
      <c r="A106" s="25" t="s">
        <v>209</v>
      </c>
      <c r="B106" s="26" t="s">
        <v>210</v>
      </c>
      <c r="C106" s="26" t="s">
        <v>87</v>
      </c>
      <c r="D106" s="27">
        <v>25</v>
      </c>
      <c r="E106" s="27">
        <v>199</v>
      </c>
      <c r="F106" s="27">
        <v>66</v>
      </c>
      <c r="G106" s="27">
        <v>185</v>
      </c>
      <c r="H106" s="27">
        <v>80</v>
      </c>
      <c r="I106" s="27">
        <f>+IFERROR(VLOOKUP(A106,'[1]Pending Dispatch'!$N$2:$O$651,2,0),0)</f>
        <v>70</v>
      </c>
      <c r="J106" s="27">
        <f t="shared" si="1"/>
        <v>10</v>
      </c>
      <c r="K106" s="28">
        <v>0.48575000000000002</v>
      </c>
      <c r="L106" s="28">
        <v>0.34536824999999999</v>
      </c>
      <c r="M106" s="26">
        <v>1058.5999999999999</v>
      </c>
      <c r="N106" s="26">
        <v>10586</v>
      </c>
    </row>
    <row r="107" spans="1:16" ht="15" customHeight="1" x14ac:dyDescent="0.3">
      <c r="A107" s="25" t="s">
        <v>211</v>
      </c>
      <c r="B107" s="26" t="s">
        <v>212</v>
      </c>
      <c r="C107" s="26" t="s">
        <v>87</v>
      </c>
      <c r="D107" s="27">
        <v>15</v>
      </c>
      <c r="E107" s="27">
        <v>329</v>
      </c>
      <c r="F107" s="27">
        <v>0</v>
      </c>
      <c r="G107" s="27">
        <v>20</v>
      </c>
      <c r="H107" s="27">
        <v>309</v>
      </c>
      <c r="I107" s="27">
        <f>+IFERROR(VLOOKUP(A107,'[1]Pending Dispatch'!$N$2:$O$651,2,0),0)</f>
        <v>30</v>
      </c>
      <c r="J107" s="27">
        <f t="shared" si="1"/>
        <v>279</v>
      </c>
      <c r="K107" s="28">
        <v>0.79849999999999999</v>
      </c>
      <c r="L107" s="28">
        <v>0.31460899999999997</v>
      </c>
      <c r="M107" s="26"/>
      <c r="N107" s="26">
        <v>0</v>
      </c>
    </row>
    <row r="108" spans="1:16" ht="15" customHeight="1" x14ac:dyDescent="0.3">
      <c r="A108" s="25" t="s">
        <v>213</v>
      </c>
      <c r="B108" s="26" t="s">
        <v>214</v>
      </c>
      <c r="C108" s="26" t="s">
        <v>87</v>
      </c>
      <c r="D108" s="27">
        <v>150</v>
      </c>
      <c r="E108" s="27">
        <v>678</v>
      </c>
      <c r="F108" s="27">
        <v>2254</v>
      </c>
      <c r="G108" s="27">
        <v>300</v>
      </c>
      <c r="H108" s="27">
        <v>2632</v>
      </c>
      <c r="I108" s="27">
        <f>+IFERROR(VLOOKUP(A108,'[1]Pending Dispatch'!$N$2:$O$651,2,0),0)</f>
        <v>431</v>
      </c>
      <c r="J108" s="27">
        <f t="shared" si="1"/>
        <v>2201</v>
      </c>
      <c r="K108" s="28">
        <v>8.8450000000000001E-2</v>
      </c>
      <c r="L108" s="28">
        <v>0.20732679999999998</v>
      </c>
      <c r="M108" s="26">
        <v>246.2</v>
      </c>
      <c r="N108" s="26">
        <v>541393.79999999993</v>
      </c>
    </row>
    <row r="109" spans="1:16" ht="15" customHeight="1" x14ac:dyDescent="0.3">
      <c r="A109" s="25" t="s">
        <v>215</v>
      </c>
      <c r="B109" s="26" t="s">
        <v>216</v>
      </c>
      <c r="C109" s="26" t="s">
        <v>87</v>
      </c>
      <c r="D109" s="27">
        <v>50</v>
      </c>
      <c r="E109" s="27">
        <v>74</v>
      </c>
      <c r="F109" s="27">
        <v>1956</v>
      </c>
      <c r="G109" s="27">
        <v>775</v>
      </c>
      <c r="H109" s="27">
        <v>1255</v>
      </c>
      <c r="I109" s="27">
        <f>+IFERROR(VLOOKUP(A109,'[1]Pending Dispatch'!$N$2:$O$651,2,0),0)</f>
        <v>531</v>
      </c>
      <c r="J109" s="27">
        <f t="shared" si="1"/>
        <v>724</v>
      </c>
      <c r="K109" s="28">
        <v>0.20232</v>
      </c>
      <c r="L109" s="28">
        <v>0.17176967999999998</v>
      </c>
      <c r="M109" s="26">
        <v>468.8</v>
      </c>
      <c r="N109" s="26">
        <v>334254.40000000002</v>
      </c>
    </row>
    <row r="110" spans="1:16" ht="15" customHeight="1" x14ac:dyDescent="0.3">
      <c r="A110" s="25" t="s">
        <v>217</v>
      </c>
      <c r="B110" s="26" t="s">
        <v>218</v>
      </c>
      <c r="C110" s="26" t="s">
        <v>87</v>
      </c>
      <c r="D110" s="27">
        <v>25</v>
      </c>
      <c r="E110" s="27">
        <v>301</v>
      </c>
      <c r="F110" s="27">
        <v>299</v>
      </c>
      <c r="G110" s="27">
        <v>375</v>
      </c>
      <c r="H110" s="27">
        <v>225</v>
      </c>
      <c r="I110" s="27">
        <f>+IFERROR(VLOOKUP(A110,'[1]Pending Dispatch'!$N$2:$O$651,2,0),0)</f>
        <v>100</v>
      </c>
      <c r="J110" s="27">
        <f t="shared" si="1"/>
        <v>125</v>
      </c>
      <c r="K110" s="28">
        <v>0.37389999999999995</v>
      </c>
      <c r="L110" s="28">
        <v>3.1033699999999997E-2</v>
      </c>
      <c r="M110" s="26">
        <v>848.8</v>
      </c>
      <c r="N110" s="26">
        <v>85728.799999999988</v>
      </c>
    </row>
    <row r="111" spans="1:16" ht="15" customHeight="1" x14ac:dyDescent="0.3">
      <c r="A111" s="25" t="s">
        <v>219</v>
      </c>
      <c r="B111" s="26" t="s">
        <v>220</v>
      </c>
      <c r="C111" s="26" t="s">
        <v>87</v>
      </c>
      <c r="D111" s="27">
        <v>25</v>
      </c>
      <c r="E111" s="27">
        <v>282.00000000000023</v>
      </c>
      <c r="F111" s="27">
        <v>56.999999999999773</v>
      </c>
      <c r="G111" s="27">
        <v>159</v>
      </c>
      <c r="H111" s="27">
        <v>180</v>
      </c>
      <c r="I111" s="27">
        <f>+IFERROR(VLOOKUP(A111,'[1]Pending Dispatch'!$N$2:$O$651,2,0),0)</f>
        <v>75</v>
      </c>
      <c r="J111" s="27">
        <f t="shared" si="1"/>
        <v>105</v>
      </c>
      <c r="K111" s="28">
        <v>0.83875</v>
      </c>
      <c r="L111" s="28">
        <v>0.59131875000000012</v>
      </c>
      <c r="M111" s="26">
        <v>958.4</v>
      </c>
      <c r="N111" s="26">
        <v>100632</v>
      </c>
    </row>
    <row r="112" spans="1:16" ht="15" customHeight="1" x14ac:dyDescent="0.3">
      <c r="A112" s="25" t="s">
        <v>221</v>
      </c>
      <c r="B112" s="26" t="s">
        <v>222</v>
      </c>
      <c r="C112" s="26" t="s">
        <v>87</v>
      </c>
      <c r="D112" s="27">
        <v>15</v>
      </c>
      <c r="E112" s="27">
        <v>222</v>
      </c>
      <c r="F112" s="27">
        <v>8</v>
      </c>
      <c r="G112" s="27">
        <v>5</v>
      </c>
      <c r="H112" s="27">
        <v>225</v>
      </c>
      <c r="I112" s="27">
        <f>+IFERROR(VLOOKUP(A112,'[1]Pending Dispatch'!$N$2:$O$651,2,0),0)</f>
        <v>50</v>
      </c>
      <c r="J112" s="27">
        <f t="shared" si="1"/>
        <v>175</v>
      </c>
      <c r="K112" s="28">
        <v>0.67049999999999998</v>
      </c>
      <c r="L112" s="28">
        <v>3.3525E-3</v>
      </c>
      <c r="M112" s="26">
        <v>1822.4</v>
      </c>
      <c r="N112" s="26">
        <v>318920</v>
      </c>
    </row>
    <row r="113" spans="1:14" ht="15" customHeight="1" x14ac:dyDescent="0.3">
      <c r="A113" s="25" t="s">
        <v>223</v>
      </c>
      <c r="B113" s="26" t="s">
        <v>224</v>
      </c>
      <c r="C113" s="26" t="s">
        <v>87</v>
      </c>
      <c r="D113" s="27">
        <v>500</v>
      </c>
      <c r="E113" s="27">
        <v>1064</v>
      </c>
      <c r="F113" s="27">
        <v>0</v>
      </c>
      <c r="G113" s="27">
        <v>5</v>
      </c>
      <c r="H113" s="27">
        <v>1059</v>
      </c>
      <c r="I113" s="27">
        <f>+IFERROR(VLOOKUP(A113,'[1]Pending Dispatch'!$N$2:$O$651,2,0),0)</f>
        <v>1500</v>
      </c>
      <c r="J113" s="27">
        <f t="shared" si="1"/>
        <v>-441</v>
      </c>
      <c r="K113" s="28">
        <v>2.095E-2</v>
      </c>
      <c r="L113" s="28">
        <v>3.0670800000000002E-2</v>
      </c>
      <c r="M113" s="26">
        <v>37.799999999999997</v>
      </c>
      <c r="N113" s="26">
        <v>-35569.799999999996</v>
      </c>
    </row>
    <row r="114" spans="1:14" ht="15" customHeight="1" x14ac:dyDescent="0.3">
      <c r="A114" s="25" t="s">
        <v>225</v>
      </c>
      <c r="B114" s="26" t="s">
        <v>226</v>
      </c>
      <c r="C114" s="26" t="s">
        <v>87</v>
      </c>
      <c r="D114" s="27">
        <v>250</v>
      </c>
      <c r="E114" s="27">
        <v>297</v>
      </c>
      <c r="F114" s="27">
        <v>0</v>
      </c>
      <c r="G114" s="27">
        <v>0</v>
      </c>
      <c r="H114" s="27">
        <v>297</v>
      </c>
      <c r="I114" s="27">
        <f>+IFERROR(VLOOKUP(A114,'[1]Pending Dispatch'!$N$2:$O$651,2,0),0)</f>
        <v>0</v>
      </c>
      <c r="J114" s="27">
        <f t="shared" si="1"/>
        <v>297</v>
      </c>
      <c r="K114" s="28">
        <v>3.5075000000000002E-2</v>
      </c>
      <c r="L114" s="28">
        <v>2.8831650000000004E-2</v>
      </c>
      <c r="M114" s="26">
        <v>51.8</v>
      </c>
      <c r="N114" s="26">
        <v>15384.599999999999</v>
      </c>
    </row>
    <row r="115" spans="1:14" ht="15" customHeight="1" x14ac:dyDescent="0.3">
      <c r="A115" s="25" t="s">
        <v>227</v>
      </c>
      <c r="B115" s="26" t="s">
        <v>228</v>
      </c>
      <c r="C115" s="26" t="s">
        <v>87</v>
      </c>
      <c r="D115" s="27">
        <v>400</v>
      </c>
      <c r="E115" s="27">
        <v>1054</v>
      </c>
      <c r="F115" s="27">
        <v>114</v>
      </c>
      <c r="G115" s="27">
        <v>600</v>
      </c>
      <c r="H115" s="27">
        <v>568</v>
      </c>
      <c r="I115" s="27">
        <f>+IFERROR(VLOOKUP(A115,'[1]Pending Dispatch'!$N$2:$O$651,2,0),0)</f>
        <v>100</v>
      </c>
      <c r="J115" s="27">
        <f t="shared" si="1"/>
        <v>468</v>
      </c>
      <c r="K115" s="28">
        <v>1.9350000000000003E-2</v>
      </c>
      <c r="L115" s="28">
        <v>8.4249900000000016E-2</v>
      </c>
      <c r="M115" s="26">
        <v>32.9</v>
      </c>
      <c r="N115" s="26">
        <v>15397.199999999999</v>
      </c>
    </row>
    <row r="116" spans="1:14" ht="15" customHeight="1" x14ac:dyDescent="0.3">
      <c r="A116" s="25" t="s">
        <v>229</v>
      </c>
      <c r="B116" s="26" t="s">
        <v>230</v>
      </c>
      <c r="C116" s="26" t="s">
        <v>87</v>
      </c>
      <c r="D116" s="27">
        <v>200</v>
      </c>
      <c r="E116" s="27">
        <v>3514</v>
      </c>
      <c r="F116" s="27">
        <v>404</v>
      </c>
      <c r="G116" s="27">
        <v>700</v>
      </c>
      <c r="H116" s="27">
        <v>3218</v>
      </c>
      <c r="I116" s="27">
        <f>+IFERROR(VLOOKUP(A116,'[1]Pending Dispatch'!$N$2:$O$651,2,0),0)</f>
        <v>300</v>
      </c>
      <c r="J116" s="27">
        <f t="shared" si="1"/>
        <v>2918</v>
      </c>
      <c r="K116" s="28">
        <v>3.3149999999999999E-2</v>
      </c>
      <c r="L116" s="28">
        <v>0.1724463</v>
      </c>
      <c r="M116" s="26">
        <v>46.4</v>
      </c>
      <c r="N116" s="26">
        <v>126115.2</v>
      </c>
    </row>
    <row r="117" spans="1:14" ht="15" customHeight="1" x14ac:dyDescent="0.3">
      <c r="A117" s="25" t="s">
        <v>231</v>
      </c>
      <c r="B117" s="26" t="s">
        <v>232</v>
      </c>
      <c r="C117" s="26" t="s">
        <v>87</v>
      </c>
      <c r="D117" s="27">
        <v>120</v>
      </c>
      <c r="E117" s="27">
        <v>364</v>
      </c>
      <c r="F117" s="27">
        <v>80</v>
      </c>
      <c r="G117" s="27">
        <v>0</v>
      </c>
      <c r="H117" s="27">
        <v>444</v>
      </c>
      <c r="I117" s="27">
        <f>+IFERROR(VLOOKUP(A117,'[1]Pending Dispatch'!$N$2:$O$651,2,0),0)</f>
        <v>170</v>
      </c>
      <c r="J117" s="27">
        <f t="shared" si="1"/>
        <v>274</v>
      </c>
      <c r="K117" s="28">
        <v>6.0800000000000007E-2</v>
      </c>
      <c r="L117" s="28">
        <v>0.14129920000000001</v>
      </c>
      <c r="M117" s="26">
        <v>109.8</v>
      </c>
      <c r="N117" s="26">
        <v>30085.200000000001</v>
      </c>
    </row>
    <row r="118" spans="1:14" ht="15" customHeight="1" x14ac:dyDescent="0.3">
      <c r="A118" s="25" t="s">
        <v>233</v>
      </c>
      <c r="B118" s="26" t="s">
        <v>234</v>
      </c>
      <c r="C118" s="26" t="s">
        <v>87</v>
      </c>
      <c r="D118" s="27">
        <v>100</v>
      </c>
      <c r="E118" s="27">
        <v>75</v>
      </c>
      <c r="F118" s="27">
        <v>80</v>
      </c>
      <c r="G118" s="27">
        <v>0</v>
      </c>
      <c r="H118" s="27">
        <v>155</v>
      </c>
      <c r="I118" s="27">
        <f>+IFERROR(VLOOKUP(A118,'[1]Pending Dispatch'!$N$2:$O$651,2,0),0)</f>
        <v>50</v>
      </c>
      <c r="J118" s="27">
        <f t="shared" si="1"/>
        <v>105</v>
      </c>
      <c r="K118" s="28">
        <v>8.7050000000000002E-2</v>
      </c>
      <c r="L118" s="28">
        <v>0.13283829999999999</v>
      </c>
      <c r="M118" s="26">
        <v>158</v>
      </c>
      <c r="N118" s="26">
        <v>16590</v>
      </c>
    </row>
    <row r="119" spans="1:14" ht="15" customHeight="1" x14ac:dyDescent="0.3">
      <c r="A119" s="25" t="s">
        <v>235</v>
      </c>
      <c r="B119" s="26" t="s">
        <v>236</v>
      </c>
      <c r="C119" s="26" t="s">
        <v>87</v>
      </c>
      <c r="D119" s="27">
        <v>50</v>
      </c>
      <c r="E119" s="27">
        <v>328</v>
      </c>
      <c r="F119" s="27">
        <v>24</v>
      </c>
      <c r="G119" s="27">
        <v>0</v>
      </c>
      <c r="H119" s="27">
        <v>352</v>
      </c>
      <c r="I119" s="27">
        <f>+IFERROR(VLOOKUP(A119,'[1]Pending Dispatch'!$N$2:$O$651,2,0),0)</f>
        <v>0</v>
      </c>
      <c r="J119" s="27">
        <f t="shared" si="1"/>
        <v>352</v>
      </c>
      <c r="K119" s="28">
        <v>0.15190000000000001</v>
      </c>
      <c r="L119" s="28">
        <v>8.9621000000000006E-3</v>
      </c>
      <c r="M119" s="26">
        <v>249</v>
      </c>
      <c r="N119" s="26">
        <v>87648</v>
      </c>
    </row>
    <row r="120" spans="1:14" ht="15" customHeight="1" x14ac:dyDescent="0.3">
      <c r="A120" s="25" t="s">
        <v>237</v>
      </c>
      <c r="B120" s="26" t="s">
        <v>238</v>
      </c>
      <c r="C120" s="26" t="s">
        <v>87</v>
      </c>
      <c r="D120" s="27">
        <v>30</v>
      </c>
      <c r="E120" s="27">
        <v>120</v>
      </c>
      <c r="F120" s="27">
        <v>0</v>
      </c>
      <c r="G120" s="27">
        <v>0</v>
      </c>
      <c r="H120" s="27">
        <v>120</v>
      </c>
      <c r="I120" s="27">
        <f>+IFERROR(VLOOKUP(A120,'[1]Pending Dispatch'!$N$2:$O$651,2,0),0)</f>
        <v>0</v>
      </c>
      <c r="J120" s="27">
        <f t="shared" si="1"/>
        <v>120</v>
      </c>
      <c r="K120" s="28">
        <v>0.20699999999999999</v>
      </c>
      <c r="L120" s="28">
        <v>2.4840000000000001E-2</v>
      </c>
      <c r="M120" s="26">
        <v>398</v>
      </c>
      <c r="N120" s="26">
        <v>47760</v>
      </c>
    </row>
    <row r="121" spans="1:14" ht="15" customHeight="1" x14ac:dyDescent="0.3">
      <c r="A121" s="25" t="s">
        <v>239</v>
      </c>
      <c r="B121" s="26" t="s">
        <v>240</v>
      </c>
      <c r="C121" s="26" t="s">
        <v>87</v>
      </c>
      <c r="D121" s="27">
        <v>20</v>
      </c>
      <c r="E121" s="27">
        <v>97</v>
      </c>
      <c r="F121" s="27">
        <v>0</v>
      </c>
      <c r="G121" s="27">
        <v>0</v>
      </c>
      <c r="H121" s="27">
        <v>97</v>
      </c>
      <c r="I121" s="27">
        <f>+IFERROR(VLOOKUP(A121,'[1]Pending Dispatch'!$N$2:$O$651,2,0),0)</f>
        <v>20</v>
      </c>
      <c r="J121" s="27">
        <f t="shared" si="1"/>
        <v>77</v>
      </c>
      <c r="K121" s="28">
        <v>0.38900000000000001</v>
      </c>
      <c r="L121" s="28">
        <v>3.7733000000000003E-2</v>
      </c>
      <c r="M121" s="26">
        <v>648</v>
      </c>
      <c r="N121" s="26">
        <v>49896</v>
      </c>
    </row>
    <row r="122" spans="1:14" ht="15" customHeight="1" x14ac:dyDescent="0.3">
      <c r="A122" s="25" t="s">
        <v>241</v>
      </c>
      <c r="B122" s="26" t="s">
        <v>242</v>
      </c>
      <c r="C122" s="26" t="s">
        <v>87</v>
      </c>
      <c r="D122" s="27">
        <v>10</v>
      </c>
      <c r="E122" s="27">
        <v>98</v>
      </c>
      <c r="F122" s="27">
        <v>0</v>
      </c>
      <c r="G122" s="27">
        <v>0</v>
      </c>
      <c r="H122" s="27">
        <v>98</v>
      </c>
      <c r="I122" s="27">
        <f>+IFERROR(VLOOKUP(A122,'[1]Pending Dispatch'!$N$2:$O$651,2,0),0)</f>
        <v>0</v>
      </c>
      <c r="J122" s="27">
        <f t="shared" si="1"/>
        <v>98</v>
      </c>
      <c r="K122" s="28">
        <v>0.6</v>
      </c>
      <c r="L122" s="28">
        <v>5.9400000000000001E-2</v>
      </c>
      <c r="M122" s="26">
        <v>1090</v>
      </c>
      <c r="N122" s="26">
        <v>106820</v>
      </c>
    </row>
    <row r="123" spans="1:14" ht="15" customHeight="1" x14ac:dyDescent="0.3">
      <c r="A123" s="25" t="s">
        <v>243</v>
      </c>
      <c r="B123" s="26" t="s">
        <v>244</v>
      </c>
      <c r="C123" s="26" t="s">
        <v>87</v>
      </c>
      <c r="D123" s="27">
        <v>600</v>
      </c>
      <c r="E123" s="27">
        <v>837</v>
      </c>
      <c r="F123" s="27">
        <v>4200</v>
      </c>
      <c r="G123" s="27">
        <v>700</v>
      </c>
      <c r="H123" s="27">
        <v>4337</v>
      </c>
      <c r="I123" s="27">
        <f>+IFERROR(VLOOKUP(A123,'[1]Pending Dispatch'!$N$2:$O$651,2,0),0)</f>
        <v>1200</v>
      </c>
      <c r="J123" s="27">
        <f t="shared" si="1"/>
        <v>3137</v>
      </c>
      <c r="K123" s="28">
        <v>1.5699999999999999E-2</v>
      </c>
      <c r="L123" s="28">
        <v>5.3960899999999992E-2</v>
      </c>
      <c r="M123" s="26">
        <v>32.299999999999997</v>
      </c>
      <c r="N123" s="26">
        <v>224065.09999999998</v>
      </c>
    </row>
    <row r="124" spans="1:14" ht="15" customHeight="1" x14ac:dyDescent="0.3">
      <c r="A124" s="25" t="s">
        <v>245</v>
      </c>
      <c r="B124" s="26" t="s">
        <v>246</v>
      </c>
      <c r="C124" s="26" t="s">
        <v>87</v>
      </c>
      <c r="D124" s="27">
        <v>600</v>
      </c>
      <c r="E124" s="27">
        <v>4367</v>
      </c>
      <c r="F124" s="27">
        <v>0</v>
      </c>
      <c r="G124" s="27">
        <v>701</v>
      </c>
      <c r="H124" s="27">
        <v>3666</v>
      </c>
      <c r="I124" s="27">
        <f>+IFERROR(VLOOKUP(A124,'[1]Pending Dispatch'!$N$2:$O$651,2,0),0)</f>
        <v>1341</v>
      </c>
      <c r="J124" s="27">
        <f t="shared" si="1"/>
        <v>2325</v>
      </c>
      <c r="K124" s="28">
        <v>1.5720000000000001E-2</v>
      </c>
      <c r="L124" s="28">
        <v>7.0221240000000004E-2</v>
      </c>
      <c r="M124" s="26">
        <v>23.6</v>
      </c>
      <c r="N124" s="26">
        <v>40710</v>
      </c>
    </row>
    <row r="125" spans="1:14" ht="15" customHeight="1" x14ac:dyDescent="0.3">
      <c r="A125" s="25" t="s">
        <v>247</v>
      </c>
      <c r="B125" s="26" t="s">
        <v>248</v>
      </c>
      <c r="C125" s="26" t="s">
        <v>87</v>
      </c>
      <c r="D125" s="27">
        <v>300</v>
      </c>
      <c r="E125" s="27">
        <v>564</v>
      </c>
      <c r="F125" s="27">
        <v>6050</v>
      </c>
      <c r="G125" s="27">
        <v>3300</v>
      </c>
      <c r="H125" s="27">
        <v>3314</v>
      </c>
      <c r="I125" s="27">
        <f>+IFERROR(VLOOKUP(A125,'[1]Pending Dispatch'!$N$2:$O$651,2,0),0)</f>
        <v>1200</v>
      </c>
      <c r="J125" s="27">
        <f t="shared" si="1"/>
        <v>2114</v>
      </c>
      <c r="K125" s="28">
        <v>2.2624999999999999E-2</v>
      </c>
      <c r="L125" s="28">
        <v>0.14624799999999999</v>
      </c>
      <c r="M125" s="26">
        <v>36.5</v>
      </c>
      <c r="N125" s="26">
        <v>44311</v>
      </c>
    </row>
    <row r="126" spans="1:14" ht="15" customHeight="1" x14ac:dyDescent="0.3">
      <c r="A126" s="25" t="s">
        <v>249</v>
      </c>
      <c r="B126" s="26" t="s">
        <v>250</v>
      </c>
      <c r="C126" s="26" t="s">
        <v>87</v>
      </c>
      <c r="D126" s="27">
        <v>150</v>
      </c>
      <c r="E126" s="27">
        <v>2116</v>
      </c>
      <c r="F126" s="27">
        <v>431</v>
      </c>
      <c r="G126" s="27">
        <v>450</v>
      </c>
      <c r="H126" s="27">
        <v>2097</v>
      </c>
      <c r="I126" s="27">
        <f>+IFERROR(VLOOKUP(A126,'[1]Pending Dispatch'!$N$2:$O$651,2,0),0)</f>
        <v>300</v>
      </c>
      <c r="J126" s="27">
        <f t="shared" si="1"/>
        <v>1797</v>
      </c>
      <c r="K126" s="28">
        <v>3.7100000000000001E-2</v>
      </c>
      <c r="L126" s="28">
        <v>6.5667E-3</v>
      </c>
      <c r="M126" s="26">
        <v>54.2</v>
      </c>
      <c r="N126" s="26">
        <v>97397.400000000009</v>
      </c>
    </row>
    <row r="127" spans="1:14" ht="15" customHeight="1" x14ac:dyDescent="0.3">
      <c r="A127" s="25" t="s">
        <v>251</v>
      </c>
      <c r="B127" s="26" t="s">
        <v>252</v>
      </c>
      <c r="C127" s="26" t="s">
        <v>87</v>
      </c>
      <c r="D127" s="27">
        <v>100</v>
      </c>
      <c r="E127" s="27">
        <v>316</v>
      </c>
      <c r="F127" s="27">
        <v>137</v>
      </c>
      <c r="G127" s="27">
        <v>400</v>
      </c>
      <c r="H127" s="27">
        <v>53</v>
      </c>
      <c r="I127" s="27">
        <f>+IFERROR(VLOOKUP(A127,'[1]Pending Dispatch'!$N$2:$O$651,2,0),0)</f>
        <v>100</v>
      </c>
      <c r="J127" s="27">
        <f t="shared" si="1"/>
        <v>-47</v>
      </c>
      <c r="K127" s="28">
        <v>5.7000000000000002E-2</v>
      </c>
      <c r="L127" s="28">
        <v>4.5941999999999997E-2</v>
      </c>
      <c r="M127" s="26">
        <v>91.6</v>
      </c>
      <c r="N127" s="26">
        <v>23174.799999999999</v>
      </c>
    </row>
    <row r="128" spans="1:14" ht="15" customHeight="1" x14ac:dyDescent="0.3">
      <c r="A128" s="25" t="s">
        <v>253</v>
      </c>
      <c r="B128" s="26" t="s">
        <v>254</v>
      </c>
      <c r="C128" s="26" t="s">
        <v>87</v>
      </c>
      <c r="D128" s="27">
        <v>50</v>
      </c>
      <c r="E128" s="27">
        <v>83</v>
      </c>
      <c r="F128" s="27">
        <v>88</v>
      </c>
      <c r="G128" s="27">
        <v>100</v>
      </c>
      <c r="H128" s="27">
        <v>71</v>
      </c>
      <c r="I128" s="27">
        <f>+IFERROR(VLOOKUP(A128,'[1]Pending Dispatch'!$N$2:$O$651,2,0),0)</f>
        <v>0</v>
      </c>
      <c r="J128" s="27">
        <f t="shared" si="1"/>
        <v>71</v>
      </c>
      <c r="K128" s="28">
        <v>0.11600000000000001</v>
      </c>
      <c r="L128" s="28">
        <v>3.1784E-2</v>
      </c>
      <c r="M128" s="26">
        <v>169</v>
      </c>
      <c r="N128" s="26">
        <v>3549</v>
      </c>
    </row>
    <row r="129" spans="1:16" ht="15" customHeight="1" x14ac:dyDescent="0.3">
      <c r="A129" s="25" t="s">
        <v>255</v>
      </c>
      <c r="B129" s="26" t="s">
        <v>256</v>
      </c>
      <c r="C129" s="26" t="s">
        <v>87</v>
      </c>
      <c r="D129" s="27">
        <v>30</v>
      </c>
      <c r="E129" s="27">
        <v>280</v>
      </c>
      <c r="F129" s="27">
        <v>0</v>
      </c>
      <c r="G129" s="27">
        <v>0</v>
      </c>
      <c r="H129" s="27">
        <v>280</v>
      </c>
      <c r="I129" s="27">
        <f>+IFERROR(VLOOKUP(A129,'[1]Pending Dispatch'!$N$2:$O$651,2,0),0)</f>
        <v>0</v>
      </c>
      <c r="J129" s="27">
        <f t="shared" si="1"/>
        <v>280</v>
      </c>
      <c r="K129" s="28">
        <v>0.21299999999999999</v>
      </c>
      <c r="L129" s="28">
        <v>5.9639999999999999E-2</v>
      </c>
      <c r="M129" s="26">
        <v>414.2</v>
      </c>
      <c r="N129" s="26">
        <v>115976</v>
      </c>
    </row>
    <row r="130" spans="1:16" ht="15" customHeight="1" x14ac:dyDescent="0.3">
      <c r="A130" s="25" t="s">
        <v>257</v>
      </c>
      <c r="B130" s="26" t="s">
        <v>258</v>
      </c>
      <c r="C130" s="26" t="s">
        <v>87</v>
      </c>
      <c r="D130" s="27">
        <v>24</v>
      </c>
      <c r="E130" s="27">
        <v>138</v>
      </c>
      <c r="F130" s="27">
        <v>1</v>
      </c>
      <c r="G130" s="27">
        <v>0</v>
      </c>
      <c r="H130" s="27">
        <v>139</v>
      </c>
      <c r="I130" s="27">
        <f>+IFERROR(VLOOKUP(A130,'[1]Pending Dispatch'!$N$2:$O$651,2,0),0)</f>
        <v>0</v>
      </c>
      <c r="J130" s="27">
        <f t="shared" si="1"/>
        <v>139</v>
      </c>
      <c r="K130" s="28">
        <v>0.30199999999999999</v>
      </c>
      <c r="L130" s="28">
        <v>4.8924000000000002E-2</v>
      </c>
      <c r="M130" s="26">
        <v>568.1</v>
      </c>
      <c r="N130" s="26">
        <v>78965.900000000009</v>
      </c>
    </row>
    <row r="131" spans="1:16" ht="15" customHeight="1" x14ac:dyDescent="0.3">
      <c r="A131" s="25" t="s">
        <v>259</v>
      </c>
      <c r="B131" s="26" t="s">
        <v>260</v>
      </c>
      <c r="C131" s="26" t="s">
        <v>87</v>
      </c>
      <c r="D131" s="27">
        <v>13</v>
      </c>
      <c r="E131" s="27">
        <v>89</v>
      </c>
      <c r="F131" s="27">
        <v>0</v>
      </c>
      <c r="G131" s="27">
        <v>0</v>
      </c>
      <c r="H131" s="27">
        <v>89</v>
      </c>
      <c r="I131" s="27">
        <f>+IFERROR(VLOOKUP(A131,'[1]Pending Dispatch'!$N$2:$O$651,2,0),0)</f>
        <v>0</v>
      </c>
      <c r="J131" s="27">
        <f t="shared" si="1"/>
        <v>89</v>
      </c>
      <c r="K131" s="28">
        <v>0.61</v>
      </c>
      <c r="L131" s="28">
        <v>5.5509999999999997E-2</v>
      </c>
      <c r="M131" s="26">
        <v>1079.2</v>
      </c>
      <c r="N131" s="26">
        <v>96048.8</v>
      </c>
    </row>
    <row r="132" spans="1:16" ht="15" customHeight="1" x14ac:dyDescent="0.3">
      <c r="A132" s="25" t="s">
        <v>261</v>
      </c>
      <c r="B132" s="26" t="s">
        <v>262</v>
      </c>
      <c r="C132" s="26" t="s">
        <v>87</v>
      </c>
      <c r="D132" s="27">
        <v>400</v>
      </c>
      <c r="E132" s="27">
        <v>3475</v>
      </c>
      <c r="F132" s="27">
        <v>0</v>
      </c>
      <c r="G132" s="27">
        <v>1</v>
      </c>
      <c r="H132" s="27">
        <v>3474</v>
      </c>
      <c r="I132" s="27">
        <f>+IFERROR(VLOOKUP(A132,'[1]Pending Dispatch'!$N$2:$O$651,2,0),0)</f>
        <v>0</v>
      </c>
      <c r="J132" s="27">
        <f t="shared" si="1"/>
        <v>3474</v>
      </c>
      <c r="K132" s="28">
        <v>2.4E-2</v>
      </c>
      <c r="L132" s="28">
        <v>8.3400000000000002E-2</v>
      </c>
      <c r="M132" s="26">
        <v>56.8</v>
      </c>
      <c r="N132" s="26">
        <v>197323.19999999998</v>
      </c>
    </row>
    <row r="133" spans="1:16" ht="15" customHeight="1" x14ac:dyDescent="0.3">
      <c r="A133" s="25" t="s">
        <v>263</v>
      </c>
      <c r="B133" s="26" t="s">
        <v>264</v>
      </c>
      <c r="C133" s="26" t="s">
        <v>87</v>
      </c>
      <c r="D133" s="27">
        <v>400</v>
      </c>
      <c r="E133" s="27">
        <v>1986</v>
      </c>
      <c r="F133" s="27">
        <v>0</v>
      </c>
      <c r="G133" s="27">
        <v>1236</v>
      </c>
      <c r="H133" s="27">
        <v>750</v>
      </c>
      <c r="I133" s="27">
        <f>+IFERROR(VLOOKUP(A133,'[1]Pending Dispatch'!$N$2:$O$651,2,0),0)</f>
        <v>0</v>
      </c>
      <c r="J133" s="27">
        <f t="shared" si="1"/>
        <v>750</v>
      </c>
      <c r="K133" s="28">
        <v>2.4E-2</v>
      </c>
      <c r="L133" s="28">
        <v>5.3664000000000003E-2</v>
      </c>
      <c r="M133" s="26">
        <v>41.8</v>
      </c>
      <c r="N133" s="26">
        <v>31349.999999999996</v>
      </c>
    </row>
    <row r="134" spans="1:16" ht="15" customHeight="1" x14ac:dyDescent="0.3">
      <c r="A134" s="25" t="s">
        <v>265</v>
      </c>
      <c r="B134" s="26" t="s">
        <v>266</v>
      </c>
      <c r="C134" s="26" t="s">
        <v>87</v>
      </c>
      <c r="D134" s="27">
        <v>400</v>
      </c>
      <c r="E134" s="27">
        <v>1048</v>
      </c>
      <c r="F134" s="27">
        <v>2</v>
      </c>
      <c r="G134" s="27">
        <v>48</v>
      </c>
      <c r="H134" s="27">
        <v>1002</v>
      </c>
      <c r="I134" s="27">
        <f>+IFERROR(VLOOKUP(A134,'[1]Pending Dispatch'!$N$2:$O$651,2,0),0)</f>
        <v>437</v>
      </c>
      <c r="J134" s="27">
        <f t="shared" ref="J134:J197" si="2">+H134-I134</f>
        <v>565</v>
      </c>
      <c r="K134" s="28">
        <v>2.1000000000000001E-2</v>
      </c>
      <c r="L134" s="28">
        <v>2.2008000000000003E-2</v>
      </c>
      <c r="M134" s="26">
        <v>46</v>
      </c>
      <c r="N134" s="26">
        <v>25990</v>
      </c>
    </row>
    <row r="135" spans="1:16" s="29" customFormat="1" ht="15" customHeight="1" x14ac:dyDescent="0.3">
      <c r="A135" s="25" t="s">
        <v>267</v>
      </c>
      <c r="B135" s="26" t="s">
        <v>268</v>
      </c>
      <c r="C135" s="26" t="s">
        <v>87</v>
      </c>
      <c r="D135" s="27">
        <v>50</v>
      </c>
      <c r="E135" s="27">
        <v>50</v>
      </c>
      <c r="F135" s="27">
        <v>0</v>
      </c>
      <c r="G135" s="27">
        <v>0</v>
      </c>
      <c r="H135" s="27">
        <v>50</v>
      </c>
      <c r="I135" s="27">
        <f>+IFERROR(VLOOKUP(A135,'[1]Pending Dispatch'!$N$2:$O$651,2,0),0)</f>
        <v>0</v>
      </c>
      <c r="J135" s="27">
        <f t="shared" si="2"/>
        <v>50</v>
      </c>
      <c r="K135" s="28">
        <v>0</v>
      </c>
      <c r="L135" s="28">
        <v>0</v>
      </c>
      <c r="M135" s="26">
        <v>0</v>
      </c>
      <c r="N135" s="26">
        <v>0</v>
      </c>
      <c r="O135" s="29" t="s">
        <v>92</v>
      </c>
      <c r="P135" s="30"/>
    </row>
    <row r="136" spans="1:16" s="29" customFormat="1" ht="15" customHeight="1" x14ac:dyDescent="0.3">
      <c r="A136" s="25" t="s">
        <v>269</v>
      </c>
      <c r="B136" s="26" t="s">
        <v>270</v>
      </c>
      <c r="C136" s="26" t="s">
        <v>87</v>
      </c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f>+IFERROR(VLOOKUP(A136,'[1]Pending Dispatch'!$N$2:$O$651,2,0),0)</f>
        <v>0</v>
      </c>
      <c r="J136" s="27">
        <f t="shared" si="2"/>
        <v>0</v>
      </c>
      <c r="K136" s="28">
        <v>0</v>
      </c>
      <c r="L136" s="28">
        <v>0</v>
      </c>
      <c r="M136" s="26">
        <v>0</v>
      </c>
      <c r="N136" s="26">
        <v>0</v>
      </c>
      <c r="O136" s="29" t="s">
        <v>92</v>
      </c>
      <c r="P136" s="30"/>
    </row>
    <row r="137" spans="1:16" s="31" customFormat="1" ht="15" customHeight="1" x14ac:dyDescent="0.3">
      <c r="A137" s="25" t="s">
        <v>271</v>
      </c>
      <c r="B137" s="26" t="s">
        <v>272</v>
      </c>
      <c r="C137" s="26" t="s">
        <v>87</v>
      </c>
      <c r="D137" s="27">
        <v>150</v>
      </c>
      <c r="E137" s="27">
        <v>2981</v>
      </c>
      <c r="F137" s="27">
        <v>6470</v>
      </c>
      <c r="G137" s="27">
        <v>7000</v>
      </c>
      <c r="H137" s="27">
        <v>2451</v>
      </c>
      <c r="I137" s="27">
        <f>+IFERROR(VLOOKUP(A137,'[1]Pending Dispatch'!$N$2:$O$651,2,0),0)</f>
        <v>2850</v>
      </c>
      <c r="J137" s="27">
        <f t="shared" si="2"/>
        <v>-399</v>
      </c>
      <c r="K137" s="28">
        <v>3.9E-2</v>
      </c>
      <c r="L137" s="28">
        <v>0.14874600000000002</v>
      </c>
      <c r="M137" s="26">
        <v>376</v>
      </c>
      <c r="N137" s="26">
        <v>-432024</v>
      </c>
      <c r="P137" s="32"/>
    </row>
    <row r="138" spans="1:16" s="29" customFormat="1" ht="15" customHeight="1" x14ac:dyDescent="0.3">
      <c r="A138" s="25" t="s">
        <v>273</v>
      </c>
      <c r="B138" s="26" t="s">
        <v>274</v>
      </c>
      <c r="C138" s="26" t="s">
        <v>87</v>
      </c>
      <c r="D138" s="27">
        <v>40</v>
      </c>
      <c r="E138" s="27">
        <v>0</v>
      </c>
      <c r="F138" s="27">
        <v>0</v>
      </c>
      <c r="G138" s="27">
        <v>0</v>
      </c>
      <c r="H138" s="27">
        <v>0</v>
      </c>
      <c r="I138" s="27">
        <f>+IFERROR(VLOOKUP(A138,'[1]Pending Dispatch'!$N$2:$O$651,2,0),0)</f>
        <v>0</v>
      </c>
      <c r="J138" s="27">
        <f t="shared" si="2"/>
        <v>0</v>
      </c>
      <c r="K138" s="28">
        <v>0</v>
      </c>
      <c r="L138" s="28">
        <v>0</v>
      </c>
      <c r="M138" s="26">
        <v>0</v>
      </c>
      <c r="N138" s="26">
        <v>0</v>
      </c>
      <c r="O138" s="29" t="s">
        <v>92</v>
      </c>
      <c r="P138" s="30"/>
    </row>
    <row r="139" spans="1:16" s="29" customFormat="1" ht="15" customHeight="1" x14ac:dyDescent="0.3">
      <c r="A139" s="25" t="s">
        <v>275</v>
      </c>
      <c r="B139" s="26" t="s">
        <v>276</v>
      </c>
      <c r="C139" s="26" t="s">
        <v>87</v>
      </c>
      <c r="D139" s="27">
        <v>25</v>
      </c>
      <c r="E139" s="27">
        <v>0</v>
      </c>
      <c r="F139" s="27">
        <v>0</v>
      </c>
      <c r="G139" s="27">
        <v>0</v>
      </c>
      <c r="H139" s="27">
        <v>0</v>
      </c>
      <c r="I139" s="27">
        <f>+IFERROR(VLOOKUP(A139,'[1]Pending Dispatch'!$N$2:$O$651,2,0),0)</f>
        <v>0</v>
      </c>
      <c r="J139" s="27">
        <f t="shared" si="2"/>
        <v>0</v>
      </c>
      <c r="K139" s="28">
        <v>0</v>
      </c>
      <c r="L139" s="28">
        <v>0</v>
      </c>
      <c r="M139" s="26">
        <v>0</v>
      </c>
      <c r="N139" s="26">
        <v>0</v>
      </c>
      <c r="O139" s="29" t="s">
        <v>92</v>
      </c>
      <c r="P139" s="30"/>
    </row>
    <row r="140" spans="1:16" s="29" customFormat="1" ht="15" customHeight="1" x14ac:dyDescent="0.3">
      <c r="A140" s="25" t="s">
        <v>277</v>
      </c>
      <c r="B140" s="26" t="s">
        <v>278</v>
      </c>
      <c r="C140" s="26" t="s">
        <v>87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f>+IFERROR(VLOOKUP(A140,'[1]Pending Dispatch'!$N$2:$O$651,2,0),0)</f>
        <v>0</v>
      </c>
      <c r="J140" s="27">
        <f t="shared" si="2"/>
        <v>0</v>
      </c>
      <c r="K140" s="28">
        <v>0</v>
      </c>
      <c r="L140" s="28">
        <v>0</v>
      </c>
      <c r="M140" s="26">
        <v>0</v>
      </c>
      <c r="N140" s="26">
        <v>0</v>
      </c>
      <c r="O140" s="29" t="s">
        <v>92</v>
      </c>
      <c r="P140" s="30"/>
    </row>
    <row r="141" spans="1:16" s="29" customFormat="1" ht="15" customHeight="1" x14ac:dyDescent="0.3">
      <c r="A141" s="25" t="s">
        <v>279</v>
      </c>
      <c r="B141" s="26" t="s">
        <v>280</v>
      </c>
      <c r="C141" s="26" t="s">
        <v>87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f>+IFERROR(VLOOKUP(A141,'[1]Pending Dispatch'!$N$2:$O$651,2,0),0)</f>
        <v>0</v>
      </c>
      <c r="J141" s="27">
        <f t="shared" si="2"/>
        <v>0</v>
      </c>
      <c r="K141" s="28">
        <v>0</v>
      </c>
      <c r="L141" s="28">
        <v>0</v>
      </c>
      <c r="M141" s="26">
        <v>0</v>
      </c>
      <c r="N141" s="26">
        <v>0</v>
      </c>
      <c r="O141" s="29" t="s">
        <v>92</v>
      </c>
      <c r="P141" s="30"/>
    </row>
    <row r="142" spans="1:16" s="31" customFormat="1" ht="15" customHeight="1" x14ac:dyDescent="0.3">
      <c r="A142" s="25" t="s">
        <v>281</v>
      </c>
      <c r="B142" s="26" t="s">
        <v>282</v>
      </c>
      <c r="C142" s="26" t="s">
        <v>87</v>
      </c>
      <c r="D142" s="27">
        <v>200</v>
      </c>
      <c r="E142" s="27">
        <v>1696</v>
      </c>
      <c r="F142" s="27">
        <v>12</v>
      </c>
      <c r="G142" s="27">
        <v>300</v>
      </c>
      <c r="H142" s="27">
        <v>1408</v>
      </c>
      <c r="I142" s="27">
        <f>+IFERROR(VLOOKUP(A142,'[1]Pending Dispatch'!$N$2:$O$651,2,0),0)</f>
        <v>200</v>
      </c>
      <c r="J142" s="27">
        <f t="shared" si="2"/>
        <v>1208</v>
      </c>
      <c r="K142" s="28">
        <v>5.9950000000000003E-2</v>
      </c>
      <c r="L142" s="28">
        <v>6.5465400000000007E-2</v>
      </c>
      <c r="M142" s="26">
        <v>168</v>
      </c>
      <c r="N142" s="26">
        <v>202944</v>
      </c>
      <c r="P142" s="32"/>
    </row>
    <row r="143" spans="1:16" ht="15" customHeight="1" x14ac:dyDescent="0.3">
      <c r="A143" s="25" t="s">
        <v>283</v>
      </c>
      <c r="B143" s="26" t="s">
        <v>284</v>
      </c>
      <c r="C143" s="26" t="s">
        <v>87</v>
      </c>
      <c r="D143" s="27">
        <v>80</v>
      </c>
      <c r="E143" s="27">
        <v>251</v>
      </c>
      <c r="F143" s="27">
        <v>140</v>
      </c>
      <c r="G143" s="27">
        <v>160</v>
      </c>
      <c r="H143" s="27">
        <v>231</v>
      </c>
      <c r="I143" s="27">
        <f>+IFERROR(VLOOKUP(A143,'[1]Pending Dispatch'!$N$2:$O$651,2,0),0)</f>
        <v>340</v>
      </c>
      <c r="J143" s="27">
        <f t="shared" si="2"/>
        <v>-109</v>
      </c>
      <c r="K143" s="28">
        <v>6.5799999999999997E-2</v>
      </c>
      <c r="L143" s="28">
        <v>2.4411800000000001E-2</v>
      </c>
      <c r="M143" s="26">
        <v>136</v>
      </c>
      <c r="N143" s="26">
        <v>-14824</v>
      </c>
    </row>
    <row r="144" spans="1:16" ht="15" customHeight="1" x14ac:dyDescent="0.3">
      <c r="A144" s="25" t="s">
        <v>285</v>
      </c>
      <c r="B144" s="26" t="s">
        <v>286</v>
      </c>
      <c r="C144" s="26" t="s">
        <v>87</v>
      </c>
      <c r="D144" s="27">
        <v>30</v>
      </c>
      <c r="E144" s="27">
        <v>1397</v>
      </c>
      <c r="F144" s="27">
        <v>137</v>
      </c>
      <c r="G144" s="27">
        <v>320</v>
      </c>
      <c r="H144" s="27">
        <v>1214</v>
      </c>
      <c r="I144" s="27">
        <f>+IFERROR(VLOOKUP(A144,'[1]Pending Dispatch'!$N$2:$O$651,2,0),0)</f>
        <v>400</v>
      </c>
      <c r="J144" s="27">
        <f t="shared" si="2"/>
        <v>814</v>
      </c>
      <c r="K144" s="28">
        <v>9.6700000000000008E-2</v>
      </c>
      <c r="L144" s="28">
        <v>7.2234900000000005E-2</v>
      </c>
      <c r="M144" s="26">
        <v>218</v>
      </c>
      <c r="N144" s="26">
        <v>175272</v>
      </c>
    </row>
    <row r="145" spans="1:14" ht="15" customHeight="1" x14ac:dyDescent="0.3">
      <c r="A145" s="25" t="s">
        <v>287</v>
      </c>
      <c r="B145" s="26" t="s">
        <v>288</v>
      </c>
      <c r="C145" s="26" t="s">
        <v>87</v>
      </c>
      <c r="D145" s="27">
        <v>80</v>
      </c>
      <c r="E145" s="27">
        <v>275</v>
      </c>
      <c r="F145" s="27">
        <v>3580</v>
      </c>
      <c r="G145" s="27">
        <v>1185</v>
      </c>
      <c r="H145" s="27">
        <v>2670</v>
      </c>
      <c r="I145" s="27">
        <f>+IFERROR(VLOOKUP(A145,'[1]Pending Dispatch'!$N$2:$O$651,2,0),0)</f>
        <v>615</v>
      </c>
      <c r="J145" s="27">
        <f t="shared" si="2"/>
        <v>2055</v>
      </c>
      <c r="K145" s="28">
        <v>7.5249999999999997E-2</v>
      </c>
      <c r="L145" s="28">
        <v>4.1989499999999999E-2</v>
      </c>
      <c r="M145" s="26">
        <v>62</v>
      </c>
      <c r="N145" s="26">
        <v>124930</v>
      </c>
    </row>
    <row r="146" spans="1:14" ht="15" customHeight="1" x14ac:dyDescent="0.3">
      <c r="A146" s="33" t="s">
        <v>289</v>
      </c>
      <c r="B146" s="34" t="s">
        <v>290</v>
      </c>
      <c r="C146" s="34" t="s">
        <v>87</v>
      </c>
      <c r="D146" s="35">
        <v>50</v>
      </c>
      <c r="E146" s="35">
        <v>790</v>
      </c>
      <c r="F146" s="35">
        <v>4800</v>
      </c>
      <c r="G146" s="35">
        <v>5580</v>
      </c>
      <c r="H146" s="35">
        <v>10</v>
      </c>
      <c r="I146" s="27">
        <f>+IFERROR(VLOOKUP(A146,'[1]Pending Dispatch'!$N$2:$O$651,2,0),0)</f>
        <v>1600</v>
      </c>
      <c r="J146" s="27">
        <f t="shared" si="2"/>
        <v>-1590</v>
      </c>
      <c r="K146" s="36">
        <v>8.5000000000000006E-2</v>
      </c>
      <c r="L146" s="36">
        <v>2.5585E-2</v>
      </c>
      <c r="M146" s="34">
        <v>89</v>
      </c>
      <c r="N146" s="34">
        <v>107690</v>
      </c>
    </row>
    <row r="147" spans="1:14" ht="15" customHeight="1" x14ac:dyDescent="0.3">
      <c r="A147" s="25" t="s">
        <v>291</v>
      </c>
      <c r="B147" s="26" t="s">
        <v>292</v>
      </c>
      <c r="C147" s="26" t="s">
        <v>87</v>
      </c>
      <c r="D147" s="27">
        <v>40</v>
      </c>
      <c r="E147" s="27">
        <v>2107</v>
      </c>
      <c r="F147" s="27">
        <v>0</v>
      </c>
      <c r="G147" s="27">
        <v>681</v>
      </c>
      <c r="H147" s="27">
        <v>1426</v>
      </c>
      <c r="I147" s="27">
        <f>+IFERROR(VLOOKUP(A147,'[1]Pending Dispatch'!$N$2:$O$651,2,0),0)</f>
        <v>560</v>
      </c>
      <c r="J147" s="27">
        <f t="shared" si="2"/>
        <v>866</v>
      </c>
      <c r="K147" s="28">
        <v>0.121</v>
      </c>
      <c r="L147" s="28">
        <v>9.8010000000000007E-3</v>
      </c>
      <c r="M147" s="26">
        <v>148</v>
      </c>
      <c r="N147" s="26">
        <v>128168</v>
      </c>
    </row>
    <row r="148" spans="1:14" ht="15" customHeight="1" x14ac:dyDescent="0.3">
      <c r="A148" s="25" t="s">
        <v>293</v>
      </c>
      <c r="B148" s="26" t="s">
        <v>294</v>
      </c>
      <c r="C148" s="26" t="s">
        <v>87</v>
      </c>
      <c r="D148" s="27">
        <v>30</v>
      </c>
      <c r="E148" s="27">
        <v>140</v>
      </c>
      <c r="F148" s="27">
        <v>311</v>
      </c>
      <c r="G148" s="27">
        <v>310</v>
      </c>
      <c r="H148" s="27">
        <v>141</v>
      </c>
      <c r="I148" s="27">
        <f>+IFERROR(VLOOKUP(A148,'[1]Pending Dispatch'!$N$2:$O$651,2,0),0)</f>
        <v>400</v>
      </c>
      <c r="J148" s="27">
        <f t="shared" si="2"/>
        <v>-259</v>
      </c>
      <c r="K148" s="28">
        <v>0.16365000000000002</v>
      </c>
      <c r="L148" s="28">
        <v>109.97280000000001</v>
      </c>
      <c r="M148" s="26">
        <v>198</v>
      </c>
      <c r="N148" s="26">
        <v>-53262</v>
      </c>
    </row>
    <row r="149" spans="1:14" ht="15" customHeight="1" x14ac:dyDescent="0.3">
      <c r="A149" s="25" t="s">
        <v>295</v>
      </c>
      <c r="B149" s="26" t="s">
        <v>296</v>
      </c>
      <c r="C149" s="26" t="s">
        <v>87</v>
      </c>
      <c r="D149" s="27">
        <v>20</v>
      </c>
      <c r="E149" s="27">
        <v>563</v>
      </c>
      <c r="F149" s="27">
        <v>24</v>
      </c>
      <c r="G149" s="27">
        <v>160</v>
      </c>
      <c r="H149" s="27">
        <v>427</v>
      </c>
      <c r="I149" s="27">
        <f>+IFERROR(VLOOKUP(A149,'[1]Pending Dispatch'!$N$2:$O$651,2,0),0)</f>
        <v>100</v>
      </c>
      <c r="J149" s="27">
        <f t="shared" si="2"/>
        <v>327</v>
      </c>
      <c r="K149" s="28">
        <v>0.22794999999999999</v>
      </c>
      <c r="L149" s="28">
        <v>79.326599999999999</v>
      </c>
      <c r="M149" s="26">
        <v>1545</v>
      </c>
      <c r="N149" s="26">
        <v>497490</v>
      </c>
    </row>
    <row r="150" spans="1:14" ht="15" customHeight="1" x14ac:dyDescent="0.3">
      <c r="A150" s="25" t="s">
        <v>297</v>
      </c>
      <c r="B150" s="26" t="s">
        <v>298</v>
      </c>
      <c r="C150" s="26" t="s">
        <v>87</v>
      </c>
      <c r="D150" s="27">
        <v>80</v>
      </c>
      <c r="E150" s="27">
        <v>196</v>
      </c>
      <c r="F150" s="27">
        <v>162</v>
      </c>
      <c r="G150" s="27">
        <v>80</v>
      </c>
      <c r="H150" s="27">
        <v>278</v>
      </c>
      <c r="I150" s="27">
        <f>+IFERROR(VLOOKUP(A150,'[1]Pending Dispatch'!$N$2:$O$651,2,0),0)</f>
        <v>54</v>
      </c>
      <c r="J150" s="27">
        <f t="shared" si="2"/>
        <v>224</v>
      </c>
      <c r="K150" s="28">
        <v>8.6050000000000001E-2</v>
      </c>
      <c r="L150" s="28">
        <v>135.0985</v>
      </c>
      <c r="M150" s="26">
        <v>74</v>
      </c>
      <c r="N150" s="26">
        <v>8732</v>
      </c>
    </row>
    <row r="151" spans="1:14" ht="15" customHeight="1" x14ac:dyDescent="0.3">
      <c r="A151" s="25" t="s">
        <v>299</v>
      </c>
      <c r="B151" s="26" t="s">
        <v>300</v>
      </c>
      <c r="C151" s="26" t="s">
        <v>87</v>
      </c>
      <c r="D151" s="27">
        <v>50</v>
      </c>
      <c r="E151" s="27">
        <v>231</v>
      </c>
      <c r="F151" s="27">
        <v>1000</v>
      </c>
      <c r="G151" s="27">
        <v>790</v>
      </c>
      <c r="H151" s="27">
        <v>441</v>
      </c>
      <c r="I151" s="27">
        <f>+IFERROR(VLOOKUP(A151,'[1]Pending Dispatch'!$N$2:$O$651,2,0),0)</f>
        <v>1054</v>
      </c>
      <c r="J151" s="27">
        <f t="shared" si="2"/>
        <v>-613</v>
      </c>
      <c r="K151" s="28">
        <v>9.6500000000000002E-2</v>
      </c>
      <c r="L151" s="28">
        <v>107.4045</v>
      </c>
      <c r="M151" s="26">
        <v>98</v>
      </c>
      <c r="N151" s="26">
        <v>-61544</v>
      </c>
    </row>
    <row r="152" spans="1:14" ht="15" customHeight="1" x14ac:dyDescent="0.3">
      <c r="A152" s="25" t="s">
        <v>301</v>
      </c>
      <c r="B152" s="26" t="s">
        <v>302</v>
      </c>
      <c r="C152" s="26" t="s">
        <v>87</v>
      </c>
      <c r="D152" s="27">
        <v>40</v>
      </c>
      <c r="E152" s="27">
        <v>770</v>
      </c>
      <c r="F152" s="27">
        <v>853</v>
      </c>
      <c r="G152" s="27">
        <v>0</v>
      </c>
      <c r="H152" s="27">
        <v>1623</v>
      </c>
      <c r="I152" s="27">
        <f>+IFERROR(VLOOKUP(A152,'[1]Pending Dispatch'!$N$2:$O$651,2,0),0)</f>
        <v>0</v>
      </c>
      <c r="J152" s="27">
        <f t="shared" si="2"/>
        <v>1623</v>
      </c>
      <c r="K152" s="28">
        <v>0.13305</v>
      </c>
      <c r="L152" s="28">
        <v>28.4727</v>
      </c>
      <c r="M152" s="26">
        <v>158</v>
      </c>
      <c r="N152" s="26">
        <v>255960</v>
      </c>
    </row>
    <row r="153" spans="1:14" ht="15" customHeight="1" x14ac:dyDescent="0.3">
      <c r="A153" s="25" t="s">
        <v>303</v>
      </c>
      <c r="B153" s="26" t="s">
        <v>304</v>
      </c>
      <c r="C153" s="26" t="s">
        <v>87</v>
      </c>
      <c r="D153" s="27">
        <v>30</v>
      </c>
      <c r="E153" s="27">
        <v>224</v>
      </c>
      <c r="F153" s="27">
        <v>1170</v>
      </c>
      <c r="G153" s="27">
        <v>382</v>
      </c>
      <c r="H153" s="27">
        <v>1012</v>
      </c>
      <c r="I153" s="27">
        <f>+IFERROR(VLOOKUP(A153,'[1]Pending Dispatch'!$N$2:$O$651,2,0),0)</f>
        <v>60</v>
      </c>
      <c r="J153" s="27">
        <f t="shared" si="2"/>
        <v>952</v>
      </c>
      <c r="K153" s="28">
        <v>0.15334999999999999</v>
      </c>
      <c r="L153" s="28">
        <v>129.42739999999998</v>
      </c>
      <c r="M153" s="26">
        <v>244</v>
      </c>
      <c r="N153" s="26">
        <v>232288</v>
      </c>
    </row>
    <row r="154" spans="1:14" ht="15" customHeight="1" x14ac:dyDescent="0.3">
      <c r="A154" s="25" t="s">
        <v>305</v>
      </c>
      <c r="B154" s="26" t="s">
        <v>306</v>
      </c>
      <c r="C154" s="26" t="s">
        <v>87</v>
      </c>
      <c r="D154" s="27">
        <v>20</v>
      </c>
      <c r="E154" s="27">
        <v>832</v>
      </c>
      <c r="F154" s="27">
        <v>0</v>
      </c>
      <c r="G154" s="27">
        <v>0</v>
      </c>
      <c r="H154" s="27">
        <v>832</v>
      </c>
      <c r="I154" s="27">
        <f>+IFERROR(VLOOKUP(A154,'[1]Pending Dispatch'!$N$2:$O$651,2,0),0)</f>
        <v>20</v>
      </c>
      <c r="J154" s="27">
        <f t="shared" si="2"/>
        <v>812</v>
      </c>
      <c r="K154" s="28">
        <v>0.23444999999999999</v>
      </c>
      <c r="L154" s="28">
        <v>0.20912939999999999</v>
      </c>
      <c r="M154" s="26"/>
      <c r="N154" s="26">
        <v>0</v>
      </c>
    </row>
    <row r="155" spans="1:14" ht="15" customHeight="1" x14ac:dyDescent="0.3">
      <c r="A155" s="25" t="s">
        <v>307</v>
      </c>
      <c r="B155" s="26" t="s">
        <v>308</v>
      </c>
      <c r="C155" s="26" t="s">
        <v>87</v>
      </c>
      <c r="D155" s="27">
        <v>200</v>
      </c>
      <c r="E155" s="27">
        <v>690</v>
      </c>
      <c r="F155" s="27">
        <v>4150</v>
      </c>
      <c r="G155" s="27">
        <v>1600</v>
      </c>
      <c r="H155" s="27">
        <v>3240</v>
      </c>
      <c r="I155" s="27">
        <f>+IFERROR(VLOOKUP(A155,'[1]Pending Dispatch'!$N$2:$O$651,2,0),0)</f>
        <v>495</v>
      </c>
      <c r="J155" s="27">
        <f t="shared" si="2"/>
        <v>2745</v>
      </c>
      <c r="K155" s="28">
        <v>4.2000000000000003E-2</v>
      </c>
      <c r="L155" s="28">
        <v>8.1480000000000011E-2</v>
      </c>
      <c r="M155" s="26"/>
      <c r="N155" s="26">
        <v>0</v>
      </c>
    </row>
    <row r="156" spans="1:14" ht="15" customHeight="1" x14ac:dyDescent="0.3">
      <c r="A156" s="25" t="s">
        <v>309</v>
      </c>
      <c r="B156" s="26" t="s">
        <v>310</v>
      </c>
      <c r="C156" s="26" t="s">
        <v>87</v>
      </c>
      <c r="D156" s="27">
        <v>200</v>
      </c>
      <c r="E156" s="27">
        <v>1020</v>
      </c>
      <c r="F156" s="27">
        <v>0</v>
      </c>
      <c r="G156" s="27">
        <v>0</v>
      </c>
      <c r="H156" s="27">
        <v>1020</v>
      </c>
      <c r="I156" s="27">
        <f>+IFERROR(VLOOKUP(A156,'[1]Pending Dispatch'!$N$2:$O$651,2,0),0)</f>
        <v>335</v>
      </c>
      <c r="J156" s="27">
        <f t="shared" si="2"/>
        <v>685</v>
      </c>
      <c r="K156" s="28">
        <v>4.2500000000000003E-2</v>
      </c>
      <c r="L156" s="28">
        <v>0.102935</v>
      </c>
      <c r="M156" s="26">
        <v>17.05</v>
      </c>
      <c r="N156" s="26">
        <v>11679.25</v>
      </c>
    </row>
    <row r="157" spans="1:14" ht="15" customHeight="1" x14ac:dyDescent="0.3">
      <c r="A157" s="25" t="s">
        <v>311</v>
      </c>
      <c r="B157" s="26" t="s">
        <v>312</v>
      </c>
      <c r="C157" s="26" t="s">
        <v>87</v>
      </c>
      <c r="D157" s="27">
        <v>100</v>
      </c>
      <c r="E157" s="27">
        <v>8040</v>
      </c>
      <c r="F157" s="27">
        <v>11065</v>
      </c>
      <c r="G157" s="27">
        <v>10468</v>
      </c>
      <c r="H157" s="27">
        <v>8637</v>
      </c>
      <c r="I157" s="27">
        <f>+IFERROR(VLOOKUP(A157,'[1]Pending Dispatch'!$N$2:$O$651,2,0),0)</f>
        <v>4245</v>
      </c>
      <c r="J157" s="27">
        <f t="shared" si="2"/>
        <v>4392</v>
      </c>
      <c r="K157" s="28">
        <v>5.3999999999999999E-2</v>
      </c>
      <c r="L157" s="28">
        <v>0.431838</v>
      </c>
      <c r="M157" s="26">
        <v>23.1</v>
      </c>
      <c r="N157" s="26">
        <v>96835.200000000012</v>
      </c>
    </row>
    <row r="158" spans="1:14" ht="15" customHeight="1" x14ac:dyDescent="0.3">
      <c r="A158" s="25" t="s">
        <v>313</v>
      </c>
      <c r="B158" s="26" t="s">
        <v>314</v>
      </c>
      <c r="C158" s="26" t="s">
        <v>87</v>
      </c>
      <c r="D158" s="27">
        <v>75</v>
      </c>
      <c r="E158" s="27">
        <v>1917</v>
      </c>
      <c r="F158" s="27">
        <v>9065</v>
      </c>
      <c r="G158" s="27">
        <v>5575</v>
      </c>
      <c r="H158" s="27">
        <v>5407</v>
      </c>
      <c r="I158" s="27">
        <f>+IFERROR(VLOOKUP(A158,'[1]Pending Dispatch'!$N$2:$O$651,2,0),0)</f>
        <v>1488</v>
      </c>
      <c r="J158" s="27">
        <f t="shared" si="2"/>
        <v>3919</v>
      </c>
      <c r="K158" s="28">
        <v>6.7129999999999995E-2</v>
      </c>
      <c r="L158" s="28">
        <v>0.14721608999999997</v>
      </c>
      <c r="M158" s="26">
        <v>168.8</v>
      </c>
      <c r="N158" s="26">
        <v>636207.20000000007</v>
      </c>
    </row>
    <row r="159" spans="1:14" ht="15" customHeight="1" x14ac:dyDescent="0.3">
      <c r="A159" s="25" t="s">
        <v>315</v>
      </c>
      <c r="B159" s="26" t="s">
        <v>316</v>
      </c>
      <c r="C159" s="26" t="s">
        <v>87</v>
      </c>
      <c r="D159" s="27">
        <v>100</v>
      </c>
      <c r="E159" s="27">
        <v>449</v>
      </c>
      <c r="F159" s="27">
        <v>2130</v>
      </c>
      <c r="G159" s="27">
        <v>700</v>
      </c>
      <c r="H159" s="27">
        <v>1879</v>
      </c>
      <c r="I159" s="27">
        <f>+IFERROR(VLOOKUP(A159,'[1]Pending Dispatch'!$N$2:$O$651,2,0),0)</f>
        <v>200</v>
      </c>
      <c r="J159" s="27">
        <f t="shared" si="2"/>
        <v>1679</v>
      </c>
      <c r="K159" s="28">
        <v>5.6000000000000001E-2</v>
      </c>
      <c r="L159" s="28">
        <v>7.8344000000000011E-2</v>
      </c>
      <c r="M159" s="26">
        <v>109</v>
      </c>
      <c r="N159" s="26">
        <v>183011</v>
      </c>
    </row>
    <row r="160" spans="1:14" ht="15" customHeight="1" x14ac:dyDescent="0.3">
      <c r="A160" s="25" t="s">
        <v>317</v>
      </c>
      <c r="B160" s="26" t="s">
        <v>318</v>
      </c>
      <c r="C160" s="26" t="s">
        <v>87</v>
      </c>
      <c r="D160" s="27">
        <v>100</v>
      </c>
      <c r="E160" s="27">
        <v>81</v>
      </c>
      <c r="F160" s="27">
        <v>0</v>
      </c>
      <c r="G160" s="27">
        <v>0</v>
      </c>
      <c r="H160" s="27">
        <v>81</v>
      </c>
      <c r="I160" s="27">
        <f>+IFERROR(VLOOKUP(A160,'[1]Pending Dispatch'!$N$2:$O$651,2,0),0)</f>
        <v>0</v>
      </c>
      <c r="J160" s="27">
        <f t="shared" si="2"/>
        <v>81</v>
      </c>
      <c r="K160" s="28">
        <v>8.2000000000000003E-2</v>
      </c>
      <c r="L160" s="28">
        <v>4.2639999999999997E-2</v>
      </c>
      <c r="M160" s="26">
        <v>158.6</v>
      </c>
      <c r="N160" s="26">
        <v>11895</v>
      </c>
    </row>
    <row r="161" spans="1:14" ht="15" customHeight="1" x14ac:dyDescent="0.3">
      <c r="A161" s="25" t="s">
        <v>319</v>
      </c>
      <c r="B161" s="26" t="s">
        <v>320</v>
      </c>
      <c r="C161" s="26" t="s">
        <v>87</v>
      </c>
      <c r="D161" s="27">
        <v>40</v>
      </c>
      <c r="E161" s="27">
        <v>264</v>
      </c>
      <c r="F161" s="27">
        <v>0</v>
      </c>
      <c r="G161" s="27">
        <v>40</v>
      </c>
      <c r="H161" s="27">
        <v>224</v>
      </c>
      <c r="I161" s="27">
        <f>+IFERROR(VLOOKUP(A161,'[1]Pending Dispatch'!$N$2:$O$651,2,0),0)</f>
        <v>0</v>
      </c>
      <c r="J161" s="27">
        <f t="shared" si="2"/>
        <v>224</v>
      </c>
      <c r="K161" s="28">
        <v>9.7299999999999998E-2</v>
      </c>
      <c r="L161" s="28">
        <v>3.2498199999999998E-2</v>
      </c>
      <c r="M161" s="26">
        <v>212.8</v>
      </c>
      <c r="N161" s="26">
        <v>47667.200000000004</v>
      </c>
    </row>
    <row r="162" spans="1:14" ht="15" customHeight="1" x14ac:dyDescent="0.3">
      <c r="A162" s="25" t="s">
        <v>321</v>
      </c>
      <c r="B162" s="26" t="s">
        <v>322</v>
      </c>
      <c r="C162" s="26" t="s">
        <v>87</v>
      </c>
      <c r="D162" s="27">
        <v>30</v>
      </c>
      <c r="E162" s="27">
        <v>48</v>
      </c>
      <c r="F162" s="27">
        <v>0</v>
      </c>
      <c r="G162" s="27">
        <v>0</v>
      </c>
      <c r="H162" s="27">
        <v>48</v>
      </c>
      <c r="I162" s="27">
        <f>+IFERROR(VLOOKUP(A162,'[1]Pending Dispatch'!$N$2:$O$651,2,0),0)</f>
        <v>0</v>
      </c>
      <c r="J162" s="27">
        <f t="shared" si="2"/>
        <v>48</v>
      </c>
      <c r="K162" s="28">
        <v>0.21299999999999999</v>
      </c>
      <c r="L162" s="28">
        <v>1.6614E-2</v>
      </c>
      <c r="M162" s="26">
        <v>358.8</v>
      </c>
      <c r="N162" s="26">
        <v>11481.6</v>
      </c>
    </row>
    <row r="163" spans="1:14" ht="15" customHeight="1" x14ac:dyDescent="0.3">
      <c r="A163" s="25" t="s">
        <v>323</v>
      </c>
      <c r="B163" s="26" t="s">
        <v>324</v>
      </c>
      <c r="C163" s="26" t="s">
        <v>87</v>
      </c>
      <c r="D163" s="27">
        <v>200</v>
      </c>
      <c r="E163" s="27">
        <v>3476</v>
      </c>
      <c r="F163" s="27">
        <v>20200</v>
      </c>
      <c r="G163" s="27">
        <v>10330</v>
      </c>
      <c r="H163" s="27">
        <v>13346</v>
      </c>
      <c r="I163" s="27">
        <f>+IFERROR(VLOOKUP(A163,'[1]Pending Dispatch'!$N$2:$O$651,2,0),0)</f>
        <v>6800</v>
      </c>
      <c r="J163" s="27">
        <f t="shared" si="2"/>
        <v>6546</v>
      </c>
      <c r="K163" s="28">
        <v>1.6800000000000002E-2</v>
      </c>
      <c r="L163" s="28">
        <v>3.3448800000000008E-2</v>
      </c>
      <c r="M163" s="26">
        <v>27.8</v>
      </c>
      <c r="N163" s="26">
        <v>176418.80000000002</v>
      </c>
    </row>
    <row r="164" spans="1:14" ht="15" customHeight="1" x14ac:dyDescent="0.3">
      <c r="A164" s="25" t="s">
        <v>325</v>
      </c>
      <c r="B164" s="26" t="s">
        <v>326</v>
      </c>
      <c r="C164" s="26" t="s">
        <v>87</v>
      </c>
      <c r="D164" s="27">
        <v>250</v>
      </c>
      <c r="E164" s="27">
        <v>4603</v>
      </c>
      <c r="F164" s="27">
        <v>12700</v>
      </c>
      <c r="G164" s="27">
        <v>9349</v>
      </c>
      <c r="H164" s="27">
        <v>7954</v>
      </c>
      <c r="I164" s="27">
        <f>+IFERROR(VLOOKUP(A164,'[1]Pending Dispatch'!$N$2:$O$651,2,0),0)</f>
        <v>3100</v>
      </c>
      <c r="J164" s="27">
        <f t="shared" si="2"/>
        <v>4854</v>
      </c>
      <c r="K164" s="28">
        <v>2.9000000000000001E-2</v>
      </c>
      <c r="L164" s="28">
        <v>0.11933500000000001</v>
      </c>
      <c r="M164" s="26">
        <v>48.8</v>
      </c>
      <c r="N164" s="26">
        <v>224675.19999999998</v>
      </c>
    </row>
    <row r="165" spans="1:14" ht="15" customHeight="1" x14ac:dyDescent="0.3">
      <c r="A165" s="25" t="s">
        <v>327</v>
      </c>
      <c r="B165" s="26" t="s">
        <v>328</v>
      </c>
      <c r="C165" s="26" t="s">
        <v>87</v>
      </c>
      <c r="D165" s="27">
        <v>60</v>
      </c>
      <c r="E165" s="27">
        <v>2118</v>
      </c>
      <c r="F165" s="27">
        <v>0</v>
      </c>
      <c r="G165" s="27">
        <v>1170</v>
      </c>
      <c r="H165" s="27">
        <v>948</v>
      </c>
      <c r="I165" s="27">
        <f>+IFERROR(VLOOKUP(A165,'[1]Pending Dispatch'!$N$2:$O$651,2,0),0)</f>
        <v>640</v>
      </c>
      <c r="J165" s="27">
        <f t="shared" si="2"/>
        <v>308</v>
      </c>
      <c r="K165" s="28">
        <v>4.53E-2</v>
      </c>
      <c r="L165" s="28">
        <v>0.1033746</v>
      </c>
      <c r="M165" s="26">
        <v>106</v>
      </c>
      <c r="N165" s="26">
        <v>32648</v>
      </c>
    </row>
    <row r="166" spans="1:14" ht="15" customHeight="1" x14ac:dyDescent="0.3">
      <c r="A166" s="25" t="s">
        <v>329</v>
      </c>
      <c r="B166" s="26" t="s">
        <v>330</v>
      </c>
      <c r="C166" s="26" t="s">
        <v>87</v>
      </c>
      <c r="D166" s="27">
        <v>40</v>
      </c>
      <c r="E166" s="27">
        <v>1066</v>
      </c>
      <c r="F166" s="27">
        <v>21</v>
      </c>
      <c r="G166" s="27">
        <v>360</v>
      </c>
      <c r="H166" s="27">
        <v>727</v>
      </c>
      <c r="I166" s="27">
        <f>+IFERROR(VLOOKUP(A166,'[1]Pending Dispatch'!$N$2:$O$651,2,0),0)</f>
        <v>360</v>
      </c>
      <c r="J166" s="27">
        <f t="shared" si="2"/>
        <v>367</v>
      </c>
      <c r="K166" s="28">
        <v>7.5999999999999998E-2</v>
      </c>
      <c r="L166" s="28">
        <v>5.9583999999999998E-2</v>
      </c>
      <c r="M166" s="26">
        <v>158</v>
      </c>
      <c r="N166" s="26">
        <v>57986</v>
      </c>
    </row>
    <row r="167" spans="1:14" ht="15" customHeight="1" x14ac:dyDescent="0.3">
      <c r="A167" s="25" t="s">
        <v>331</v>
      </c>
      <c r="B167" s="26" t="s">
        <v>332</v>
      </c>
      <c r="C167" s="26" t="s">
        <v>87</v>
      </c>
      <c r="D167" s="27">
        <v>20</v>
      </c>
      <c r="E167" s="27">
        <v>280</v>
      </c>
      <c r="F167" s="27">
        <v>0</v>
      </c>
      <c r="G167" s="27">
        <v>210</v>
      </c>
      <c r="H167" s="27">
        <v>70</v>
      </c>
      <c r="I167" s="27">
        <f>+IFERROR(VLOOKUP(A167,'[1]Pending Dispatch'!$N$2:$O$651,2,0),0)</f>
        <v>20</v>
      </c>
      <c r="J167" s="27">
        <f t="shared" si="2"/>
        <v>50</v>
      </c>
      <c r="K167" s="28">
        <v>0.16250000000000001</v>
      </c>
      <c r="L167" s="28">
        <v>8.7587500000000013E-2</v>
      </c>
      <c r="M167" s="26">
        <v>16.2</v>
      </c>
      <c r="N167" s="26">
        <v>810</v>
      </c>
    </row>
    <row r="168" spans="1:14" ht="15" customHeight="1" x14ac:dyDescent="0.3">
      <c r="A168" s="25" t="s">
        <v>333</v>
      </c>
      <c r="B168" s="26" t="s">
        <v>334</v>
      </c>
      <c r="C168" s="26" t="s">
        <v>87</v>
      </c>
      <c r="D168" s="27">
        <v>150</v>
      </c>
      <c r="E168" s="27">
        <v>9437</v>
      </c>
      <c r="F168" s="27">
        <v>45516</v>
      </c>
      <c r="G168" s="27">
        <v>42812</v>
      </c>
      <c r="H168" s="27">
        <v>12141</v>
      </c>
      <c r="I168" s="27">
        <f>+IFERROR(VLOOKUP(A168,'[1]Pending Dispatch'!$N$2:$O$651,2,0),0)</f>
        <v>14150</v>
      </c>
      <c r="J168" s="27">
        <f t="shared" si="2"/>
        <v>-2009</v>
      </c>
      <c r="K168" s="28">
        <v>4.7E-2</v>
      </c>
      <c r="L168" s="28">
        <v>0.39404800000000001</v>
      </c>
      <c r="M168" s="26">
        <v>26.8</v>
      </c>
      <c r="N168" s="26">
        <v>-98463.2</v>
      </c>
    </row>
    <row r="169" spans="1:14" ht="15" customHeight="1" x14ac:dyDescent="0.3">
      <c r="A169" s="25" t="s">
        <v>335</v>
      </c>
      <c r="B169" s="26" t="s">
        <v>336</v>
      </c>
      <c r="C169" s="26" t="s">
        <v>87</v>
      </c>
      <c r="D169" s="27">
        <v>100</v>
      </c>
      <c r="E169" s="27">
        <v>2486</v>
      </c>
      <c r="F169" s="27">
        <v>10884</v>
      </c>
      <c r="G169" s="27">
        <v>11550</v>
      </c>
      <c r="H169" s="27">
        <v>1820</v>
      </c>
      <c r="I169" s="27">
        <f>+IFERROR(VLOOKUP(A169,'[1]Pending Dispatch'!$N$2:$O$651,2,0),0)</f>
        <v>4350</v>
      </c>
      <c r="J169" s="27">
        <f t="shared" si="2"/>
        <v>-2530</v>
      </c>
      <c r="K169" s="28">
        <v>5.3999999999999999E-2</v>
      </c>
      <c r="L169" s="28">
        <v>0.15384600000000001</v>
      </c>
      <c r="M169" s="26">
        <v>42.8</v>
      </c>
      <c r="N169" s="26">
        <v>100408.79999999999</v>
      </c>
    </row>
    <row r="170" spans="1:14" ht="15" customHeight="1" x14ac:dyDescent="0.3">
      <c r="A170" s="25" t="s">
        <v>337</v>
      </c>
      <c r="B170" s="26" t="s">
        <v>338</v>
      </c>
      <c r="C170" s="26" t="s">
        <v>87</v>
      </c>
      <c r="D170" s="27">
        <v>100</v>
      </c>
      <c r="E170" s="27">
        <v>558</v>
      </c>
      <c r="F170" s="27">
        <v>0</v>
      </c>
      <c r="G170" s="27">
        <v>100</v>
      </c>
      <c r="H170" s="27">
        <v>458</v>
      </c>
      <c r="I170" s="27">
        <f>+IFERROR(VLOOKUP(A170,'[1]Pending Dispatch'!$N$2:$O$651,2,0),0)</f>
        <v>409</v>
      </c>
      <c r="J170" s="27">
        <f t="shared" si="2"/>
        <v>49</v>
      </c>
      <c r="K170" s="28">
        <v>8.4000000000000005E-2</v>
      </c>
      <c r="L170" s="28">
        <v>7.2828000000000004E-2</v>
      </c>
      <c r="M170" s="26">
        <v>62.8</v>
      </c>
      <c r="N170" s="26">
        <v>3077.2</v>
      </c>
    </row>
    <row r="171" spans="1:14" ht="15" customHeight="1" x14ac:dyDescent="0.3">
      <c r="A171" s="25" t="s">
        <v>339</v>
      </c>
      <c r="B171" s="26" t="s">
        <v>340</v>
      </c>
      <c r="C171" s="26" t="s">
        <v>87</v>
      </c>
      <c r="D171" s="27">
        <v>200</v>
      </c>
      <c r="E171" s="27">
        <v>1965</v>
      </c>
      <c r="F171" s="27">
        <v>0</v>
      </c>
      <c r="G171" s="27">
        <v>0</v>
      </c>
      <c r="H171" s="27">
        <v>1965</v>
      </c>
      <c r="I171" s="27">
        <f>+IFERROR(VLOOKUP(A171,'[1]Pending Dispatch'!$N$2:$O$651,2,0),0)</f>
        <v>400</v>
      </c>
      <c r="J171" s="27">
        <f t="shared" si="2"/>
        <v>1565</v>
      </c>
      <c r="K171" s="28">
        <v>3.925E-2</v>
      </c>
      <c r="L171" s="28">
        <v>1.7701750000000002E-2</v>
      </c>
      <c r="M171" s="26">
        <v>92.4</v>
      </c>
      <c r="N171" s="26">
        <v>144606</v>
      </c>
    </row>
    <row r="172" spans="1:14" ht="15" customHeight="1" x14ac:dyDescent="0.3">
      <c r="A172" s="25" t="s">
        <v>341</v>
      </c>
      <c r="B172" s="26" t="s">
        <v>342</v>
      </c>
      <c r="C172" s="26" t="s">
        <v>87</v>
      </c>
      <c r="D172" s="27">
        <v>100</v>
      </c>
      <c r="E172" s="27">
        <v>716</v>
      </c>
      <c r="F172" s="27">
        <v>0</v>
      </c>
      <c r="G172" s="27">
        <v>0</v>
      </c>
      <c r="H172" s="27">
        <v>716</v>
      </c>
      <c r="I172" s="27">
        <f>+IFERROR(VLOOKUP(A172,'[1]Pending Dispatch'!$N$2:$O$651,2,0),0)</f>
        <v>233</v>
      </c>
      <c r="J172" s="27">
        <f t="shared" si="2"/>
        <v>483</v>
      </c>
      <c r="K172" s="28">
        <v>7.354999999999999E-2</v>
      </c>
      <c r="L172" s="28">
        <v>1.4268699999999997E-2</v>
      </c>
      <c r="M172" s="26">
        <v>143.4</v>
      </c>
      <c r="N172" s="26">
        <v>68545.2</v>
      </c>
    </row>
    <row r="173" spans="1:14" ht="15" customHeight="1" x14ac:dyDescent="0.3">
      <c r="A173" s="25" t="s">
        <v>343</v>
      </c>
      <c r="B173" s="26" t="s">
        <v>344</v>
      </c>
      <c r="C173" s="26" t="s">
        <v>87</v>
      </c>
      <c r="D173" s="27">
        <v>75</v>
      </c>
      <c r="E173" s="27">
        <v>790</v>
      </c>
      <c r="F173" s="27">
        <v>50</v>
      </c>
      <c r="G173" s="27">
        <v>75</v>
      </c>
      <c r="H173" s="27">
        <v>765</v>
      </c>
      <c r="I173" s="27">
        <f>+IFERROR(VLOOKUP(A173,'[1]Pending Dispatch'!$N$2:$O$651,2,0),0)</f>
        <v>131</v>
      </c>
      <c r="J173" s="27">
        <f t="shared" si="2"/>
        <v>634</v>
      </c>
      <c r="K173" s="28">
        <v>0.1075</v>
      </c>
      <c r="L173" s="28">
        <v>20.425000000000001</v>
      </c>
      <c r="M173" s="26">
        <v>348</v>
      </c>
      <c r="N173" s="26">
        <v>211584</v>
      </c>
    </row>
    <row r="174" spans="1:14" ht="15" customHeight="1" x14ac:dyDescent="0.3">
      <c r="A174" s="25" t="s">
        <v>345</v>
      </c>
      <c r="B174" s="26" t="s">
        <v>346</v>
      </c>
      <c r="C174" s="26" t="s">
        <v>87</v>
      </c>
      <c r="D174" s="27">
        <v>40</v>
      </c>
      <c r="E174" s="27">
        <v>287</v>
      </c>
      <c r="F174" s="27">
        <v>0</v>
      </c>
      <c r="G174" s="27">
        <v>0</v>
      </c>
      <c r="H174" s="27">
        <v>287</v>
      </c>
      <c r="I174" s="27">
        <f>+IFERROR(VLOOKUP(A174,'[1]Pending Dispatch'!$N$2:$O$651,2,0),0)</f>
        <v>0</v>
      </c>
      <c r="J174" s="27">
        <f t="shared" si="2"/>
        <v>287</v>
      </c>
      <c r="K174" s="28">
        <v>0.19350000000000001</v>
      </c>
      <c r="L174" s="28">
        <v>17.027999999999999</v>
      </c>
      <c r="M174" s="26">
        <v>594</v>
      </c>
      <c r="N174" s="26">
        <v>156222</v>
      </c>
    </row>
    <row r="175" spans="1:14" ht="15" customHeight="1" x14ac:dyDescent="0.3">
      <c r="A175" s="25" t="s">
        <v>347</v>
      </c>
      <c r="B175" s="26" t="s">
        <v>348</v>
      </c>
      <c r="C175" s="26" t="s">
        <v>87</v>
      </c>
      <c r="D175" s="27">
        <v>300</v>
      </c>
      <c r="E175" s="27">
        <v>4408</v>
      </c>
      <c r="F175" s="27">
        <v>1275</v>
      </c>
      <c r="G175" s="27">
        <v>3150</v>
      </c>
      <c r="H175" s="27">
        <v>2533</v>
      </c>
      <c r="I175" s="27">
        <f>+IFERROR(VLOOKUP(A175,'[1]Pending Dispatch'!$N$2:$O$651,2,0),0)</f>
        <v>2700</v>
      </c>
      <c r="J175" s="27">
        <f t="shared" si="2"/>
        <v>-167</v>
      </c>
      <c r="K175" s="28">
        <v>3.0249999999999999E-2</v>
      </c>
      <c r="L175" s="28">
        <v>78.680250000000001</v>
      </c>
      <c r="M175" s="26">
        <v>78</v>
      </c>
      <c r="N175" s="26">
        <v>-36426</v>
      </c>
    </row>
    <row r="176" spans="1:14" ht="15" customHeight="1" x14ac:dyDescent="0.3">
      <c r="A176" s="25" t="s">
        <v>349</v>
      </c>
      <c r="B176" s="26" t="s">
        <v>350</v>
      </c>
      <c r="C176" s="26" t="s">
        <v>87</v>
      </c>
      <c r="D176" s="27">
        <v>1000</v>
      </c>
      <c r="E176" s="27">
        <v>3387</v>
      </c>
      <c r="F176" s="27">
        <v>30</v>
      </c>
      <c r="G176" s="27">
        <v>0</v>
      </c>
      <c r="H176" s="27">
        <v>3417</v>
      </c>
      <c r="I176" s="27">
        <f>+IFERROR(VLOOKUP(A176,'[1]Pending Dispatch'!$N$2:$O$651,2,0),0)</f>
        <v>0</v>
      </c>
      <c r="J176" s="27">
        <f t="shared" si="2"/>
        <v>3417</v>
      </c>
      <c r="K176" s="28">
        <v>5.3E-3</v>
      </c>
      <c r="L176" s="28">
        <v>1.7951100000000001E-2</v>
      </c>
      <c r="M176" s="26">
        <v>192.4</v>
      </c>
      <c r="N176" s="26">
        <v>657430.80000000005</v>
      </c>
    </row>
    <row r="177" spans="1:14" ht="15" customHeight="1" x14ac:dyDescent="0.3">
      <c r="A177" s="25" t="s">
        <v>351</v>
      </c>
      <c r="B177" s="26" t="s">
        <v>352</v>
      </c>
      <c r="C177" s="26" t="s">
        <v>87</v>
      </c>
      <c r="D177" s="27">
        <v>500</v>
      </c>
      <c r="E177" s="27">
        <v>8706</v>
      </c>
      <c r="F177" s="27">
        <v>252</v>
      </c>
      <c r="G177" s="27">
        <v>7410</v>
      </c>
      <c r="H177" s="27">
        <v>1548</v>
      </c>
      <c r="I177" s="27">
        <f>+IFERROR(VLOOKUP(A177,'[1]Pending Dispatch'!$N$2:$O$651,2,0),0)</f>
        <v>4038</v>
      </c>
      <c r="J177" s="27">
        <f t="shared" si="2"/>
        <v>-2490</v>
      </c>
      <c r="K177" s="28">
        <v>7.6500000000000005E-3</v>
      </c>
      <c r="L177" s="28">
        <v>2.2169700000000004E-2</v>
      </c>
      <c r="M177" s="26">
        <v>164</v>
      </c>
      <c r="N177" s="26">
        <v>1100440</v>
      </c>
    </row>
    <row r="178" spans="1:14" ht="15" customHeight="1" x14ac:dyDescent="0.3">
      <c r="A178" s="25" t="s">
        <v>353</v>
      </c>
      <c r="B178" s="26" t="s">
        <v>354</v>
      </c>
      <c r="C178" s="26" t="s">
        <v>87</v>
      </c>
      <c r="D178" s="27">
        <v>200</v>
      </c>
      <c r="E178" s="27">
        <v>4279</v>
      </c>
      <c r="F178" s="27">
        <v>4599</v>
      </c>
      <c r="G178" s="27">
        <v>5400</v>
      </c>
      <c r="H178" s="27">
        <v>3478</v>
      </c>
      <c r="I178" s="27">
        <f>+IFERROR(VLOOKUP(A178,'[1]Pending Dispatch'!$N$2:$O$651,2,0),0)</f>
        <v>2800</v>
      </c>
      <c r="J178" s="27">
        <f t="shared" si="2"/>
        <v>678</v>
      </c>
      <c r="K178" s="28">
        <v>1.5675000000000001E-2</v>
      </c>
      <c r="L178" s="28">
        <v>6.5270700000000001E-2</v>
      </c>
      <c r="M178" s="26">
        <v>368</v>
      </c>
      <c r="N178" s="26">
        <v>139104</v>
      </c>
    </row>
    <row r="179" spans="1:14" ht="15" customHeight="1" x14ac:dyDescent="0.3">
      <c r="A179" s="25" t="s">
        <v>355</v>
      </c>
      <c r="B179" s="26" t="s">
        <v>356</v>
      </c>
      <c r="C179" s="26" t="s">
        <v>87</v>
      </c>
      <c r="D179" s="27">
        <v>100</v>
      </c>
      <c r="E179" s="27">
        <v>1553</v>
      </c>
      <c r="F179" s="27">
        <v>140</v>
      </c>
      <c r="G179" s="27">
        <v>275</v>
      </c>
      <c r="H179" s="27">
        <v>1418</v>
      </c>
      <c r="I179" s="27">
        <f>+IFERROR(VLOOKUP(A179,'[1]Pending Dispatch'!$N$2:$O$651,2,0),0)</f>
        <v>700</v>
      </c>
      <c r="J179" s="27">
        <f t="shared" si="2"/>
        <v>718</v>
      </c>
      <c r="K179" s="28">
        <v>2.75E-2</v>
      </c>
      <c r="L179" s="28">
        <v>36.520000000000003</v>
      </c>
      <c r="M179" s="26">
        <v>48.4</v>
      </c>
      <c r="N179" s="26">
        <v>34267.199999999997</v>
      </c>
    </row>
    <row r="180" spans="1:14" ht="15" customHeight="1" x14ac:dyDescent="0.3">
      <c r="A180" s="25" t="s">
        <v>357</v>
      </c>
      <c r="B180" s="26" t="s">
        <v>358</v>
      </c>
      <c r="C180" s="26" t="s">
        <v>87</v>
      </c>
      <c r="D180" s="27">
        <v>80</v>
      </c>
      <c r="E180" s="27">
        <v>1387</v>
      </c>
      <c r="F180" s="27">
        <v>177</v>
      </c>
      <c r="G180" s="27">
        <v>220</v>
      </c>
      <c r="H180" s="27">
        <v>1344</v>
      </c>
      <c r="I180" s="27">
        <f>+IFERROR(VLOOKUP(A180,'[1]Pending Dispatch'!$N$2:$O$651,2,0),0)</f>
        <v>160</v>
      </c>
      <c r="J180" s="27">
        <f t="shared" si="2"/>
        <v>1184</v>
      </c>
      <c r="K180" s="28">
        <v>4.1000000000000002E-2</v>
      </c>
      <c r="L180" s="28">
        <v>22.427</v>
      </c>
      <c r="M180" s="26">
        <v>69.900000000000006</v>
      </c>
      <c r="N180" s="26">
        <v>82062.600000000006</v>
      </c>
    </row>
    <row r="181" spans="1:14" ht="15" customHeight="1" x14ac:dyDescent="0.3">
      <c r="A181" s="25" t="s">
        <v>359</v>
      </c>
      <c r="B181" s="26" t="s">
        <v>360</v>
      </c>
      <c r="C181" s="26" t="s">
        <v>87</v>
      </c>
      <c r="D181" s="27">
        <v>40</v>
      </c>
      <c r="E181" s="27">
        <v>628</v>
      </c>
      <c r="F181" s="27">
        <v>50</v>
      </c>
      <c r="G181" s="27">
        <v>10</v>
      </c>
      <c r="H181" s="27">
        <v>668</v>
      </c>
      <c r="I181" s="27">
        <f>+IFERROR(VLOOKUP(A181,'[1]Pending Dispatch'!$N$2:$O$651,2,0),0)</f>
        <v>40</v>
      </c>
      <c r="J181" s="27">
        <f t="shared" si="2"/>
        <v>628</v>
      </c>
      <c r="K181" s="28">
        <v>8.6999999999999994E-2</v>
      </c>
      <c r="L181" s="28">
        <v>69.426000000000002</v>
      </c>
      <c r="M181" s="26">
        <v>148</v>
      </c>
      <c r="N181" s="26">
        <v>92944</v>
      </c>
    </row>
    <row r="182" spans="1:14" ht="15" customHeight="1" x14ac:dyDescent="0.3">
      <c r="A182" s="25" t="s">
        <v>361</v>
      </c>
      <c r="B182" s="26" t="s">
        <v>362</v>
      </c>
      <c r="C182" s="26" t="s">
        <v>87</v>
      </c>
      <c r="D182" s="27">
        <v>50</v>
      </c>
      <c r="E182" s="27">
        <v>16</v>
      </c>
      <c r="F182" s="27">
        <v>0</v>
      </c>
      <c r="G182" s="27">
        <v>0</v>
      </c>
      <c r="H182" s="27">
        <v>16</v>
      </c>
      <c r="I182" s="27">
        <f>+IFERROR(VLOOKUP(A182,'[1]Pending Dispatch'!$N$2:$O$651,2,0),0)</f>
        <v>0</v>
      </c>
      <c r="J182" s="27">
        <f t="shared" si="2"/>
        <v>16</v>
      </c>
      <c r="K182" s="28">
        <v>0.20300000000000001</v>
      </c>
      <c r="L182" s="28">
        <v>3.2480000000000002</v>
      </c>
      <c r="M182" s="26">
        <v>398</v>
      </c>
      <c r="N182" s="26">
        <v>6368</v>
      </c>
    </row>
    <row r="183" spans="1:14" ht="15" customHeight="1" x14ac:dyDescent="0.3">
      <c r="A183" s="25" t="s">
        <v>363</v>
      </c>
      <c r="B183" s="26" t="s">
        <v>364</v>
      </c>
      <c r="C183" s="26" t="s">
        <v>87</v>
      </c>
      <c r="D183" s="27">
        <v>30</v>
      </c>
      <c r="E183" s="27">
        <v>68</v>
      </c>
      <c r="F183" s="27">
        <v>0</v>
      </c>
      <c r="G183" s="27">
        <v>0</v>
      </c>
      <c r="H183" s="27">
        <v>68</v>
      </c>
      <c r="I183" s="27">
        <f>+IFERROR(VLOOKUP(A183,'[1]Pending Dispatch'!$N$2:$O$651,2,0),0)</f>
        <v>0</v>
      </c>
      <c r="J183" s="27">
        <f t="shared" si="2"/>
        <v>68</v>
      </c>
      <c r="K183" s="28">
        <v>0.28899999999999998</v>
      </c>
      <c r="L183" s="28">
        <v>19.651999999999997</v>
      </c>
      <c r="M183" s="26">
        <v>588</v>
      </c>
      <c r="N183" s="26">
        <v>39984</v>
      </c>
    </row>
    <row r="184" spans="1:14" ht="15" customHeight="1" x14ac:dyDescent="0.3">
      <c r="A184" s="25" t="s">
        <v>365</v>
      </c>
      <c r="B184" s="26" t="s">
        <v>366</v>
      </c>
      <c r="C184" s="26" t="s">
        <v>87</v>
      </c>
      <c r="D184" s="27">
        <v>15</v>
      </c>
      <c r="E184" s="27">
        <v>61</v>
      </c>
      <c r="F184" s="27">
        <v>0</v>
      </c>
      <c r="G184" s="27">
        <v>0</v>
      </c>
      <c r="H184" s="27">
        <v>61</v>
      </c>
      <c r="I184" s="27">
        <f>+IFERROR(VLOOKUP(A184,'[1]Pending Dispatch'!$N$2:$O$651,2,0),0)</f>
        <v>0</v>
      </c>
      <c r="J184" s="27">
        <f t="shared" si="2"/>
        <v>61</v>
      </c>
      <c r="K184" s="28">
        <v>0.505</v>
      </c>
      <c r="L184" s="28">
        <v>30.805</v>
      </c>
      <c r="M184" s="26">
        <v>968</v>
      </c>
      <c r="N184" s="26">
        <v>59048</v>
      </c>
    </row>
    <row r="185" spans="1:14" ht="15" customHeight="1" x14ac:dyDescent="0.3">
      <c r="A185" s="25" t="s">
        <v>367</v>
      </c>
      <c r="B185" s="26" t="s">
        <v>368</v>
      </c>
      <c r="C185" s="26" t="s">
        <v>87</v>
      </c>
      <c r="D185" s="27">
        <v>1000</v>
      </c>
      <c r="E185" s="27">
        <v>2191</v>
      </c>
      <c r="F185" s="27">
        <v>11000</v>
      </c>
      <c r="G185" s="27">
        <v>5291</v>
      </c>
      <c r="H185" s="27">
        <v>7900</v>
      </c>
      <c r="I185" s="27">
        <f>+IFERROR(VLOOKUP(A185,'[1]Pending Dispatch'!$N$2:$O$651,2,0),0)</f>
        <v>4000</v>
      </c>
      <c r="J185" s="27">
        <f t="shared" si="2"/>
        <v>3900</v>
      </c>
      <c r="K185" s="28">
        <v>2.93E-2</v>
      </c>
      <c r="L185" s="28">
        <v>172.6063</v>
      </c>
      <c r="M185" s="26">
        <v>28.4</v>
      </c>
      <c r="N185" s="26">
        <v>110760</v>
      </c>
    </row>
    <row r="186" spans="1:14" ht="15" customHeight="1" x14ac:dyDescent="0.3">
      <c r="A186" s="25" t="s">
        <v>369</v>
      </c>
      <c r="B186" s="26" t="s">
        <v>370</v>
      </c>
      <c r="C186" s="26" t="s">
        <v>87</v>
      </c>
      <c r="D186" s="27">
        <v>300</v>
      </c>
      <c r="E186" s="27">
        <v>570</v>
      </c>
      <c r="F186" s="27">
        <v>1950</v>
      </c>
      <c r="G186" s="27">
        <v>955</v>
      </c>
      <c r="H186" s="27">
        <v>1565</v>
      </c>
      <c r="I186" s="27">
        <f>+IFERROR(VLOOKUP(A186,'[1]Pending Dispatch'!$N$2:$O$651,2,0),0)</f>
        <v>0</v>
      </c>
      <c r="J186" s="27">
        <f t="shared" si="2"/>
        <v>1565</v>
      </c>
      <c r="K186" s="28">
        <v>2.5000000000000001E-2</v>
      </c>
      <c r="L186" s="28">
        <v>13</v>
      </c>
      <c r="M186" s="26">
        <v>38.799999999999997</v>
      </c>
      <c r="N186" s="26">
        <v>60721.999999999993</v>
      </c>
    </row>
    <row r="187" spans="1:14" ht="15" customHeight="1" x14ac:dyDescent="0.3">
      <c r="A187" s="25" t="s">
        <v>371</v>
      </c>
      <c r="B187" s="26" t="s">
        <v>372</v>
      </c>
      <c r="C187" s="26" t="s">
        <v>87</v>
      </c>
      <c r="D187" s="27">
        <v>400</v>
      </c>
      <c r="E187" s="27">
        <v>4439</v>
      </c>
      <c r="F187" s="27">
        <v>4586</v>
      </c>
      <c r="G187" s="27">
        <v>5689</v>
      </c>
      <c r="H187" s="27">
        <v>3336</v>
      </c>
      <c r="I187" s="27">
        <f>+IFERROR(VLOOKUP(A187,'[1]Pending Dispatch'!$N$2:$O$651,2,0),0)</f>
        <v>400</v>
      </c>
      <c r="J187" s="27">
        <f t="shared" si="2"/>
        <v>2936</v>
      </c>
      <c r="K187" s="28">
        <v>1.29E-2</v>
      </c>
      <c r="L187" s="28">
        <v>43.073099999999997</v>
      </c>
      <c r="M187" s="26">
        <v>0</v>
      </c>
      <c r="N187" s="26">
        <v>0</v>
      </c>
    </row>
    <row r="188" spans="1:14" ht="15" customHeight="1" x14ac:dyDescent="0.3">
      <c r="A188" s="25" t="s">
        <v>373</v>
      </c>
      <c r="B188" s="26" t="s">
        <v>374</v>
      </c>
      <c r="C188" s="26" t="s">
        <v>87</v>
      </c>
      <c r="D188" s="27">
        <v>150</v>
      </c>
      <c r="E188" s="27">
        <v>48</v>
      </c>
      <c r="F188" s="27">
        <v>348</v>
      </c>
      <c r="G188" s="27">
        <v>2</v>
      </c>
      <c r="H188" s="27">
        <v>394</v>
      </c>
      <c r="I188" s="27">
        <f>+IFERROR(VLOOKUP(A188,'[1]Pending Dispatch'!$N$2:$O$651,2,0),0)</f>
        <v>150</v>
      </c>
      <c r="J188" s="27">
        <f t="shared" si="2"/>
        <v>244</v>
      </c>
      <c r="K188" s="28">
        <v>3.6499999999999998E-2</v>
      </c>
      <c r="L188" s="28">
        <v>29.126999999999999</v>
      </c>
      <c r="M188" s="26"/>
      <c r="N188" s="26">
        <v>0</v>
      </c>
    </row>
    <row r="189" spans="1:14" ht="15" customHeight="1" x14ac:dyDescent="0.3">
      <c r="A189" s="25" t="s">
        <v>375</v>
      </c>
      <c r="B189" s="26" t="s">
        <v>376</v>
      </c>
      <c r="C189" s="26" t="s">
        <v>87</v>
      </c>
      <c r="D189" s="27">
        <v>100</v>
      </c>
      <c r="E189" s="27">
        <v>1286</v>
      </c>
      <c r="F189" s="27">
        <v>1996</v>
      </c>
      <c r="G189" s="27">
        <v>800</v>
      </c>
      <c r="H189" s="27">
        <v>2482</v>
      </c>
      <c r="I189" s="27">
        <f>+IFERROR(VLOOKUP(A189,'[1]Pending Dispatch'!$N$2:$O$651,2,0),0)</f>
        <v>700</v>
      </c>
      <c r="J189" s="27">
        <f t="shared" si="2"/>
        <v>1782</v>
      </c>
      <c r="K189" s="28">
        <v>8.5300000000000001E-2</v>
      </c>
      <c r="L189" s="28">
        <v>9.8948000000000008E-2</v>
      </c>
      <c r="M189" s="26"/>
      <c r="N189" s="26">
        <v>0</v>
      </c>
    </row>
    <row r="190" spans="1:14" ht="15" customHeight="1" x14ac:dyDescent="0.3">
      <c r="A190" s="25" t="s">
        <v>377</v>
      </c>
      <c r="B190" s="26" t="s">
        <v>378</v>
      </c>
      <c r="C190" s="26" t="s">
        <v>87</v>
      </c>
      <c r="D190" s="27">
        <v>100</v>
      </c>
      <c r="E190" s="27">
        <v>927</v>
      </c>
      <c r="F190" s="27">
        <v>3579</v>
      </c>
      <c r="G190" s="27">
        <v>3600</v>
      </c>
      <c r="H190" s="27">
        <v>906</v>
      </c>
      <c r="I190" s="27">
        <f>+IFERROR(VLOOKUP(A190,'[1]Pending Dispatch'!$N$2:$O$651,2,0),0)</f>
        <v>600</v>
      </c>
      <c r="J190" s="27">
        <f t="shared" si="2"/>
        <v>306</v>
      </c>
      <c r="K190" s="28">
        <v>9.4E-2</v>
      </c>
      <c r="L190" s="28">
        <v>0.16553399999999999</v>
      </c>
      <c r="M190" s="26"/>
      <c r="N190" s="26">
        <v>0</v>
      </c>
    </row>
    <row r="191" spans="1:14" ht="15" customHeight="1" x14ac:dyDescent="0.3">
      <c r="A191" s="25" t="s">
        <v>379</v>
      </c>
      <c r="B191" s="26" t="s">
        <v>380</v>
      </c>
      <c r="C191" s="26" t="s">
        <v>87</v>
      </c>
      <c r="D191" s="27">
        <v>600</v>
      </c>
      <c r="E191" s="27">
        <v>5704</v>
      </c>
      <c r="F191" s="27">
        <v>8500</v>
      </c>
      <c r="G191" s="27">
        <v>7500</v>
      </c>
      <c r="H191" s="27">
        <v>6704</v>
      </c>
      <c r="I191" s="27">
        <f>+IFERROR(VLOOKUP(A191,'[1]Pending Dispatch'!$N$2:$O$651,2,0),0)</f>
        <v>2900</v>
      </c>
      <c r="J191" s="27">
        <f t="shared" si="2"/>
        <v>3804</v>
      </c>
      <c r="K191" s="28">
        <v>1.225E-2</v>
      </c>
      <c r="L191" s="28">
        <v>3.2094999999999999E-2</v>
      </c>
      <c r="M191" s="26">
        <v>32.450000000000003</v>
      </c>
      <c r="N191" s="26">
        <v>103969.8</v>
      </c>
    </row>
    <row r="192" spans="1:14" ht="15" customHeight="1" x14ac:dyDescent="0.3">
      <c r="A192" s="25" t="s">
        <v>381</v>
      </c>
      <c r="B192" s="26" t="s">
        <v>382</v>
      </c>
      <c r="C192" s="26" t="s">
        <v>87</v>
      </c>
      <c r="D192" s="27">
        <v>300</v>
      </c>
      <c r="E192" s="27">
        <v>2080</v>
      </c>
      <c r="F192" s="27">
        <v>0</v>
      </c>
      <c r="G192" s="27">
        <v>0</v>
      </c>
      <c r="H192" s="27">
        <v>2080</v>
      </c>
      <c r="I192" s="27">
        <f>+IFERROR(VLOOKUP(A192,'[1]Pending Dispatch'!$N$2:$O$651,2,0),0)</f>
        <v>0</v>
      </c>
      <c r="J192" s="27">
        <f t="shared" si="2"/>
        <v>2080</v>
      </c>
      <c r="K192" s="28">
        <v>2.3649999999999997E-2</v>
      </c>
      <c r="L192" s="28">
        <v>53.921999999999997</v>
      </c>
      <c r="M192" s="26">
        <v>48.4</v>
      </c>
      <c r="N192" s="26">
        <v>100672</v>
      </c>
    </row>
    <row r="193" spans="1:15" ht="15" customHeight="1" x14ac:dyDescent="0.3">
      <c r="A193" s="25" t="s">
        <v>383</v>
      </c>
      <c r="B193" s="26" t="s">
        <v>384</v>
      </c>
      <c r="C193" s="26" t="s">
        <v>87</v>
      </c>
      <c r="D193" s="27">
        <v>300</v>
      </c>
      <c r="E193" s="27">
        <v>5260</v>
      </c>
      <c r="F193" s="27">
        <v>0</v>
      </c>
      <c r="G193" s="27">
        <v>410</v>
      </c>
      <c r="H193" s="27">
        <v>4850</v>
      </c>
      <c r="I193" s="27">
        <f>+IFERROR(VLOOKUP(A193,'[1]Pending Dispatch'!$N$2:$O$651,2,0),0)</f>
        <v>150</v>
      </c>
      <c r="J193" s="27">
        <f t="shared" si="2"/>
        <v>4700</v>
      </c>
      <c r="K193" s="28">
        <v>2.4750000000000001E-2</v>
      </c>
      <c r="L193" s="28">
        <v>13.959000000000001</v>
      </c>
      <c r="M193" s="26">
        <v>38.4</v>
      </c>
      <c r="N193" s="26">
        <v>180480</v>
      </c>
    </row>
    <row r="194" spans="1:15" ht="15" customHeight="1" x14ac:dyDescent="0.3">
      <c r="A194" s="25" t="s">
        <v>385</v>
      </c>
      <c r="B194" s="26" t="s">
        <v>386</v>
      </c>
      <c r="C194" s="26" t="s">
        <v>87</v>
      </c>
      <c r="D194" s="27">
        <v>300</v>
      </c>
      <c r="E194" s="27">
        <v>2905</v>
      </c>
      <c r="F194" s="27">
        <v>0</v>
      </c>
      <c r="G194" s="27">
        <v>1500</v>
      </c>
      <c r="H194" s="27">
        <v>1405</v>
      </c>
      <c r="I194" s="27">
        <f>+IFERROR(VLOOKUP(A194,'[1]Pending Dispatch'!$N$2:$O$651,2,0),0)</f>
        <v>1350</v>
      </c>
      <c r="J194" s="27">
        <f t="shared" si="2"/>
        <v>55</v>
      </c>
      <c r="K194" s="28">
        <v>1.77E-2</v>
      </c>
      <c r="L194" s="28">
        <v>2.72757E-2</v>
      </c>
      <c r="M194" s="26">
        <v>34.4</v>
      </c>
      <c r="N194" s="26">
        <v>1892</v>
      </c>
    </row>
    <row r="195" spans="1:15" ht="15" customHeight="1" x14ac:dyDescent="0.3">
      <c r="A195" s="25" t="s">
        <v>387</v>
      </c>
      <c r="B195" s="26" t="s">
        <v>388</v>
      </c>
      <c r="C195" s="26" t="s">
        <v>87</v>
      </c>
      <c r="D195" s="27">
        <v>200</v>
      </c>
      <c r="E195" s="27">
        <v>1140</v>
      </c>
      <c r="F195" s="27">
        <v>0</v>
      </c>
      <c r="G195" s="27">
        <v>0</v>
      </c>
      <c r="H195" s="27">
        <v>1140</v>
      </c>
      <c r="I195" s="27">
        <f>+IFERROR(VLOOKUP(A195,'[1]Pending Dispatch'!$N$2:$O$651,2,0),0)</f>
        <v>0</v>
      </c>
      <c r="J195" s="27">
        <f t="shared" si="2"/>
        <v>1140</v>
      </c>
      <c r="K195" s="28">
        <v>3.4500000000000003E-2</v>
      </c>
      <c r="L195" s="28">
        <v>3.9019499999999999E-2</v>
      </c>
      <c r="M195" s="26">
        <v>79.400000000000006</v>
      </c>
      <c r="N195" s="26">
        <v>90516</v>
      </c>
    </row>
    <row r="196" spans="1:15" ht="15" customHeight="1" x14ac:dyDescent="0.3">
      <c r="A196" s="25" t="s">
        <v>389</v>
      </c>
      <c r="B196" s="26" t="s">
        <v>390</v>
      </c>
      <c r="C196" s="26" t="s">
        <v>87</v>
      </c>
      <c r="D196" s="27">
        <v>200</v>
      </c>
      <c r="E196" s="27">
        <v>1300</v>
      </c>
      <c r="F196" s="27">
        <v>0</v>
      </c>
      <c r="G196" s="27">
        <v>70</v>
      </c>
      <c r="H196" s="27">
        <v>1230</v>
      </c>
      <c r="I196" s="27">
        <f>+IFERROR(VLOOKUP(A196,'[1]Pending Dispatch'!$N$2:$O$651,2,0),0)</f>
        <v>200</v>
      </c>
      <c r="J196" s="27">
        <f t="shared" si="2"/>
        <v>1030</v>
      </c>
      <c r="K196" s="28">
        <v>3.6749999999999998E-2</v>
      </c>
      <c r="L196" s="28">
        <v>0.10510499999999999</v>
      </c>
      <c r="M196" s="26">
        <v>59.2</v>
      </c>
      <c r="N196" s="26">
        <v>60384</v>
      </c>
    </row>
    <row r="197" spans="1:15" ht="15" customHeight="1" x14ac:dyDescent="0.3">
      <c r="A197" s="25" t="s">
        <v>391</v>
      </c>
      <c r="B197" s="26" t="s">
        <v>392</v>
      </c>
      <c r="C197" s="26" t="s">
        <v>87</v>
      </c>
      <c r="D197" s="27">
        <v>200</v>
      </c>
      <c r="E197" s="27">
        <v>1912</v>
      </c>
      <c r="F197" s="27">
        <v>0</v>
      </c>
      <c r="G197" s="27">
        <v>1070</v>
      </c>
      <c r="H197" s="27">
        <v>842</v>
      </c>
      <c r="I197" s="27">
        <f>+IFERROR(VLOOKUP(A197,'[1]Pending Dispatch'!$N$2:$O$651,2,0),0)</f>
        <v>450</v>
      </c>
      <c r="J197" s="27">
        <f t="shared" si="2"/>
        <v>392</v>
      </c>
      <c r="K197" s="28">
        <v>3.5999999999999997E-2</v>
      </c>
      <c r="L197" s="28">
        <v>53.927999999999997</v>
      </c>
      <c r="M197" s="26">
        <v>59.4</v>
      </c>
      <c r="N197" s="26">
        <v>-1069.2</v>
      </c>
    </row>
    <row r="198" spans="1:15" ht="15" customHeight="1" x14ac:dyDescent="0.3">
      <c r="A198" s="25" t="s">
        <v>393</v>
      </c>
      <c r="B198" s="26" t="s">
        <v>394</v>
      </c>
      <c r="C198" s="26" t="s">
        <v>87</v>
      </c>
      <c r="D198" s="27">
        <v>200</v>
      </c>
      <c r="E198" s="27">
        <v>1279</v>
      </c>
      <c r="F198" s="27">
        <v>0</v>
      </c>
      <c r="G198" s="27">
        <v>340</v>
      </c>
      <c r="H198" s="27">
        <v>939</v>
      </c>
      <c r="I198" s="27">
        <f>+IFERROR(VLOOKUP(A198,'[1]Pending Dispatch'!$N$2:$O$651,2,0),0)</f>
        <v>300</v>
      </c>
      <c r="J198" s="27">
        <f t="shared" ref="J198:J261" si="3">+H198-I198</f>
        <v>639</v>
      </c>
      <c r="K198" s="28">
        <v>2.4250000000000001E-2</v>
      </c>
      <c r="L198" s="28">
        <v>44.547249999999998</v>
      </c>
      <c r="M198" s="26">
        <v>44.4</v>
      </c>
      <c r="N198" s="26">
        <v>28371.599999999999</v>
      </c>
    </row>
    <row r="199" spans="1:15" ht="15" customHeight="1" x14ac:dyDescent="0.3">
      <c r="A199" s="25" t="s">
        <v>395</v>
      </c>
      <c r="B199" s="26" t="s">
        <v>396</v>
      </c>
      <c r="C199" s="26" t="s">
        <v>87</v>
      </c>
      <c r="D199" s="27">
        <v>100</v>
      </c>
      <c r="E199" s="27">
        <v>1621</v>
      </c>
      <c r="F199" s="27">
        <v>0</v>
      </c>
      <c r="G199" s="27">
        <v>50</v>
      </c>
      <c r="H199" s="27">
        <v>1571</v>
      </c>
      <c r="I199" s="27">
        <f>+IFERROR(VLOOKUP(A199,'[1]Pending Dispatch'!$N$2:$O$651,2,0),0)</f>
        <v>0</v>
      </c>
      <c r="J199" s="27">
        <f t="shared" si="3"/>
        <v>1571</v>
      </c>
      <c r="K199" s="28">
        <v>7.7499999999999999E-2</v>
      </c>
      <c r="L199" s="28">
        <v>0.15685999999999997</v>
      </c>
      <c r="M199" s="26">
        <v>118</v>
      </c>
      <c r="N199" s="26">
        <v>185378</v>
      </c>
    </row>
    <row r="200" spans="1:15" ht="15" customHeight="1" x14ac:dyDescent="0.3">
      <c r="A200" s="25" t="s">
        <v>397</v>
      </c>
      <c r="B200" s="26" t="s">
        <v>398</v>
      </c>
      <c r="C200" s="26" t="s">
        <v>87</v>
      </c>
      <c r="D200" s="27">
        <v>100</v>
      </c>
      <c r="E200" s="27">
        <v>4</v>
      </c>
      <c r="F200" s="27">
        <v>1110</v>
      </c>
      <c r="G200" s="27">
        <v>118</v>
      </c>
      <c r="H200" s="27">
        <v>996</v>
      </c>
      <c r="I200" s="27">
        <f>+IFERROR(VLOOKUP(A200,'[1]Pending Dispatch'!$N$2:$O$651,2,0),0)</f>
        <v>250</v>
      </c>
      <c r="J200" s="27">
        <f t="shared" si="3"/>
        <v>746</v>
      </c>
      <c r="K200" s="28">
        <v>7.6999999999999999E-2</v>
      </c>
      <c r="L200" s="28">
        <v>7.1840999999999988E-2</v>
      </c>
      <c r="M200" s="26">
        <v>118</v>
      </c>
      <c r="N200" s="26">
        <v>63248</v>
      </c>
    </row>
    <row r="201" spans="1:15" ht="15" customHeight="1" x14ac:dyDescent="0.3">
      <c r="A201" s="25" t="s">
        <v>399</v>
      </c>
      <c r="B201" s="26" t="s">
        <v>400</v>
      </c>
      <c r="C201" s="26" t="s">
        <v>87</v>
      </c>
      <c r="D201" s="27">
        <v>100</v>
      </c>
      <c r="E201" s="27">
        <v>755</v>
      </c>
      <c r="F201" s="27">
        <v>0</v>
      </c>
      <c r="G201" s="27">
        <v>0</v>
      </c>
      <c r="H201" s="27">
        <v>755</v>
      </c>
      <c r="I201" s="27">
        <f>+IFERROR(VLOOKUP(A201,'[1]Pending Dispatch'!$N$2:$O$651,2,0),0)</f>
        <v>60</v>
      </c>
      <c r="J201" s="27">
        <f t="shared" si="3"/>
        <v>695</v>
      </c>
      <c r="K201" s="28">
        <v>8.1500000000000003E-2</v>
      </c>
      <c r="L201" s="28">
        <v>0.12722150000000002</v>
      </c>
      <c r="M201" s="26">
        <v>128</v>
      </c>
      <c r="N201" s="26">
        <v>88960</v>
      </c>
    </row>
    <row r="202" spans="1:15" ht="15" customHeight="1" x14ac:dyDescent="0.3">
      <c r="A202" s="25" t="s">
        <v>401</v>
      </c>
      <c r="B202" s="26" t="s">
        <v>402</v>
      </c>
      <c r="C202" s="26" t="s">
        <v>87</v>
      </c>
      <c r="D202" s="27">
        <v>100</v>
      </c>
      <c r="E202" s="27">
        <v>1212</v>
      </c>
      <c r="F202" s="27">
        <v>0</v>
      </c>
      <c r="G202" s="27">
        <v>125</v>
      </c>
      <c r="H202" s="27">
        <v>1087</v>
      </c>
      <c r="I202" s="27">
        <f>+IFERROR(VLOOKUP(A202,'[1]Pending Dispatch'!$N$2:$O$651,2,0),0)</f>
        <v>50</v>
      </c>
      <c r="J202" s="27">
        <f t="shared" si="3"/>
        <v>1037</v>
      </c>
      <c r="K202" s="28">
        <v>6.9500000000000006E-2</v>
      </c>
      <c r="L202" s="28">
        <v>0.12662899999999999</v>
      </c>
      <c r="M202" s="26">
        <v>106</v>
      </c>
      <c r="N202" s="26">
        <v>108862</v>
      </c>
    </row>
    <row r="203" spans="1:15" ht="15" customHeight="1" x14ac:dyDescent="0.3">
      <c r="A203" s="33" t="s">
        <v>403</v>
      </c>
      <c r="B203" s="34" t="s">
        <v>404</v>
      </c>
      <c r="C203" s="34" t="s">
        <v>87</v>
      </c>
      <c r="D203" s="35">
        <v>50</v>
      </c>
      <c r="E203" s="35">
        <v>0</v>
      </c>
      <c r="F203" s="35">
        <v>0</v>
      </c>
      <c r="G203" s="35">
        <v>0</v>
      </c>
      <c r="H203" s="35">
        <v>0</v>
      </c>
      <c r="I203" s="27">
        <f>+IFERROR(VLOOKUP(A203,'[1]Pending Dispatch'!$N$2:$O$651,2,0),0)</f>
        <v>0</v>
      </c>
      <c r="J203" s="27">
        <f t="shared" si="3"/>
        <v>0</v>
      </c>
      <c r="K203" s="36">
        <v>0.17849999999999999</v>
      </c>
      <c r="L203" s="36">
        <v>3.3914999999999995E-3</v>
      </c>
      <c r="M203" s="34">
        <v>348</v>
      </c>
      <c r="N203" s="34">
        <v>0</v>
      </c>
    </row>
    <row r="204" spans="1:15" ht="15" customHeight="1" x14ac:dyDescent="0.3">
      <c r="A204" s="25" t="s">
        <v>405</v>
      </c>
      <c r="B204" s="26" t="s">
        <v>406</v>
      </c>
      <c r="C204" s="26" t="s">
        <v>87</v>
      </c>
      <c r="D204" s="27">
        <v>50</v>
      </c>
      <c r="E204" s="27">
        <v>283</v>
      </c>
      <c r="F204" s="27">
        <v>0</v>
      </c>
      <c r="G204" s="27">
        <v>105</v>
      </c>
      <c r="H204" s="27">
        <v>178</v>
      </c>
      <c r="I204" s="27">
        <f>+IFERROR(VLOOKUP(A204,'[1]Pending Dispatch'!$N$2:$O$651,2,0),0)</f>
        <v>20</v>
      </c>
      <c r="J204" s="27">
        <f t="shared" si="3"/>
        <v>158</v>
      </c>
      <c r="K204" s="28">
        <v>0.161</v>
      </c>
      <c r="L204" s="28">
        <v>4.7173E-2</v>
      </c>
      <c r="M204" s="26">
        <v>348</v>
      </c>
      <c r="N204" s="26">
        <v>54984</v>
      </c>
    </row>
    <row r="205" spans="1:15" ht="15" customHeight="1" x14ac:dyDescent="0.3">
      <c r="A205" s="25" t="s">
        <v>407</v>
      </c>
      <c r="B205" s="26" t="s">
        <v>408</v>
      </c>
      <c r="C205" s="26" t="s">
        <v>87</v>
      </c>
      <c r="D205" s="27">
        <v>15</v>
      </c>
      <c r="E205" s="27">
        <v>260</v>
      </c>
      <c r="F205" s="27">
        <v>0</v>
      </c>
      <c r="G205" s="27">
        <v>30</v>
      </c>
      <c r="H205" s="27">
        <v>230</v>
      </c>
      <c r="I205" s="27">
        <f>+IFERROR(VLOOKUP(A205,'[1]Pending Dispatch'!$N$2:$O$651,2,0),0)</f>
        <v>0</v>
      </c>
      <c r="J205" s="27">
        <f t="shared" si="3"/>
        <v>230</v>
      </c>
      <c r="K205" s="28">
        <v>0.33500000000000002</v>
      </c>
      <c r="L205" s="28">
        <v>93.13000000000001</v>
      </c>
      <c r="M205" s="26">
        <v>698</v>
      </c>
      <c r="N205" s="26">
        <v>160540</v>
      </c>
    </row>
    <row r="206" spans="1:15" ht="15" customHeight="1" x14ac:dyDescent="0.3">
      <c r="A206" s="25" t="s">
        <v>409</v>
      </c>
      <c r="B206" s="26" t="s">
        <v>410</v>
      </c>
      <c r="C206" s="26" t="s">
        <v>87</v>
      </c>
      <c r="D206" s="27">
        <v>10</v>
      </c>
      <c r="E206" s="27">
        <v>78</v>
      </c>
      <c r="F206" s="27">
        <v>0</v>
      </c>
      <c r="G206" s="27">
        <v>0</v>
      </c>
      <c r="H206" s="27">
        <v>78</v>
      </c>
      <c r="I206" s="27">
        <f>+IFERROR(VLOOKUP(A206,'[1]Pending Dispatch'!$N$2:$O$651,2,0),0)</f>
        <v>0</v>
      </c>
      <c r="J206" s="27">
        <f t="shared" si="3"/>
        <v>78</v>
      </c>
      <c r="K206" s="28">
        <v>0.4995</v>
      </c>
      <c r="L206" s="28">
        <v>41.458500000000001</v>
      </c>
      <c r="M206" s="26">
        <v>1180</v>
      </c>
      <c r="N206" s="26">
        <v>92040</v>
      </c>
      <c r="O206" s="2" t="s">
        <v>411</v>
      </c>
    </row>
    <row r="207" spans="1:15" ht="15" customHeight="1" x14ac:dyDescent="0.3">
      <c r="A207" s="25" t="s">
        <v>412</v>
      </c>
      <c r="B207" s="26" t="s">
        <v>413</v>
      </c>
      <c r="C207" s="26" t="s">
        <v>87</v>
      </c>
      <c r="D207" s="27">
        <v>10</v>
      </c>
      <c r="E207" s="27">
        <v>134</v>
      </c>
      <c r="F207" s="27">
        <v>0</v>
      </c>
      <c r="G207" s="27">
        <v>0</v>
      </c>
      <c r="H207" s="27">
        <v>134</v>
      </c>
      <c r="I207" s="27">
        <f>+IFERROR(VLOOKUP(A207,'[1]Pending Dispatch'!$N$2:$O$651,2,0),0)</f>
        <v>0</v>
      </c>
      <c r="J207" s="27">
        <f t="shared" si="3"/>
        <v>134</v>
      </c>
      <c r="K207" s="28">
        <v>0.42299999999999999</v>
      </c>
      <c r="L207" s="28">
        <v>5.6681999999999996E-2</v>
      </c>
      <c r="M207" s="26">
        <v>37.799999999999997</v>
      </c>
      <c r="N207" s="26">
        <v>5065.2</v>
      </c>
    </row>
    <row r="208" spans="1:15" ht="15" customHeight="1" x14ac:dyDescent="0.3">
      <c r="A208" s="25" t="s">
        <v>414</v>
      </c>
      <c r="B208" s="26" t="s">
        <v>415</v>
      </c>
      <c r="C208" s="26" t="s">
        <v>87</v>
      </c>
      <c r="D208" s="27">
        <v>200</v>
      </c>
      <c r="E208" s="27">
        <v>7835</v>
      </c>
      <c r="F208" s="27">
        <v>14134</v>
      </c>
      <c r="G208" s="27">
        <v>13335</v>
      </c>
      <c r="H208" s="27">
        <v>8634</v>
      </c>
      <c r="I208" s="27">
        <f>+IFERROR(VLOOKUP(A208,'[1]Pending Dispatch'!$N$2:$O$651,2,0),0)</f>
        <v>5881</v>
      </c>
      <c r="J208" s="27">
        <f t="shared" si="3"/>
        <v>2753</v>
      </c>
      <c r="K208" s="28">
        <v>3.6749999999999998E-2</v>
      </c>
      <c r="L208" s="28">
        <v>9.4190249999999989E-2</v>
      </c>
      <c r="M208" s="26">
        <v>59.8</v>
      </c>
      <c r="N208" s="26">
        <v>103932.4</v>
      </c>
    </row>
    <row r="209" spans="1:14" ht="15" customHeight="1" x14ac:dyDescent="0.3">
      <c r="A209" s="25" t="s">
        <v>416</v>
      </c>
      <c r="B209" s="26" t="s">
        <v>417</v>
      </c>
      <c r="C209" s="26" t="s">
        <v>87</v>
      </c>
      <c r="D209" s="27">
        <v>800</v>
      </c>
      <c r="E209" s="27">
        <v>1538</v>
      </c>
      <c r="F209" s="27">
        <v>12</v>
      </c>
      <c r="G209" s="27">
        <v>100</v>
      </c>
      <c r="H209" s="27">
        <v>1450</v>
      </c>
      <c r="I209" s="27">
        <f>+IFERROR(VLOOKUP(A209,'[1]Pending Dispatch'!$N$2:$O$651,2,0),0)</f>
        <v>800</v>
      </c>
      <c r="J209" s="27">
        <f t="shared" si="3"/>
        <v>650</v>
      </c>
      <c r="K209" s="28">
        <v>0.01</v>
      </c>
      <c r="L209" s="28">
        <v>2.784E-2</v>
      </c>
      <c r="M209" s="26">
        <v>96.8</v>
      </c>
      <c r="N209" s="26">
        <v>62920</v>
      </c>
    </row>
    <row r="210" spans="1:14" ht="15" customHeight="1" x14ac:dyDescent="0.3">
      <c r="A210" s="25" t="s">
        <v>418</v>
      </c>
      <c r="B210" s="26" t="s">
        <v>419</v>
      </c>
      <c r="C210" s="26" t="s">
        <v>87</v>
      </c>
      <c r="D210" s="27">
        <v>150</v>
      </c>
      <c r="E210" s="27">
        <v>211</v>
      </c>
      <c r="F210" s="27">
        <v>1775</v>
      </c>
      <c r="G210" s="27">
        <v>1376</v>
      </c>
      <c r="H210" s="27">
        <v>610</v>
      </c>
      <c r="I210" s="27">
        <f>+IFERROR(VLOOKUP(A210,'[1]Pending Dispatch'!$N$2:$O$651,2,0),0)</f>
        <v>1050</v>
      </c>
      <c r="J210" s="27">
        <f t="shared" si="3"/>
        <v>-440</v>
      </c>
      <c r="K210" s="28">
        <v>4.8000000000000001E-2</v>
      </c>
      <c r="L210" s="28">
        <v>3.1391999999999996E-2</v>
      </c>
      <c r="M210" s="26">
        <v>146.80000000000001</v>
      </c>
      <c r="N210" s="26">
        <v>111568.00000000001</v>
      </c>
    </row>
    <row r="211" spans="1:14" ht="15" customHeight="1" x14ac:dyDescent="0.3">
      <c r="A211" s="25" t="s">
        <v>420</v>
      </c>
      <c r="B211" s="26" t="s">
        <v>421</v>
      </c>
      <c r="C211" s="26" t="s">
        <v>87</v>
      </c>
      <c r="D211" s="27">
        <v>400</v>
      </c>
      <c r="E211" s="27">
        <v>4650</v>
      </c>
      <c r="F211" s="27">
        <v>11043</v>
      </c>
      <c r="G211" s="27">
        <v>5300</v>
      </c>
      <c r="H211" s="27">
        <v>10393</v>
      </c>
      <c r="I211" s="27">
        <f>+IFERROR(VLOOKUP(A211,'[1]Pending Dispatch'!$N$2:$O$651,2,0),0)</f>
        <v>4000</v>
      </c>
      <c r="J211" s="27">
        <f t="shared" si="3"/>
        <v>6393</v>
      </c>
      <c r="K211" s="28">
        <v>1.95E-2</v>
      </c>
      <c r="L211" s="28">
        <v>0.111813</v>
      </c>
      <c r="M211" s="26">
        <v>224</v>
      </c>
      <c r="N211" s="26">
        <v>1163232</v>
      </c>
    </row>
    <row r="212" spans="1:14" ht="15" customHeight="1" x14ac:dyDescent="0.3">
      <c r="A212" s="25" t="s">
        <v>422</v>
      </c>
      <c r="B212" s="26" t="s">
        <v>423</v>
      </c>
      <c r="C212" s="26" t="s">
        <v>87</v>
      </c>
      <c r="D212" s="27">
        <v>150</v>
      </c>
      <c r="E212" s="27">
        <v>269</v>
      </c>
      <c r="F212" s="27">
        <v>0</v>
      </c>
      <c r="G212" s="27">
        <v>0</v>
      </c>
      <c r="H212" s="27">
        <v>269</v>
      </c>
      <c r="I212" s="27">
        <f>+IFERROR(VLOOKUP(A212,'[1]Pending Dispatch'!$N$2:$O$651,2,0),0)</f>
        <v>431</v>
      </c>
      <c r="J212" s="27">
        <f t="shared" si="3"/>
        <v>-162</v>
      </c>
      <c r="K212" s="28">
        <v>6.9500000000000006E-2</v>
      </c>
      <c r="L212" s="28">
        <v>8.1454000000000013E-2</v>
      </c>
      <c r="M212" s="26">
        <v>348</v>
      </c>
      <c r="N212" s="26">
        <v>311808</v>
      </c>
    </row>
    <row r="213" spans="1:14" ht="15" customHeight="1" x14ac:dyDescent="0.3">
      <c r="A213" s="25" t="s">
        <v>424</v>
      </c>
      <c r="B213" s="26" t="s">
        <v>425</v>
      </c>
      <c r="C213" s="26" t="s">
        <v>87</v>
      </c>
      <c r="D213" s="27">
        <v>200</v>
      </c>
      <c r="E213" s="27">
        <v>2547</v>
      </c>
      <c r="F213" s="27">
        <v>0</v>
      </c>
      <c r="G213" s="27">
        <v>719</v>
      </c>
      <c r="H213" s="27">
        <v>1828</v>
      </c>
      <c r="I213" s="27">
        <f>+IFERROR(VLOOKUP(A213,'[1]Pending Dispatch'!$N$2:$O$651,2,0),0)</f>
        <v>600</v>
      </c>
      <c r="J213" s="27">
        <f t="shared" si="3"/>
        <v>1228</v>
      </c>
      <c r="K213" s="28">
        <v>3.2000000000000001E-2</v>
      </c>
      <c r="L213" s="28">
        <v>4.7104E-2</v>
      </c>
      <c r="M213" s="26">
        <v>472</v>
      </c>
      <c r="N213" s="26">
        <v>579616</v>
      </c>
    </row>
    <row r="214" spans="1:14" ht="15" customHeight="1" x14ac:dyDescent="0.3">
      <c r="A214" s="25" t="s">
        <v>426</v>
      </c>
      <c r="B214" s="26" t="s">
        <v>427</v>
      </c>
      <c r="C214" s="26" t="s">
        <v>87</v>
      </c>
      <c r="D214" s="27">
        <v>1600</v>
      </c>
      <c r="E214" s="27">
        <v>4600</v>
      </c>
      <c r="F214" s="27">
        <v>0</v>
      </c>
      <c r="G214" s="27">
        <v>0</v>
      </c>
      <c r="H214" s="27">
        <v>4600</v>
      </c>
      <c r="I214" s="27">
        <f>+IFERROR(VLOOKUP(A214,'[1]Pending Dispatch'!$N$2:$O$651,2,0),0)</f>
        <v>0</v>
      </c>
      <c r="J214" s="27">
        <f t="shared" si="3"/>
        <v>4600</v>
      </c>
      <c r="K214" s="28">
        <v>1.4299999999999998E-3</v>
      </c>
      <c r="L214" s="28">
        <v>6.5779999999999996E-3</v>
      </c>
      <c r="M214" s="26">
        <v>644</v>
      </c>
      <c r="N214" s="26">
        <v>2962400</v>
      </c>
    </row>
    <row r="215" spans="1:14" ht="15" customHeight="1" x14ac:dyDescent="0.3">
      <c r="A215" s="25" t="s">
        <v>428</v>
      </c>
      <c r="B215" s="26" t="s">
        <v>429</v>
      </c>
      <c r="C215" s="26" t="s">
        <v>87</v>
      </c>
      <c r="D215" s="27">
        <v>1000</v>
      </c>
      <c r="E215" s="27">
        <v>8219</v>
      </c>
      <c r="F215" s="27">
        <v>0</v>
      </c>
      <c r="G215" s="27">
        <v>215</v>
      </c>
      <c r="H215" s="27">
        <v>8004</v>
      </c>
      <c r="I215" s="27">
        <f>+IFERROR(VLOOKUP(A215,'[1]Pending Dispatch'!$N$2:$O$651,2,0),0)</f>
        <v>1000</v>
      </c>
      <c r="J215" s="27">
        <f t="shared" si="3"/>
        <v>7004</v>
      </c>
      <c r="K215" s="28">
        <v>1.5100000000000001E-3</v>
      </c>
      <c r="L215" s="28">
        <v>3.6526900000000001E-3</v>
      </c>
      <c r="M215" s="26">
        <v>888</v>
      </c>
      <c r="N215" s="26">
        <v>5331552</v>
      </c>
    </row>
    <row r="216" spans="1:14" ht="15" customHeight="1" x14ac:dyDescent="0.3">
      <c r="A216" s="25" t="s">
        <v>430</v>
      </c>
      <c r="B216" s="26" t="s">
        <v>431</v>
      </c>
      <c r="C216" s="26" t="s">
        <v>87</v>
      </c>
      <c r="D216" s="27">
        <v>1500</v>
      </c>
      <c r="E216" s="27">
        <v>4235</v>
      </c>
      <c r="F216" s="27">
        <v>0</v>
      </c>
      <c r="G216" s="27">
        <v>0</v>
      </c>
      <c r="H216" s="27">
        <v>4235</v>
      </c>
      <c r="I216" s="27">
        <f>+IFERROR(VLOOKUP(A216,'[1]Pending Dispatch'!$N$2:$O$651,2,0),0)</f>
        <v>0</v>
      </c>
      <c r="J216" s="27">
        <f t="shared" si="3"/>
        <v>4235</v>
      </c>
      <c r="K216" s="28">
        <v>2.1199999999999999E-3</v>
      </c>
      <c r="L216" s="28">
        <v>1.26882E-2</v>
      </c>
      <c r="M216" s="26">
        <v>9.9</v>
      </c>
      <c r="N216" s="26">
        <v>36976.5</v>
      </c>
    </row>
    <row r="217" spans="1:14" ht="15" customHeight="1" x14ac:dyDescent="0.3">
      <c r="A217" s="25" t="s">
        <v>432</v>
      </c>
      <c r="B217" s="26" t="s">
        <v>433</v>
      </c>
      <c r="C217" s="26" t="s">
        <v>87</v>
      </c>
      <c r="D217" s="27">
        <v>1000</v>
      </c>
      <c r="E217" s="27">
        <v>154012</v>
      </c>
      <c r="F217" s="27">
        <v>77000</v>
      </c>
      <c r="G217" s="27">
        <v>83250</v>
      </c>
      <c r="H217" s="27">
        <v>147762</v>
      </c>
      <c r="I217" s="27">
        <f>+IFERROR(VLOOKUP(A217,'[1]Pending Dispatch'!$N$2:$O$651,2,0),0)</f>
        <v>41131</v>
      </c>
      <c r="J217" s="27">
        <f t="shared" si="3"/>
        <v>106631</v>
      </c>
      <c r="K217" s="28">
        <v>1.5349999999999999E-2</v>
      </c>
      <c r="L217" s="28">
        <v>0.21876819999999997</v>
      </c>
      <c r="M217" s="26"/>
      <c r="N217" s="26">
        <v>0</v>
      </c>
    </row>
    <row r="218" spans="1:14" ht="15" customHeight="1" x14ac:dyDescent="0.3">
      <c r="A218" s="25" t="s">
        <v>434</v>
      </c>
      <c r="B218" s="26" t="s">
        <v>435</v>
      </c>
      <c r="C218" s="26" t="s">
        <v>87</v>
      </c>
      <c r="D218" s="27">
        <v>500</v>
      </c>
      <c r="E218" s="27">
        <v>2336</v>
      </c>
      <c r="F218" s="27">
        <v>364</v>
      </c>
      <c r="G218" s="27">
        <v>1000</v>
      </c>
      <c r="H218" s="27">
        <v>1700</v>
      </c>
      <c r="I218" s="27">
        <f>+IFERROR(VLOOKUP(A218,'[1]Pending Dispatch'!$N$2:$O$651,2,0),0)</f>
        <v>606</v>
      </c>
      <c r="J218" s="27">
        <f t="shared" si="3"/>
        <v>1094</v>
      </c>
      <c r="K218" s="28">
        <v>1.9E-2</v>
      </c>
      <c r="L218" s="28">
        <v>7.3833999999999997E-2</v>
      </c>
      <c r="M218" s="26">
        <v>25.3</v>
      </c>
      <c r="N218" s="26">
        <v>27678.2</v>
      </c>
    </row>
    <row r="219" spans="1:14" ht="15" customHeight="1" x14ac:dyDescent="0.3">
      <c r="A219" s="25" t="s">
        <v>436</v>
      </c>
      <c r="B219" s="26" t="s">
        <v>437</v>
      </c>
      <c r="C219" s="26" t="s">
        <v>87</v>
      </c>
      <c r="D219" s="27">
        <v>32</v>
      </c>
      <c r="E219" s="27">
        <v>320</v>
      </c>
      <c r="F219" s="27">
        <v>0</v>
      </c>
      <c r="G219" s="27">
        <v>160</v>
      </c>
      <c r="H219" s="27">
        <v>160</v>
      </c>
      <c r="I219" s="27">
        <f>+IFERROR(VLOOKUP(A219,'[1]Pending Dispatch'!$N$2:$O$651,2,0),0)</f>
        <v>336</v>
      </c>
      <c r="J219" s="27">
        <f t="shared" si="3"/>
        <v>-176</v>
      </c>
      <c r="K219" s="28">
        <v>0.33988000000000002</v>
      </c>
      <c r="L219" s="28">
        <v>7.6133119999999999E-2</v>
      </c>
      <c r="M219" s="26"/>
      <c r="N219" s="26">
        <v>0</v>
      </c>
    </row>
    <row r="220" spans="1:14" ht="15" customHeight="1" x14ac:dyDescent="0.3">
      <c r="A220" s="25" t="s">
        <v>438</v>
      </c>
      <c r="B220" s="26" t="s">
        <v>437</v>
      </c>
      <c r="C220" s="26" t="s">
        <v>87</v>
      </c>
      <c r="D220" s="27">
        <v>32</v>
      </c>
      <c r="E220" s="27">
        <v>8</v>
      </c>
      <c r="F220" s="27">
        <v>1088</v>
      </c>
      <c r="G220" s="27">
        <v>1056</v>
      </c>
      <c r="H220" s="27">
        <v>40</v>
      </c>
      <c r="I220" s="27">
        <f>+IFERROR(VLOOKUP(A220,'[1]Pending Dispatch'!$N$2:$O$651,2,0),0)</f>
        <v>392</v>
      </c>
      <c r="J220" s="27">
        <f t="shared" si="3"/>
        <v>-352</v>
      </c>
      <c r="K220" s="28">
        <v>6.8900000000000003E-2</v>
      </c>
      <c r="L220" s="28">
        <v>2.7008799999999999E-2</v>
      </c>
      <c r="M220" s="26">
        <v>980</v>
      </c>
      <c r="N220" s="26">
        <v>-1285760</v>
      </c>
    </row>
    <row r="221" spans="1:14" ht="15" customHeight="1" x14ac:dyDescent="0.3">
      <c r="A221" s="37" t="s">
        <v>439</v>
      </c>
      <c r="B221" s="26" t="s">
        <v>437</v>
      </c>
      <c r="C221" s="26" t="s">
        <v>87</v>
      </c>
      <c r="D221" s="27">
        <v>32</v>
      </c>
      <c r="E221" s="27">
        <v>0</v>
      </c>
      <c r="F221" s="27">
        <v>64</v>
      </c>
      <c r="G221" s="27">
        <v>64</v>
      </c>
      <c r="H221" s="27">
        <v>0</v>
      </c>
      <c r="I221" s="27">
        <f>+IFERROR(VLOOKUP(A221,'[1]Pending Dispatch'!$N$2:$O$651,2,0),0)</f>
        <v>0</v>
      </c>
      <c r="J221" s="27">
        <f t="shared" si="3"/>
        <v>0</v>
      </c>
      <c r="K221" s="28">
        <v>0.33240000000000003</v>
      </c>
      <c r="L221" s="28">
        <v>0</v>
      </c>
      <c r="M221" s="26">
        <v>0</v>
      </c>
      <c r="N221" s="26">
        <v>0</v>
      </c>
    </row>
    <row r="222" spans="1:14" ht="15" customHeight="1" x14ac:dyDescent="0.3">
      <c r="A222" s="25" t="s">
        <v>440</v>
      </c>
      <c r="B222" s="26" t="s">
        <v>441</v>
      </c>
      <c r="C222" s="26" t="s">
        <v>87</v>
      </c>
      <c r="D222" s="27">
        <v>32</v>
      </c>
      <c r="E222" s="27">
        <v>0</v>
      </c>
      <c r="F222" s="27">
        <v>128</v>
      </c>
      <c r="G222" s="27">
        <v>128</v>
      </c>
      <c r="H222" s="27">
        <v>0</v>
      </c>
      <c r="I222" s="27">
        <f>+IFERROR(VLOOKUP(A222,'[1]Pending Dispatch'!$N$2:$O$651,2,0),0)</f>
        <v>0</v>
      </c>
      <c r="J222" s="27">
        <f t="shared" si="3"/>
        <v>0</v>
      </c>
      <c r="K222" s="28">
        <v>0.34225</v>
      </c>
      <c r="L222" s="28">
        <v>6.5712000000000007E-2</v>
      </c>
      <c r="M222" s="26">
        <v>1088</v>
      </c>
      <c r="N222" s="26">
        <v>0</v>
      </c>
    </row>
    <row r="223" spans="1:14" ht="15" customHeight="1" x14ac:dyDescent="0.3">
      <c r="A223" s="25" t="s">
        <v>442</v>
      </c>
      <c r="B223" s="26" t="s">
        <v>441</v>
      </c>
      <c r="C223" s="26" t="s">
        <v>87</v>
      </c>
      <c r="D223" s="27">
        <v>32</v>
      </c>
      <c r="E223" s="27">
        <v>79</v>
      </c>
      <c r="F223" s="27">
        <v>0</v>
      </c>
      <c r="G223" s="27">
        <v>0</v>
      </c>
      <c r="H223" s="27">
        <v>79</v>
      </c>
      <c r="I223" s="27">
        <f>+IFERROR(VLOOKUP(A223,'[1]Pending Dispatch'!$N$2:$O$651,2,0),0)</f>
        <v>32</v>
      </c>
      <c r="J223" s="27">
        <f t="shared" si="3"/>
        <v>47</v>
      </c>
      <c r="K223" s="28">
        <v>6.8900000000000003E-2</v>
      </c>
      <c r="L223" s="28">
        <v>5.4431000000000002E-3</v>
      </c>
      <c r="M223" s="26">
        <v>980</v>
      </c>
      <c r="N223" s="26">
        <v>46060</v>
      </c>
    </row>
    <row r="224" spans="1:14" ht="15" customHeight="1" x14ac:dyDescent="0.3">
      <c r="A224" s="25" t="s">
        <v>443</v>
      </c>
      <c r="B224" s="26" t="s">
        <v>444</v>
      </c>
      <c r="C224" s="26" t="s">
        <v>87</v>
      </c>
      <c r="D224" s="27">
        <v>32</v>
      </c>
      <c r="E224" s="27">
        <v>407</v>
      </c>
      <c r="F224" s="27">
        <v>0</v>
      </c>
      <c r="G224" s="27">
        <v>0</v>
      </c>
      <c r="H224" s="27">
        <v>407</v>
      </c>
      <c r="I224" s="27">
        <f>+IFERROR(VLOOKUP(A224,'[1]Pending Dispatch'!$N$2:$O$651,2,0),0)</f>
        <v>0</v>
      </c>
      <c r="J224" s="27">
        <f t="shared" si="3"/>
        <v>407</v>
      </c>
      <c r="K224" s="28">
        <v>0.32140000000000002</v>
      </c>
      <c r="L224" s="28">
        <v>0.1308098</v>
      </c>
      <c r="M224" s="26">
        <v>0</v>
      </c>
      <c r="N224" s="26">
        <v>0</v>
      </c>
    </row>
    <row r="225" spans="1:14" ht="15" customHeight="1" x14ac:dyDescent="0.3">
      <c r="A225" s="25" t="s">
        <v>445</v>
      </c>
      <c r="B225" s="26" t="s">
        <v>446</v>
      </c>
      <c r="C225" s="26" t="s">
        <v>87</v>
      </c>
      <c r="D225" s="27">
        <v>32</v>
      </c>
      <c r="E225" s="27">
        <v>384</v>
      </c>
      <c r="F225" s="27">
        <v>32</v>
      </c>
      <c r="G225" s="27">
        <v>384</v>
      </c>
      <c r="H225" s="27">
        <v>32</v>
      </c>
      <c r="I225" s="27">
        <f>+IFERROR(VLOOKUP(A225,'[1]Pending Dispatch'!$N$2:$O$651,2,0),0)</f>
        <v>64</v>
      </c>
      <c r="J225" s="27">
        <f t="shared" si="3"/>
        <v>-32</v>
      </c>
      <c r="K225" s="28">
        <v>0.30710000000000004</v>
      </c>
      <c r="L225" s="28">
        <v>4.9136000000000013E-2</v>
      </c>
      <c r="M225" s="26">
        <v>1058</v>
      </c>
      <c r="N225" s="26">
        <v>-33856</v>
      </c>
    </row>
    <row r="226" spans="1:14" ht="15" customHeight="1" x14ac:dyDescent="0.3">
      <c r="A226" s="25" t="s">
        <v>447</v>
      </c>
      <c r="B226" s="26" t="s">
        <v>446</v>
      </c>
      <c r="C226" s="26" t="s">
        <v>87</v>
      </c>
      <c r="D226" s="27">
        <v>32</v>
      </c>
      <c r="E226" s="27">
        <v>158</v>
      </c>
      <c r="F226" s="27">
        <v>0</v>
      </c>
      <c r="G226" s="27">
        <v>32</v>
      </c>
      <c r="H226" s="27">
        <v>126</v>
      </c>
      <c r="I226" s="27">
        <f>+IFERROR(VLOOKUP(A226,'[1]Pending Dispatch'!$N$2:$O$651,2,0),0)</f>
        <v>0</v>
      </c>
      <c r="J226" s="27">
        <f t="shared" si="3"/>
        <v>126</v>
      </c>
      <c r="K226" s="28">
        <v>6.8900000000000003E-2</v>
      </c>
      <c r="L226" s="28">
        <v>1.3091000000000002E-2</v>
      </c>
      <c r="M226" s="26">
        <v>980</v>
      </c>
      <c r="N226" s="26">
        <v>123480</v>
      </c>
    </row>
    <row r="227" spans="1:14" ht="15" customHeight="1" x14ac:dyDescent="0.3">
      <c r="A227" s="25" t="s">
        <v>448</v>
      </c>
      <c r="B227" s="26" t="s">
        <v>449</v>
      </c>
      <c r="C227" s="26" t="s">
        <v>87</v>
      </c>
      <c r="D227" s="27">
        <v>32</v>
      </c>
      <c r="E227" s="27">
        <v>246</v>
      </c>
      <c r="F227" s="27">
        <v>0</v>
      </c>
      <c r="G227" s="27">
        <v>32</v>
      </c>
      <c r="H227" s="27">
        <v>214</v>
      </c>
      <c r="I227" s="27">
        <f>+IFERROR(VLOOKUP(A227,'[1]Pending Dispatch'!$N$2:$O$651,2,0),0)</f>
        <v>0</v>
      </c>
      <c r="J227" s="27">
        <f t="shared" si="3"/>
        <v>214</v>
      </c>
      <c r="K227" s="28">
        <v>0.30105999999999999</v>
      </c>
      <c r="L227" s="28">
        <v>0.10296252</v>
      </c>
      <c r="M227" s="26">
        <v>0</v>
      </c>
      <c r="N227" s="26">
        <v>0</v>
      </c>
    </row>
    <row r="228" spans="1:14" ht="15" customHeight="1" x14ac:dyDescent="0.3">
      <c r="A228" s="25" t="s">
        <v>450</v>
      </c>
      <c r="B228" s="26" t="s">
        <v>451</v>
      </c>
      <c r="C228" s="26" t="s">
        <v>87</v>
      </c>
      <c r="D228" s="27">
        <v>32</v>
      </c>
      <c r="E228" s="27">
        <v>109</v>
      </c>
      <c r="F228" s="27">
        <v>96</v>
      </c>
      <c r="G228" s="27">
        <v>160</v>
      </c>
      <c r="H228" s="27">
        <v>45</v>
      </c>
      <c r="I228" s="27">
        <f>+IFERROR(VLOOKUP(A228,'[1]Pending Dispatch'!$N$2:$O$651,2,0),0)</f>
        <v>224</v>
      </c>
      <c r="J228" s="27">
        <f t="shared" si="3"/>
        <v>-179</v>
      </c>
      <c r="K228" s="28">
        <v>0.312</v>
      </c>
      <c r="L228" s="28">
        <v>5.3975999999999996E-2</v>
      </c>
      <c r="M228" s="26">
        <v>1058</v>
      </c>
      <c r="N228" s="26">
        <v>-189382</v>
      </c>
    </row>
    <row r="229" spans="1:14" ht="15" customHeight="1" x14ac:dyDescent="0.3">
      <c r="A229" s="25" t="s">
        <v>452</v>
      </c>
      <c r="B229" s="26" t="s">
        <v>451</v>
      </c>
      <c r="C229" s="26" t="s">
        <v>87</v>
      </c>
      <c r="D229" s="27">
        <v>32</v>
      </c>
      <c r="E229" s="27">
        <v>96</v>
      </c>
      <c r="F229" s="27">
        <v>0</v>
      </c>
      <c r="G229" s="27">
        <v>64</v>
      </c>
      <c r="H229" s="27">
        <v>32</v>
      </c>
      <c r="I229" s="27">
        <f>+IFERROR(VLOOKUP(A229,'[1]Pending Dispatch'!$N$2:$O$651,2,0),0)</f>
        <v>0</v>
      </c>
      <c r="J229" s="27">
        <f t="shared" si="3"/>
        <v>32</v>
      </c>
      <c r="K229" s="28">
        <v>6.8900000000000003E-2</v>
      </c>
      <c r="L229" s="28">
        <v>6.6143999999999998</v>
      </c>
      <c r="M229" s="26">
        <v>232</v>
      </c>
      <c r="N229" s="26">
        <v>7424</v>
      </c>
    </row>
    <row r="230" spans="1:14" ht="15" customHeight="1" x14ac:dyDescent="0.3">
      <c r="A230" s="25" t="s">
        <v>453</v>
      </c>
      <c r="B230" s="26" t="s">
        <v>454</v>
      </c>
      <c r="C230" s="26" t="s">
        <v>87</v>
      </c>
      <c r="D230" s="27">
        <v>32</v>
      </c>
      <c r="E230" s="27">
        <v>180</v>
      </c>
      <c r="F230" s="27">
        <v>0</v>
      </c>
      <c r="G230" s="27">
        <v>160</v>
      </c>
      <c r="H230" s="27">
        <v>20</v>
      </c>
      <c r="I230" s="27">
        <f>+IFERROR(VLOOKUP(A230,'[1]Pending Dispatch'!$N$2:$O$651,2,0),0)</f>
        <v>0</v>
      </c>
      <c r="J230" s="27">
        <f t="shared" si="3"/>
        <v>20</v>
      </c>
      <c r="K230" s="28">
        <v>0.31760000000000005</v>
      </c>
      <c r="L230" s="28">
        <v>36.841600000000007</v>
      </c>
      <c r="M230" s="26">
        <v>0</v>
      </c>
      <c r="N230" s="26">
        <v>0</v>
      </c>
    </row>
    <row r="231" spans="1:14" ht="15" customHeight="1" x14ac:dyDescent="0.3">
      <c r="A231" s="33" t="s">
        <v>455</v>
      </c>
      <c r="B231" s="34" t="s">
        <v>456</v>
      </c>
      <c r="C231" s="34" t="s">
        <v>87</v>
      </c>
      <c r="D231" s="35">
        <v>32</v>
      </c>
      <c r="E231" s="35">
        <v>352</v>
      </c>
      <c r="F231" s="35">
        <v>320</v>
      </c>
      <c r="G231" s="35">
        <v>672</v>
      </c>
      <c r="H231" s="35">
        <v>0</v>
      </c>
      <c r="I231" s="27">
        <f>+IFERROR(VLOOKUP(A231,'[1]Pending Dispatch'!$N$2:$O$651,2,0),0)</f>
        <v>240</v>
      </c>
      <c r="J231" s="27">
        <f t="shared" si="3"/>
        <v>-240</v>
      </c>
      <c r="K231" s="36">
        <v>0.34020000000000006</v>
      </c>
      <c r="L231" s="36">
        <v>27.216000000000005</v>
      </c>
      <c r="M231" s="34">
        <v>980</v>
      </c>
      <c r="N231" s="34">
        <v>-109760</v>
      </c>
    </row>
    <row r="232" spans="1:14" ht="15" customHeight="1" x14ac:dyDescent="0.3">
      <c r="A232" s="25" t="s">
        <v>457</v>
      </c>
      <c r="B232" s="26" t="s">
        <v>456</v>
      </c>
      <c r="C232" s="26" t="s">
        <v>87</v>
      </c>
      <c r="D232" s="27">
        <v>32</v>
      </c>
      <c r="E232" s="27">
        <v>256</v>
      </c>
      <c r="F232" s="27">
        <v>0</v>
      </c>
      <c r="G232" s="27">
        <v>64</v>
      </c>
      <c r="H232" s="27">
        <v>192</v>
      </c>
      <c r="I232" s="27">
        <f>+IFERROR(VLOOKUP(A232,'[1]Pending Dispatch'!$N$2:$O$651,2,0),0)</f>
        <v>0</v>
      </c>
      <c r="J232" s="27">
        <f t="shared" si="3"/>
        <v>192</v>
      </c>
      <c r="K232" s="28">
        <v>6.8900000000000003E-2</v>
      </c>
      <c r="L232" s="28">
        <v>17.638400000000001</v>
      </c>
      <c r="M232" s="26">
        <v>347</v>
      </c>
      <c r="N232" s="26">
        <v>66624</v>
      </c>
    </row>
    <row r="233" spans="1:14" ht="15" customHeight="1" x14ac:dyDescent="0.3">
      <c r="A233" s="25" t="s">
        <v>458</v>
      </c>
      <c r="B233" s="26" t="s">
        <v>459</v>
      </c>
      <c r="C233" s="26" t="s">
        <v>87</v>
      </c>
      <c r="D233" s="27">
        <v>32</v>
      </c>
      <c r="E233" s="27">
        <v>184</v>
      </c>
      <c r="F233" s="27">
        <v>0</v>
      </c>
      <c r="G233" s="27">
        <v>0</v>
      </c>
      <c r="H233" s="27">
        <v>184</v>
      </c>
      <c r="I233" s="27">
        <f>+IFERROR(VLOOKUP(A233,'[1]Pending Dispatch'!$N$2:$O$651,2,0),0)</f>
        <v>64</v>
      </c>
      <c r="J233" s="27">
        <f t="shared" si="3"/>
        <v>120</v>
      </c>
      <c r="K233" s="28">
        <v>0.33556000000000002</v>
      </c>
      <c r="L233" s="28">
        <v>61.743040000000008</v>
      </c>
      <c r="M233" s="26">
        <v>0</v>
      </c>
      <c r="N233" s="26">
        <v>0</v>
      </c>
    </row>
    <row r="234" spans="1:14" ht="15" customHeight="1" x14ac:dyDescent="0.3">
      <c r="A234" s="25" t="s">
        <v>460</v>
      </c>
      <c r="B234" s="26" t="s">
        <v>461</v>
      </c>
      <c r="C234" s="26" t="s">
        <v>87</v>
      </c>
      <c r="D234" s="27">
        <v>32</v>
      </c>
      <c r="E234" s="27">
        <v>2</v>
      </c>
      <c r="F234" s="27">
        <v>96</v>
      </c>
      <c r="G234" s="27">
        <v>96</v>
      </c>
      <c r="H234" s="27">
        <v>2</v>
      </c>
      <c r="I234" s="27">
        <f>+IFERROR(VLOOKUP(A234,'[1]Pending Dispatch'!$N$2:$O$651,2,0),0)</f>
        <v>16</v>
      </c>
      <c r="J234" s="27">
        <f t="shared" si="3"/>
        <v>-14</v>
      </c>
      <c r="K234" s="28">
        <v>0.40734000000000004</v>
      </c>
      <c r="L234" s="28">
        <v>26.884440000000001</v>
      </c>
      <c r="M234" s="26">
        <v>980</v>
      </c>
      <c r="N234" s="26">
        <v>-13720</v>
      </c>
    </row>
    <row r="235" spans="1:14" ht="15" customHeight="1" x14ac:dyDescent="0.3">
      <c r="A235" s="25" t="s">
        <v>462</v>
      </c>
      <c r="B235" s="26" t="s">
        <v>461</v>
      </c>
      <c r="C235" s="26" t="s">
        <v>87</v>
      </c>
      <c r="D235" s="27">
        <v>32</v>
      </c>
      <c r="E235" s="27">
        <v>0</v>
      </c>
      <c r="F235" s="27">
        <v>64</v>
      </c>
      <c r="G235" s="27">
        <v>64</v>
      </c>
      <c r="H235" s="27">
        <v>0</v>
      </c>
      <c r="I235" s="27">
        <f>+IFERROR(VLOOKUP(A235,'[1]Pending Dispatch'!$N$2:$O$651,2,0),0)</f>
        <v>64</v>
      </c>
      <c r="J235" s="27">
        <f t="shared" si="3"/>
        <v>-64</v>
      </c>
      <c r="K235" s="28">
        <v>6.8900000000000003E-2</v>
      </c>
      <c r="L235" s="28">
        <v>4.4096000000000005E-3</v>
      </c>
      <c r="M235" s="26">
        <v>29.4</v>
      </c>
      <c r="N235" s="26">
        <v>0</v>
      </c>
    </row>
    <row r="236" spans="1:14" ht="15" customHeight="1" x14ac:dyDescent="0.3">
      <c r="A236" s="25" t="s">
        <v>463</v>
      </c>
      <c r="B236" s="26" t="s">
        <v>461</v>
      </c>
      <c r="C236" s="26" t="s">
        <v>87</v>
      </c>
      <c r="D236" s="27">
        <v>32</v>
      </c>
      <c r="E236" s="27">
        <v>62</v>
      </c>
      <c r="F236" s="27">
        <v>0</v>
      </c>
      <c r="G236" s="27">
        <v>32</v>
      </c>
      <c r="H236" s="27">
        <v>30</v>
      </c>
      <c r="I236" s="27">
        <f>+IFERROR(VLOOKUP(A236,'[1]Pending Dispatch'!$N$2:$O$651,2,0),0)</f>
        <v>64</v>
      </c>
      <c r="J236" s="27">
        <f t="shared" si="3"/>
        <v>-34</v>
      </c>
      <c r="K236" s="28">
        <v>0.38450000000000001</v>
      </c>
      <c r="L236" s="28">
        <v>2.3839000000000003E-2</v>
      </c>
      <c r="M236" s="26">
        <v>47.4</v>
      </c>
      <c r="N236" s="26">
        <v>-1611.6</v>
      </c>
    </row>
    <row r="237" spans="1:14" ht="15" customHeight="1" x14ac:dyDescent="0.3">
      <c r="A237" s="25" t="s">
        <v>464</v>
      </c>
      <c r="B237" s="26" t="s">
        <v>465</v>
      </c>
      <c r="C237" s="26" t="s">
        <v>87</v>
      </c>
      <c r="D237" s="27">
        <v>50</v>
      </c>
      <c r="E237" s="27">
        <v>506</v>
      </c>
      <c r="F237" s="27">
        <v>70</v>
      </c>
      <c r="G237" s="27">
        <v>550</v>
      </c>
      <c r="H237" s="27">
        <v>26</v>
      </c>
      <c r="I237" s="27">
        <f>+IFERROR(VLOOKUP(A237,'[1]Pending Dispatch'!$N$2:$O$651,2,0),0)</f>
        <v>100</v>
      </c>
      <c r="J237" s="27">
        <f t="shared" si="3"/>
        <v>-74</v>
      </c>
      <c r="K237" s="28">
        <v>0.1822</v>
      </c>
      <c r="L237" s="28">
        <v>0.12316719999999999</v>
      </c>
      <c r="M237" s="26">
        <v>73.400000000000006</v>
      </c>
      <c r="N237" s="26">
        <v>-6899.6</v>
      </c>
    </row>
    <row r="238" spans="1:14" ht="15" customHeight="1" x14ac:dyDescent="0.3">
      <c r="A238" s="25" t="s">
        <v>466</v>
      </c>
      <c r="B238" s="26" t="s">
        <v>467</v>
      </c>
      <c r="C238" s="26" t="s">
        <v>87</v>
      </c>
      <c r="D238" s="27">
        <v>50</v>
      </c>
      <c r="E238" s="27">
        <v>0</v>
      </c>
      <c r="F238" s="27">
        <v>50</v>
      </c>
      <c r="G238" s="27">
        <v>50</v>
      </c>
      <c r="H238" s="27">
        <v>0</v>
      </c>
      <c r="I238" s="27">
        <f>+IFERROR(VLOOKUP(A238,'[1]Pending Dispatch'!$N$2:$O$651,2,0),0)</f>
        <v>0</v>
      </c>
      <c r="J238" s="27">
        <f t="shared" si="3"/>
        <v>0</v>
      </c>
      <c r="K238" s="28">
        <v>0.16969999999999999</v>
      </c>
      <c r="L238" s="28">
        <v>6.7879999999999996E-2</v>
      </c>
      <c r="M238" s="26">
        <v>112</v>
      </c>
      <c r="N238" s="26">
        <v>0</v>
      </c>
    </row>
    <row r="239" spans="1:14" ht="15" customHeight="1" x14ac:dyDescent="0.3">
      <c r="A239" s="25" t="s">
        <v>468</v>
      </c>
      <c r="B239" s="26" t="s">
        <v>469</v>
      </c>
      <c r="C239" s="26" t="s">
        <v>87</v>
      </c>
      <c r="D239" s="27">
        <v>20</v>
      </c>
      <c r="E239" s="27">
        <v>90</v>
      </c>
      <c r="F239" s="27">
        <v>0</v>
      </c>
      <c r="G239" s="27">
        <v>0</v>
      </c>
      <c r="H239" s="27">
        <v>90</v>
      </c>
      <c r="I239" s="27">
        <f>+IFERROR(VLOOKUP(A239,'[1]Pending Dispatch'!$N$2:$O$651,2,0),0)</f>
        <v>50</v>
      </c>
      <c r="J239" s="27">
        <f t="shared" si="3"/>
        <v>40</v>
      </c>
      <c r="K239" s="28">
        <v>0.375</v>
      </c>
      <c r="L239" s="28">
        <v>0</v>
      </c>
      <c r="M239" s="26">
        <v>168</v>
      </c>
      <c r="N239" s="26">
        <v>6720</v>
      </c>
    </row>
    <row r="240" spans="1:14" ht="15" customHeight="1" x14ac:dyDescent="0.3">
      <c r="A240" s="25" t="s">
        <v>470</v>
      </c>
      <c r="B240" s="26" t="s">
        <v>471</v>
      </c>
      <c r="C240" s="26" t="s">
        <v>87</v>
      </c>
      <c r="D240" s="27">
        <v>20</v>
      </c>
      <c r="E240" s="27">
        <v>0</v>
      </c>
      <c r="F240" s="27">
        <v>10</v>
      </c>
      <c r="G240" s="27">
        <v>5</v>
      </c>
      <c r="H240" s="27">
        <v>5</v>
      </c>
      <c r="I240" s="27">
        <f>+IFERROR(VLOOKUP(A240,'[1]Pending Dispatch'!$N$2:$O$651,2,0),0)</f>
        <v>50</v>
      </c>
      <c r="J240" s="27">
        <f t="shared" si="3"/>
        <v>-45</v>
      </c>
      <c r="K240" s="28">
        <v>0.3745</v>
      </c>
      <c r="L240" s="28">
        <v>0</v>
      </c>
      <c r="M240" s="26">
        <v>256</v>
      </c>
      <c r="N240" s="26">
        <v>1280</v>
      </c>
    </row>
    <row r="241" spans="1:14" ht="15" customHeight="1" x14ac:dyDescent="0.3">
      <c r="A241" s="25" t="s">
        <v>472</v>
      </c>
      <c r="B241" s="26" t="s">
        <v>473</v>
      </c>
      <c r="C241" s="26" t="s">
        <v>87</v>
      </c>
      <c r="D241" s="27">
        <v>20</v>
      </c>
      <c r="E241" s="27">
        <v>2</v>
      </c>
      <c r="F241" s="27">
        <v>100</v>
      </c>
      <c r="G241" s="27">
        <v>100</v>
      </c>
      <c r="H241" s="27">
        <v>2</v>
      </c>
      <c r="I241" s="27">
        <f>+IFERROR(VLOOKUP(A241,'[1]Pending Dispatch'!$N$2:$O$651,2,0),0)</f>
        <v>50</v>
      </c>
      <c r="J241" s="27">
        <f t="shared" si="3"/>
        <v>-48</v>
      </c>
      <c r="K241" s="28">
        <v>0.379</v>
      </c>
      <c r="L241" s="28">
        <v>12.128</v>
      </c>
      <c r="M241" s="26">
        <v>547</v>
      </c>
      <c r="N241" s="26">
        <v>1094</v>
      </c>
    </row>
    <row r="242" spans="1:14" ht="15" customHeight="1" x14ac:dyDescent="0.3">
      <c r="A242" s="25" t="s">
        <v>474</v>
      </c>
      <c r="B242" s="26" t="s">
        <v>475</v>
      </c>
      <c r="C242" s="26" t="s">
        <v>87</v>
      </c>
      <c r="D242" s="27">
        <v>20</v>
      </c>
      <c r="E242" s="27">
        <v>2</v>
      </c>
      <c r="F242" s="27">
        <v>20</v>
      </c>
      <c r="G242" s="27">
        <v>20</v>
      </c>
      <c r="H242" s="27">
        <v>2</v>
      </c>
      <c r="I242" s="27">
        <f>+IFERROR(VLOOKUP(A242,'[1]Pending Dispatch'!$N$2:$O$651,2,0),0)</f>
        <v>0</v>
      </c>
      <c r="J242" s="27">
        <f t="shared" si="3"/>
        <v>2</v>
      </c>
      <c r="K242" s="28">
        <v>0.36699999999999999</v>
      </c>
      <c r="L242" s="28">
        <v>19.084</v>
      </c>
      <c r="M242" s="26">
        <v>396</v>
      </c>
      <c r="N242" s="26">
        <v>792</v>
      </c>
    </row>
    <row r="243" spans="1:14" ht="15" customHeight="1" x14ac:dyDescent="0.3">
      <c r="A243" s="25" t="s">
        <v>476</v>
      </c>
      <c r="B243" s="26" t="s">
        <v>477</v>
      </c>
      <c r="C243" s="26" t="s">
        <v>87</v>
      </c>
      <c r="D243" s="27">
        <v>6</v>
      </c>
      <c r="E243" s="27">
        <v>0</v>
      </c>
      <c r="F243" s="27">
        <v>0</v>
      </c>
      <c r="G243" s="27">
        <v>0</v>
      </c>
      <c r="H243" s="27">
        <v>0</v>
      </c>
      <c r="I243" s="27">
        <f>+IFERROR(VLOOKUP(A243,'[1]Pending Dispatch'!$N$2:$O$651,2,0),0)</f>
        <v>0</v>
      </c>
      <c r="J243" s="27">
        <f t="shared" si="3"/>
        <v>0</v>
      </c>
      <c r="K243" s="28">
        <v>0</v>
      </c>
      <c r="L243" s="28">
        <v>0</v>
      </c>
      <c r="M243" s="26">
        <v>3580</v>
      </c>
      <c r="N243" s="26">
        <v>0</v>
      </c>
    </row>
    <row r="244" spans="1:14" ht="15" customHeight="1" x14ac:dyDescent="0.3">
      <c r="A244" s="25" t="s">
        <v>478</v>
      </c>
      <c r="B244" s="26" t="s">
        <v>479</v>
      </c>
      <c r="C244" s="26" t="s">
        <v>87</v>
      </c>
      <c r="D244" s="27">
        <v>4</v>
      </c>
      <c r="E244" s="27">
        <v>0</v>
      </c>
      <c r="F244" s="27">
        <v>0</v>
      </c>
      <c r="G244" s="27">
        <v>0</v>
      </c>
      <c r="H244" s="27">
        <v>0</v>
      </c>
      <c r="I244" s="27">
        <f>+IFERROR(VLOOKUP(A244,'[1]Pending Dispatch'!$N$2:$O$651,2,0),0)</f>
        <v>0</v>
      </c>
      <c r="J244" s="27">
        <f t="shared" si="3"/>
        <v>0</v>
      </c>
      <c r="K244" s="28">
        <v>1.7230000000000001</v>
      </c>
      <c r="L244" s="28">
        <v>0</v>
      </c>
      <c r="M244" s="26">
        <v>384</v>
      </c>
      <c r="N244" s="26">
        <v>0</v>
      </c>
    </row>
    <row r="245" spans="1:14" ht="15" customHeight="1" x14ac:dyDescent="0.3">
      <c r="A245" s="25" t="s">
        <v>480</v>
      </c>
      <c r="B245" s="26" t="s">
        <v>481</v>
      </c>
      <c r="C245" s="26" t="s">
        <v>87</v>
      </c>
      <c r="D245" s="27">
        <v>250</v>
      </c>
      <c r="E245" s="27">
        <v>449</v>
      </c>
      <c r="F245" s="27">
        <v>2022</v>
      </c>
      <c r="G245" s="27">
        <v>500</v>
      </c>
      <c r="H245" s="27">
        <v>1971</v>
      </c>
      <c r="I245" s="27">
        <f>+IFERROR(VLOOKUP(A245,'[1]Pending Dispatch'!$N$2:$O$651,2,0),0)</f>
        <v>550</v>
      </c>
      <c r="J245" s="27">
        <f t="shared" si="3"/>
        <v>1421</v>
      </c>
      <c r="K245" s="28">
        <v>6.1149999999999996E-2</v>
      </c>
      <c r="L245" s="28">
        <v>0.17238184999999998</v>
      </c>
      <c r="M245" s="26">
        <v>506</v>
      </c>
      <c r="N245" s="26">
        <v>719026</v>
      </c>
    </row>
    <row r="246" spans="1:14" ht="15" customHeight="1" x14ac:dyDescent="0.3">
      <c r="A246" s="25" t="s">
        <v>482</v>
      </c>
      <c r="B246" s="26" t="s">
        <v>483</v>
      </c>
      <c r="C246" s="26" t="s">
        <v>87</v>
      </c>
      <c r="D246" s="27">
        <v>100</v>
      </c>
      <c r="E246" s="27">
        <v>85</v>
      </c>
      <c r="F246" s="27">
        <v>0</v>
      </c>
      <c r="G246" s="27">
        <v>0</v>
      </c>
      <c r="H246" s="27">
        <v>85</v>
      </c>
      <c r="I246" s="27">
        <f>+IFERROR(VLOOKUP(A246,'[1]Pending Dispatch'!$N$2:$O$651,2,0),0)</f>
        <v>0</v>
      </c>
      <c r="J246" s="27">
        <f t="shared" si="3"/>
        <v>85</v>
      </c>
      <c r="K246" s="28">
        <v>9.7650000000000001E-2</v>
      </c>
      <c r="L246" s="28">
        <v>8.1049500000000014E-3</v>
      </c>
      <c r="M246" s="26">
        <v>754</v>
      </c>
      <c r="N246" s="26">
        <v>64090</v>
      </c>
    </row>
    <row r="247" spans="1:14" ht="15" customHeight="1" x14ac:dyDescent="0.3">
      <c r="A247" s="25" t="s">
        <v>484</v>
      </c>
      <c r="B247" s="26" t="s">
        <v>485</v>
      </c>
      <c r="C247" s="26" t="s">
        <v>87</v>
      </c>
      <c r="D247" s="27">
        <v>150</v>
      </c>
      <c r="E247" s="27">
        <v>1709</v>
      </c>
      <c r="F247" s="27">
        <v>23</v>
      </c>
      <c r="G247" s="27">
        <v>175</v>
      </c>
      <c r="H247" s="27">
        <v>1557</v>
      </c>
      <c r="I247" s="27">
        <f>+IFERROR(VLOOKUP(A247,'[1]Pending Dispatch'!$N$2:$O$651,2,0),0)</f>
        <v>0</v>
      </c>
      <c r="J247" s="27">
        <f t="shared" si="3"/>
        <v>1557</v>
      </c>
      <c r="K247" s="28">
        <v>5.1499999999999997E-2</v>
      </c>
      <c r="L247" s="28">
        <v>14.8835</v>
      </c>
      <c r="M247" s="26">
        <v>119</v>
      </c>
      <c r="N247" s="26">
        <v>185283</v>
      </c>
    </row>
    <row r="248" spans="1:14" ht="15" customHeight="1" x14ac:dyDescent="0.3">
      <c r="A248" s="25" t="s">
        <v>486</v>
      </c>
      <c r="B248" s="26" t="s">
        <v>487</v>
      </c>
      <c r="C248" s="26" t="s">
        <v>87</v>
      </c>
      <c r="D248" s="27">
        <v>125</v>
      </c>
      <c r="E248" s="27">
        <v>505</v>
      </c>
      <c r="F248" s="27">
        <v>0</v>
      </c>
      <c r="G248" s="27">
        <v>76</v>
      </c>
      <c r="H248" s="27">
        <v>429</v>
      </c>
      <c r="I248" s="27">
        <f>+IFERROR(VLOOKUP(A248,'[1]Pending Dispatch'!$N$2:$O$651,2,0),0)</f>
        <v>0</v>
      </c>
      <c r="J248" s="27">
        <f t="shared" si="3"/>
        <v>429</v>
      </c>
      <c r="K248" s="28">
        <v>5.6899999999999999E-2</v>
      </c>
      <c r="L248" s="28">
        <v>26.458500000000001</v>
      </c>
      <c r="M248" s="26">
        <v>114</v>
      </c>
      <c r="N248" s="26">
        <v>48906</v>
      </c>
    </row>
    <row r="249" spans="1:14" ht="15" customHeight="1" x14ac:dyDescent="0.3">
      <c r="A249" s="25" t="s">
        <v>488</v>
      </c>
      <c r="B249" s="26" t="s">
        <v>489</v>
      </c>
      <c r="C249" s="26" t="s">
        <v>87</v>
      </c>
      <c r="D249" s="27">
        <v>50</v>
      </c>
      <c r="E249" s="27">
        <v>56</v>
      </c>
      <c r="F249" s="27">
        <v>0</v>
      </c>
      <c r="G249" s="27">
        <v>0</v>
      </c>
      <c r="H249" s="27">
        <v>56</v>
      </c>
      <c r="I249" s="27">
        <f>+IFERROR(VLOOKUP(A249,'[1]Pending Dispatch'!$N$2:$O$651,2,0),0)</f>
        <v>0</v>
      </c>
      <c r="J249" s="27">
        <f t="shared" si="3"/>
        <v>56</v>
      </c>
      <c r="K249" s="28">
        <v>0.21049999999999999</v>
      </c>
      <c r="L249" s="28">
        <v>1.2629999999999999</v>
      </c>
      <c r="M249" s="26">
        <v>244</v>
      </c>
      <c r="N249" s="26">
        <v>13664</v>
      </c>
    </row>
    <row r="250" spans="1:14" ht="15" customHeight="1" x14ac:dyDescent="0.3">
      <c r="A250" s="25" t="s">
        <v>490</v>
      </c>
      <c r="B250" s="26" t="s">
        <v>491</v>
      </c>
      <c r="C250" s="26" t="s">
        <v>87</v>
      </c>
      <c r="D250" s="27">
        <v>50</v>
      </c>
      <c r="E250" s="27">
        <v>0</v>
      </c>
      <c r="F250" s="27">
        <v>0</v>
      </c>
      <c r="G250" s="27">
        <v>0</v>
      </c>
      <c r="H250" s="27">
        <v>0</v>
      </c>
      <c r="I250" s="27">
        <f>+IFERROR(VLOOKUP(A250,'[1]Pending Dispatch'!$N$2:$O$651,2,0),0)</f>
        <v>50</v>
      </c>
      <c r="J250" s="27">
        <f t="shared" si="3"/>
        <v>-50</v>
      </c>
      <c r="K250" s="28">
        <v>0.21</v>
      </c>
      <c r="L250" s="28">
        <v>14.7</v>
      </c>
      <c r="M250" s="26">
        <v>244</v>
      </c>
      <c r="N250" s="26">
        <v>0</v>
      </c>
    </row>
    <row r="251" spans="1:14" ht="15" customHeight="1" x14ac:dyDescent="0.3">
      <c r="A251" s="25" t="s">
        <v>492</v>
      </c>
      <c r="B251" s="26" t="s">
        <v>493</v>
      </c>
      <c r="C251" s="26" t="s">
        <v>87</v>
      </c>
      <c r="D251" s="27">
        <v>50</v>
      </c>
      <c r="E251" s="27">
        <v>8</v>
      </c>
      <c r="F251" s="27">
        <v>0</v>
      </c>
      <c r="G251" s="27">
        <v>0</v>
      </c>
      <c r="H251" s="27">
        <v>8</v>
      </c>
      <c r="I251" s="27">
        <f>+IFERROR(VLOOKUP(A251,'[1]Pending Dispatch'!$N$2:$O$651,2,0),0)</f>
        <v>100</v>
      </c>
      <c r="J251" s="27">
        <f t="shared" si="3"/>
        <v>-92</v>
      </c>
      <c r="K251" s="28">
        <v>0.2145</v>
      </c>
      <c r="L251" s="28">
        <v>6.0060000000000002</v>
      </c>
      <c r="M251" s="26">
        <v>244</v>
      </c>
      <c r="N251" s="26">
        <v>1952</v>
      </c>
    </row>
    <row r="252" spans="1:14" ht="15" customHeight="1" x14ac:dyDescent="0.3">
      <c r="A252" s="25" t="s">
        <v>494</v>
      </c>
      <c r="B252" s="26" t="s">
        <v>495</v>
      </c>
      <c r="C252" s="26" t="s">
        <v>87</v>
      </c>
      <c r="D252" s="27">
        <v>50</v>
      </c>
      <c r="E252" s="27">
        <v>36</v>
      </c>
      <c r="F252" s="27">
        <v>50</v>
      </c>
      <c r="G252" s="27">
        <v>50</v>
      </c>
      <c r="H252" s="27">
        <v>36</v>
      </c>
      <c r="I252" s="27">
        <f>+IFERROR(VLOOKUP(A252,'[1]Pending Dispatch'!$N$2:$O$651,2,0),0)</f>
        <v>50</v>
      </c>
      <c r="J252" s="27">
        <f t="shared" si="3"/>
        <v>-14</v>
      </c>
      <c r="K252" s="28">
        <v>0.20250000000000001</v>
      </c>
      <c r="L252" s="28">
        <v>10.530000000000001</v>
      </c>
      <c r="M252" s="26">
        <v>248</v>
      </c>
      <c r="N252" s="26">
        <v>8928</v>
      </c>
    </row>
    <row r="253" spans="1:14" ht="15" customHeight="1" x14ac:dyDescent="0.3">
      <c r="A253" s="25" t="s">
        <v>496</v>
      </c>
      <c r="B253" s="26" t="s">
        <v>497</v>
      </c>
      <c r="C253" s="26" t="s">
        <v>87</v>
      </c>
      <c r="D253" s="27">
        <v>40</v>
      </c>
      <c r="E253" s="27">
        <v>3</v>
      </c>
      <c r="F253" s="27">
        <v>280</v>
      </c>
      <c r="G253" s="27">
        <v>80</v>
      </c>
      <c r="H253" s="27">
        <v>203</v>
      </c>
      <c r="I253" s="27">
        <f>+IFERROR(VLOOKUP(A253,'[1]Pending Dispatch'!$N$2:$O$651,2,0),0)</f>
        <v>140</v>
      </c>
      <c r="J253" s="27">
        <f t="shared" si="3"/>
        <v>63</v>
      </c>
      <c r="K253" s="28">
        <v>0.18590000000000001</v>
      </c>
      <c r="L253" s="28">
        <v>75.289500000000004</v>
      </c>
      <c r="M253" s="26">
        <v>278</v>
      </c>
      <c r="N253" s="26">
        <v>28634</v>
      </c>
    </row>
    <row r="254" spans="1:14" ht="15" customHeight="1" x14ac:dyDescent="0.3">
      <c r="A254" s="25" t="s">
        <v>498</v>
      </c>
      <c r="B254" s="26" t="s">
        <v>499</v>
      </c>
      <c r="C254" s="26" t="s">
        <v>87</v>
      </c>
      <c r="D254" s="27">
        <v>4</v>
      </c>
      <c r="E254" s="27">
        <v>40</v>
      </c>
      <c r="F254" s="27">
        <v>0</v>
      </c>
      <c r="G254" s="27">
        <v>4</v>
      </c>
      <c r="H254" s="27">
        <v>36</v>
      </c>
      <c r="I254" s="27">
        <f>+IFERROR(VLOOKUP(A254,'[1]Pending Dispatch'!$N$2:$O$651,2,0),0)</f>
        <v>0</v>
      </c>
      <c r="J254" s="27">
        <f t="shared" si="3"/>
        <v>36</v>
      </c>
      <c r="K254" s="28">
        <v>2.3780000000000001</v>
      </c>
      <c r="L254" s="28">
        <v>95.12</v>
      </c>
      <c r="M254" s="26">
        <v>2990</v>
      </c>
      <c r="N254" s="26">
        <v>107640</v>
      </c>
    </row>
    <row r="255" spans="1:14" ht="15" customHeight="1" x14ac:dyDescent="0.3">
      <c r="A255" s="25" t="s">
        <v>500</v>
      </c>
      <c r="B255" s="26" t="s">
        <v>501</v>
      </c>
      <c r="C255" s="26" t="s">
        <v>87</v>
      </c>
      <c r="D255" s="27">
        <v>3</v>
      </c>
      <c r="E255" s="27">
        <v>1</v>
      </c>
      <c r="F255" s="27">
        <v>0</v>
      </c>
      <c r="G255" s="27">
        <v>0</v>
      </c>
      <c r="H255" s="27">
        <v>1</v>
      </c>
      <c r="I255" s="27">
        <f>+IFERROR(VLOOKUP(A255,'[1]Pending Dispatch'!$N$2:$O$651,2,0),0)</f>
        <v>0</v>
      </c>
      <c r="J255" s="27">
        <f t="shared" si="3"/>
        <v>1</v>
      </c>
      <c r="K255" s="28">
        <v>2.4700000000000002</v>
      </c>
      <c r="L255" s="28">
        <v>2.4700000000000004E-3</v>
      </c>
      <c r="M255" s="26">
        <v>39</v>
      </c>
      <c r="N255" s="26">
        <v>39</v>
      </c>
    </row>
    <row r="256" spans="1:14" ht="15" customHeight="1" x14ac:dyDescent="0.3">
      <c r="A256" s="25" t="s">
        <v>502</v>
      </c>
      <c r="B256" s="26" t="s">
        <v>503</v>
      </c>
      <c r="C256" s="26" t="s">
        <v>87</v>
      </c>
      <c r="D256" s="27">
        <v>10</v>
      </c>
      <c r="E256" s="27">
        <v>0</v>
      </c>
      <c r="F256" s="27">
        <v>200</v>
      </c>
      <c r="G256" s="27">
        <v>10</v>
      </c>
      <c r="H256" s="27">
        <v>190</v>
      </c>
      <c r="I256" s="27">
        <f>+IFERROR(VLOOKUP(A256,'[1]Pending Dispatch'!$N$2:$O$651,2,0),0)</f>
        <v>0</v>
      </c>
      <c r="J256" s="27">
        <f t="shared" si="3"/>
        <v>190</v>
      </c>
      <c r="K256" s="28">
        <v>0</v>
      </c>
      <c r="L256" s="28">
        <v>0</v>
      </c>
      <c r="M256" s="26">
        <v>65.599999999999994</v>
      </c>
      <c r="N256" s="26">
        <v>12463.999999999998</v>
      </c>
    </row>
    <row r="257" spans="1:14" ht="15" customHeight="1" x14ac:dyDescent="0.3">
      <c r="A257" s="25" t="s">
        <v>504</v>
      </c>
      <c r="B257" s="26" t="s">
        <v>505</v>
      </c>
      <c r="C257" s="26" t="s">
        <v>87</v>
      </c>
      <c r="D257" s="27">
        <v>12</v>
      </c>
      <c r="E257" s="27">
        <v>57</v>
      </c>
      <c r="F257" s="27">
        <v>0</v>
      </c>
      <c r="G257" s="27">
        <v>12</v>
      </c>
      <c r="H257" s="27">
        <v>45</v>
      </c>
      <c r="I257" s="27">
        <f>+IFERROR(VLOOKUP(A257,'[1]Pending Dispatch'!$N$2:$O$651,2,0),0)</f>
        <v>0</v>
      </c>
      <c r="J257" s="27">
        <f t="shared" si="3"/>
        <v>45</v>
      </c>
      <c r="K257" s="28">
        <v>0.79649999999999999</v>
      </c>
      <c r="L257" s="28">
        <v>4.5400500000000003E-2</v>
      </c>
      <c r="M257" s="26">
        <v>94.4</v>
      </c>
      <c r="N257" s="26">
        <v>4248</v>
      </c>
    </row>
    <row r="258" spans="1:14" ht="15" customHeight="1" x14ac:dyDescent="0.3">
      <c r="A258" s="33" t="s">
        <v>506</v>
      </c>
      <c r="B258" s="34" t="s">
        <v>507</v>
      </c>
      <c r="C258" s="34" t="s">
        <v>87</v>
      </c>
      <c r="D258" s="35">
        <v>6</v>
      </c>
      <c r="E258" s="35">
        <v>12</v>
      </c>
      <c r="F258" s="35">
        <v>100</v>
      </c>
      <c r="G258" s="35">
        <v>76</v>
      </c>
      <c r="H258" s="35">
        <v>36</v>
      </c>
      <c r="I258" s="27">
        <f>+IFERROR(VLOOKUP(A258,'[1]Pending Dispatch'!$N$2:$O$651,2,0),0)</f>
        <v>0</v>
      </c>
      <c r="J258" s="27">
        <f t="shared" si="3"/>
        <v>36</v>
      </c>
      <c r="K258" s="36">
        <v>1.4350000000000001</v>
      </c>
      <c r="L258" s="36">
        <v>0.16215499999999999</v>
      </c>
      <c r="M258" s="34"/>
      <c r="N258" s="34">
        <v>0</v>
      </c>
    </row>
    <row r="259" spans="1:14" ht="15" customHeight="1" x14ac:dyDescent="0.3">
      <c r="A259" s="25" t="s">
        <v>508</v>
      </c>
      <c r="B259" s="26" t="s">
        <v>509</v>
      </c>
      <c r="C259" s="26" t="s">
        <v>87</v>
      </c>
      <c r="D259" s="27">
        <v>20</v>
      </c>
      <c r="E259" s="27">
        <v>9</v>
      </c>
      <c r="F259" s="27">
        <v>0</v>
      </c>
      <c r="G259" s="27">
        <v>0</v>
      </c>
      <c r="H259" s="27">
        <v>9</v>
      </c>
      <c r="I259" s="27">
        <f>+IFERROR(VLOOKUP(A259,'[1]Pending Dispatch'!$N$2:$O$651,2,0),0)</f>
        <v>60</v>
      </c>
      <c r="J259" s="27">
        <f t="shared" si="3"/>
        <v>-51</v>
      </c>
      <c r="K259" s="28">
        <v>0.42099999999999999</v>
      </c>
      <c r="L259" s="28">
        <v>130.089</v>
      </c>
      <c r="M259" s="26">
        <v>2094</v>
      </c>
      <c r="N259" s="26">
        <v>-64914</v>
      </c>
    </row>
    <row r="260" spans="1:14" ht="15" customHeight="1" x14ac:dyDescent="0.3">
      <c r="A260" s="25" t="s">
        <v>510</v>
      </c>
      <c r="B260" s="26" t="s">
        <v>511</v>
      </c>
      <c r="C260" s="26" t="s">
        <v>87</v>
      </c>
      <c r="D260" s="27">
        <v>15</v>
      </c>
      <c r="E260" s="27">
        <v>76</v>
      </c>
      <c r="F260" s="27">
        <v>0</v>
      </c>
      <c r="G260" s="27">
        <v>60</v>
      </c>
      <c r="H260" s="27">
        <v>16</v>
      </c>
      <c r="I260" s="27">
        <f>+IFERROR(VLOOKUP(A260,'[1]Pending Dispatch'!$N$2:$O$651,2,0),0)</f>
        <v>0</v>
      </c>
      <c r="J260" s="27">
        <f t="shared" si="3"/>
        <v>16</v>
      </c>
      <c r="K260" s="28">
        <v>0.23899999999999999</v>
      </c>
      <c r="L260" s="28">
        <v>25.334</v>
      </c>
      <c r="M260" s="26">
        <v>528</v>
      </c>
      <c r="N260" s="26">
        <v>8448</v>
      </c>
    </row>
    <row r="261" spans="1:14" ht="15" customHeight="1" x14ac:dyDescent="0.3">
      <c r="A261" s="25" t="s">
        <v>512</v>
      </c>
      <c r="B261" s="26" t="s">
        <v>513</v>
      </c>
      <c r="C261" s="26" t="s">
        <v>87</v>
      </c>
      <c r="D261" s="27">
        <v>10</v>
      </c>
      <c r="E261" s="27">
        <v>106</v>
      </c>
      <c r="F261" s="27">
        <v>0</v>
      </c>
      <c r="G261" s="27">
        <v>0</v>
      </c>
      <c r="H261" s="27">
        <v>106</v>
      </c>
      <c r="I261" s="27">
        <f>+IFERROR(VLOOKUP(A261,'[1]Pending Dispatch'!$N$2:$O$651,2,0),0)</f>
        <v>0</v>
      </c>
      <c r="J261" s="27">
        <f t="shared" si="3"/>
        <v>106</v>
      </c>
      <c r="K261" s="28">
        <v>0.57399999999999995</v>
      </c>
      <c r="L261" s="28">
        <v>5.74E-2</v>
      </c>
      <c r="M261" s="26"/>
      <c r="N261" s="26">
        <v>0</v>
      </c>
    </row>
    <row r="262" spans="1:14" ht="15" customHeight="1" x14ac:dyDescent="0.3">
      <c r="A262" s="25" t="s">
        <v>514</v>
      </c>
      <c r="B262" s="26" t="s">
        <v>515</v>
      </c>
      <c r="C262" s="26" t="s">
        <v>87</v>
      </c>
      <c r="D262" s="27">
        <v>200</v>
      </c>
      <c r="E262" s="27">
        <v>0</v>
      </c>
      <c r="F262" s="27">
        <v>10</v>
      </c>
      <c r="G262" s="27">
        <v>10</v>
      </c>
      <c r="H262" s="27">
        <v>0</v>
      </c>
      <c r="I262" s="27">
        <f>+IFERROR(VLOOKUP(A262,'[1]Pending Dispatch'!$N$2:$O$651,2,0),0)</f>
        <v>0</v>
      </c>
      <c r="J262" s="27">
        <f t="shared" ref="J262:J325" si="4">+H262-I262</f>
        <v>0</v>
      </c>
      <c r="K262" s="28">
        <v>9.2499999999999995E-3</v>
      </c>
      <c r="L262" s="28">
        <v>0</v>
      </c>
      <c r="M262" s="26"/>
      <c r="N262" s="26">
        <v>0</v>
      </c>
    </row>
    <row r="263" spans="1:14" ht="15" customHeight="1" x14ac:dyDescent="0.3">
      <c r="A263" s="25" t="s">
        <v>516</v>
      </c>
      <c r="B263" s="26" t="s">
        <v>517</v>
      </c>
      <c r="C263" s="26" t="s">
        <v>87</v>
      </c>
      <c r="D263" s="27">
        <v>200</v>
      </c>
      <c r="E263" s="27">
        <v>0</v>
      </c>
      <c r="F263" s="27">
        <v>10</v>
      </c>
      <c r="G263" s="27">
        <v>10</v>
      </c>
      <c r="H263" s="27">
        <v>0</v>
      </c>
      <c r="I263" s="27">
        <f>+IFERROR(VLOOKUP(A263,'[1]Pending Dispatch'!$N$2:$O$651,2,0),0)</f>
        <v>0</v>
      </c>
      <c r="J263" s="27">
        <f t="shared" si="4"/>
        <v>0</v>
      </c>
      <c r="K263" s="28">
        <v>1.9E-2</v>
      </c>
      <c r="L263" s="28">
        <v>0</v>
      </c>
      <c r="M263" s="26"/>
      <c r="N263" s="26">
        <v>0</v>
      </c>
    </row>
    <row r="264" spans="1:14" ht="15" customHeight="1" x14ac:dyDescent="0.3">
      <c r="A264" s="25" t="s">
        <v>518</v>
      </c>
      <c r="B264" s="26" t="s">
        <v>519</v>
      </c>
      <c r="C264" s="26" t="s">
        <v>87</v>
      </c>
      <c r="D264" s="27">
        <v>150</v>
      </c>
      <c r="E264" s="27">
        <v>0</v>
      </c>
      <c r="F264" s="27">
        <v>10</v>
      </c>
      <c r="G264" s="27">
        <v>10</v>
      </c>
      <c r="H264" s="27">
        <v>0</v>
      </c>
      <c r="I264" s="27">
        <f>+IFERROR(VLOOKUP(A264,'[1]Pending Dispatch'!$N$2:$O$651,2,0),0)</f>
        <v>50</v>
      </c>
      <c r="J264" s="27">
        <f t="shared" si="4"/>
        <v>-50</v>
      </c>
      <c r="K264" s="28">
        <v>1.925E-2</v>
      </c>
      <c r="L264" s="28">
        <v>0</v>
      </c>
      <c r="M264" s="26"/>
      <c r="N264" s="26">
        <v>0</v>
      </c>
    </row>
    <row r="265" spans="1:14" ht="15" customHeight="1" x14ac:dyDescent="0.3">
      <c r="A265" s="25" t="s">
        <v>520</v>
      </c>
      <c r="B265" s="26" t="s">
        <v>521</v>
      </c>
      <c r="C265" s="26" t="s">
        <v>87</v>
      </c>
      <c r="D265" s="27">
        <v>100</v>
      </c>
      <c r="E265" s="27">
        <v>0</v>
      </c>
      <c r="F265" s="27">
        <v>10</v>
      </c>
      <c r="G265" s="27">
        <v>10</v>
      </c>
      <c r="H265" s="27">
        <v>0</v>
      </c>
      <c r="I265" s="27">
        <f>+IFERROR(VLOOKUP(A265,'[1]Pending Dispatch'!$N$2:$O$651,2,0),0)</f>
        <v>0</v>
      </c>
      <c r="J265" s="27">
        <f t="shared" si="4"/>
        <v>0</v>
      </c>
      <c r="K265" s="28">
        <v>2.775E-2</v>
      </c>
      <c r="L265" s="28">
        <v>0</v>
      </c>
      <c r="M265" s="26">
        <v>20.9</v>
      </c>
      <c r="N265" s="26">
        <v>0</v>
      </c>
    </row>
    <row r="266" spans="1:14" ht="15" customHeight="1" x14ac:dyDescent="0.3">
      <c r="A266" s="25" t="s">
        <v>522</v>
      </c>
      <c r="B266" s="26" t="s">
        <v>523</v>
      </c>
      <c r="C266" s="26" t="s">
        <v>87</v>
      </c>
      <c r="D266" s="27">
        <v>100</v>
      </c>
      <c r="E266" s="27">
        <v>0</v>
      </c>
      <c r="F266" s="27">
        <v>5</v>
      </c>
      <c r="G266" s="27">
        <v>5</v>
      </c>
      <c r="H266" s="27">
        <v>0</v>
      </c>
      <c r="I266" s="27">
        <f>+IFERROR(VLOOKUP(A266,'[1]Pending Dispatch'!$N$2:$O$651,2,0),0)</f>
        <v>0</v>
      </c>
      <c r="J266" s="27">
        <f t="shared" si="4"/>
        <v>0</v>
      </c>
      <c r="K266" s="28">
        <v>3.7499999999999999E-2</v>
      </c>
      <c r="L266" s="28">
        <v>0</v>
      </c>
      <c r="M266" s="26"/>
      <c r="N266" s="26">
        <v>0</v>
      </c>
    </row>
    <row r="267" spans="1:14" ht="15" customHeight="1" x14ac:dyDescent="0.3">
      <c r="A267" s="25" t="s">
        <v>524</v>
      </c>
      <c r="B267" s="26" t="s">
        <v>525</v>
      </c>
      <c r="C267" s="26" t="s">
        <v>87</v>
      </c>
      <c r="D267" s="27">
        <v>25</v>
      </c>
      <c r="E267" s="27">
        <v>8</v>
      </c>
      <c r="F267" s="27">
        <v>800</v>
      </c>
      <c r="G267" s="27">
        <v>745</v>
      </c>
      <c r="H267" s="27">
        <v>63</v>
      </c>
      <c r="I267" s="27">
        <f>+IFERROR(VLOOKUP(A267,'[1]Pending Dispatch'!$N$2:$O$651,2,0),0)</f>
        <v>45</v>
      </c>
      <c r="J267" s="27">
        <f t="shared" si="4"/>
        <v>18</v>
      </c>
      <c r="K267" s="28">
        <v>0.17680000000000001</v>
      </c>
      <c r="L267" s="28">
        <v>13.083200000000001</v>
      </c>
      <c r="M267" s="26">
        <v>5228</v>
      </c>
      <c r="N267" s="26">
        <v>94104</v>
      </c>
    </row>
    <row r="268" spans="1:14" ht="15" customHeight="1" x14ac:dyDescent="0.3">
      <c r="A268" s="25" t="s">
        <v>526</v>
      </c>
      <c r="B268" s="26" t="s">
        <v>527</v>
      </c>
      <c r="C268" s="26" t="s">
        <v>87</v>
      </c>
      <c r="D268" s="27">
        <v>25</v>
      </c>
      <c r="E268" s="27">
        <v>0</v>
      </c>
      <c r="F268" s="27">
        <v>680</v>
      </c>
      <c r="G268" s="27">
        <v>680</v>
      </c>
      <c r="H268" s="27">
        <v>0</v>
      </c>
      <c r="I268" s="27">
        <f>+IFERROR(VLOOKUP(A268,'[1]Pending Dispatch'!$N$2:$O$651,2,0),0)</f>
        <v>0</v>
      </c>
      <c r="J268" s="27">
        <f t="shared" si="4"/>
        <v>0</v>
      </c>
      <c r="K268" s="28">
        <v>0.17680000000000001</v>
      </c>
      <c r="L268" s="28">
        <v>23.868000000000002</v>
      </c>
      <c r="M268" s="26">
        <v>3348</v>
      </c>
      <c r="N268" s="26">
        <v>0</v>
      </c>
    </row>
    <row r="269" spans="1:14" ht="15" customHeight="1" x14ac:dyDescent="0.3">
      <c r="A269" s="25" t="s">
        <v>528</v>
      </c>
      <c r="B269" s="26" t="s">
        <v>529</v>
      </c>
      <c r="C269" s="26" t="s">
        <v>87</v>
      </c>
      <c r="D269" s="27">
        <v>25</v>
      </c>
      <c r="E269" s="27">
        <v>39</v>
      </c>
      <c r="F269" s="27">
        <v>0</v>
      </c>
      <c r="G269" s="27">
        <v>0</v>
      </c>
      <c r="H269" s="27">
        <v>39</v>
      </c>
      <c r="I269" s="27">
        <f>+IFERROR(VLOOKUP(A269,'[1]Pending Dispatch'!$N$2:$O$651,2,0),0)</f>
        <v>0</v>
      </c>
      <c r="J269" s="27">
        <f t="shared" si="4"/>
        <v>39</v>
      </c>
      <c r="K269" s="28">
        <v>0.17680000000000001</v>
      </c>
      <c r="L269" s="28">
        <v>9.5472000000000001</v>
      </c>
      <c r="M269" s="26">
        <v>6696</v>
      </c>
      <c r="N269" s="26">
        <v>261144</v>
      </c>
    </row>
    <row r="270" spans="1:14" ht="15" customHeight="1" x14ac:dyDescent="0.3">
      <c r="A270" s="25" t="s">
        <v>530</v>
      </c>
      <c r="B270" s="26" t="s">
        <v>531</v>
      </c>
      <c r="C270" s="26" t="s">
        <v>87</v>
      </c>
      <c r="D270" s="27">
        <v>25</v>
      </c>
      <c r="E270" s="27">
        <v>75</v>
      </c>
      <c r="F270" s="27">
        <v>0</v>
      </c>
      <c r="G270" s="27">
        <v>0</v>
      </c>
      <c r="H270" s="27">
        <v>75</v>
      </c>
      <c r="I270" s="27">
        <f>+IFERROR(VLOOKUP(A270,'[1]Pending Dispatch'!$N$2:$O$651,2,0),0)</f>
        <v>0</v>
      </c>
      <c r="J270" s="27">
        <f t="shared" si="4"/>
        <v>75</v>
      </c>
      <c r="K270" s="28">
        <v>0.17680000000000001</v>
      </c>
      <c r="L270" s="28">
        <v>13.260000000000002</v>
      </c>
      <c r="M270" s="26">
        <v>0</v>
      </c>
      <c r="N270" s="26">
        <v>0</v>
      </c>
    </row>
    <row r="271" spans="1:14" ht="15" customHeight="1" x14ac:dyDescent="0.3">
      <c r="A271" s="25" t="s">
        <v>532</v>
      </c>
      <c r="B271" s="26" t="s">
        <v>533</v>
      </c>
      <c r="C271" s="26" t="s">
        <v>87</v>
      </c>
      <c r="D271" s="27">
        <v>25</v>
      </c>
      <c r="E271" s="27">
        <v>0</v>
      </c>
      <c r="F271" s="27">
        <v>0</v>
      </c>
      <c r="G271" s="27">
        <v>0</v>
      </c>
      <c r="H271" s="27">
        <v>0</v>
      </c>
      <c r="I271" s="27">
        <f>+IFERROR(VLOOKUP(A271,'[1]Pending Dispatch'!$N$2:$O$651,2,0),0)</f>
        <v>0</v>
      </c>
      <c r="J271" s="27">
        <f t="shared" si="4"/>
        <v>0</v>
      </c>
      <c r="K271" s="28">
        <v>0.17680000000000001</v>
      </c>
      <c r="L271" s="28">
        <v>0</v>
      </c>
      <c r="M271" s="26">
        <v>0</v>
      </c>
      <c r="N271" s="26">
        <v>0</v>
      </c>
    </row>
    <row r="272" spans="1:14" ht="15" customHeight="1" x14ac:dyDescent="0.3">
      <c r="A272" s="25" t="s">
        <v>534</v>
      </c>
      <c r="B272" s="26" t="s">
        <v>535</v>
      </c>
      <c r="C272" s="26" t="s">
        <v>536</v>
      </c>
      <c r="D272" s="27">
        <v>600</v>
      </c>
      <c r="E272" s="27">
        <v>130</v>
      </c>
      <c r="F272" s="27">
        <v>0</v>
      </c>
      <c r="G272" s="27">
        <v>0</v>
      </c>
      <c r="H272" s="27">
        <v>130</v>
      </c>
      <c r="I272" s="27">
        <f>+IFERROR(VLOOKUP(A272,'[1]Pending Dispatch'!$N$2:$O$651,2,0),0)</f>
        <v>0</v>
      </c>
      <c r="J272" s="27">
        <f t="shared" si="4"/>
        <v>130</v>
      </c>
      <c r="K272" s="28">
        <v>16.309999999999999</v>
      </c>
      <c r="L272" s="28">
        <v>2.1202999999999999</v>
      </c>
      <c r="M272" s="26">
        <v>0</v>
      </c>
      <c r="N272" s="26">
        <v>0</v>
      </c>
    </row>
    <row r="273" spans="1:14" ht="15" customHeight="1" x14ac:dyDescent="0.3">
      <c r="A273" s="25" t="s">
        <v>537</v>
      </c>
      <c r="B273" s="26" t="s">
        <v>538</v>
      </c>
      <c r="C273" s="26" t="s">
        <v>536</v>
      </c>
      <c r="D273" s="27">
        <v>300</v>
      </c>
      <c r="E273" s="27">
        <v>524</v>
      </c>
      <c r="F273" s="27">
        <v>0</v>
      </c>
      <c r="G273" s="27">
        <v>0</v>
      </c>
      <c r="H273" s="27">
        <v>524</v>
      </c>
      <c r="I273" s="27">
        <f>+IFERROR(VLOOKUP(A273,'[1]Pending Dispatch'!$N$2:$O$651,2,0),0)</f>
        <v>0</v>
      </c>
      <c r="J273" s="27">
        <f t="shared" si="4"/>
        <v>524</v>
      </c>
      <c r="K273" s="28">
        <v>19.5</v>
      </c>
      <c r="L273" s="28">
        <v>10.218</v>
      </c>
      <c r="M273" s="26">
        <v>0</v>
      </c>
      <c r="N273" s="26">
        <v>0</v>
      </c>
    </row>
    <row r="274" spans="1:14" ht="15" customHeight="1" x14ac:dyDescent="0.3">
      <c r="A274" s="25" t="s">
        <v>539</v>
      </c>
      <c r="B274" s="26" t="s">
        <v>540</v>
      </c>
      <c r="C274" s="26" t="s">
        <v>536</v>
      </c>
      <c r="D274" s="27">
        <v>240</v>
      </c>
      <c r="E274" s="27">
        <v>168</v>
      </c>
      <c r="F274" s="27">
        <v>4608</v>
      </c>
      <c r="G274" s="27">
        <v>1728</v>
      </c>
      <c r="H274" s="27">
        <v>3048</v>
      </c>
      <c r="I274" s="27">
        <f>+IFERROR(VLOOKUP(A274,'[1]Pending Dispatch'!$N$2:$O$651,2,0),0)</f>
        <v>3840</v>
      </c>
      <c r="J274" s="27">
        <f t="shared" si="4"/>
        <v>-792</v>
      </c>
      <c r="K274" s="28">
        <v>30</v>
      </c>
      <c r="L274" s="28">
        <v>235.89</v>
      </c>
      <c r="M274" s="26">
        <v>108</v>
      </c>
      <c r="N274" s="26">
        <v>127008</v>
      </c>
    </row>
    <row r="275" spans="1:14" ht="15" customHeight="1" x14ac:dyDescent="0.3">
      <c r="A275" s="25" t="s">
        <v>541</v>
      </c>
      <c r="B275" s="26" t="s">
        <v>542</v>
      </c>
      <c r="C275" s="26" t="s">
        <v>536</v>
      </c>
      <c r="D275" s="27">
        <v>144</v>
      </c>
      <c r="E275" s="27">
        <v>2544</v>
      </c>
      <c r="F275" s="27">
        <v>1440</v>
      </c>
      <c r="G275" s="27">
        <v>3980</v>
      </c>
      <c r="H275" s="27">
        <v>4</v>
      </c>
      <c r="I275" s="27">
        <f>+IFERROR(VLOOKUP(A275,'[1]Pending Dispatch'!$N$2:$O$651,2,0),0)</f>
        <v>3441</v>
      </c>
      <c r="J275" s="27">
        <f t="shared" si="4"/>
        <v>-3437</v>
      </c>
      <c r="K275" s="28">
        <v>23.86</v>
      </c>
      <c r="L275" s="28">
        <v>350.38409999999999</v>
      </c>
      <c r="M275" s="26">
        <v>178</v>
      </c>
      <c r="N275" s="26">
        <v>-637418</v>
      </c>
    </row>
    <row r="276" spans="1:14" ht="15" customHeight="1" x14ac:dyDescent="0.3">
      <c r="A276" s="25" t="s">
        <v>543</v>
      </c>
      <c r="B276" s="26" t="s">
        <v>544</v>
      </c>
      <c r="C276" s="26" t="s">
        <v>536</v>
      </c>
      <c r="D276" s="27">
        <v>96</v>
      </c>
      <c r="E276" s="27">
        <v>5315</v>
      </c>
      <c r="F276" s="27">
        <v>0</v>
      </c>
      <c r="G276" s="27">
        <v>902</v>
      </c>
      <c r="H276" s="27">
        <v>4413</v>
      </c>
      <c r="I276" s="27">
        <f>+IFERROR(VLOOKUP(A276,'[1]Pending Dispatch'!$N$2:$O$651,2,0),0)</f>
        <v>732</v>
      </c>
      <c r="J276" s="27">
        <f t="shared" si="4"/>
        <v>3681</v>
      </c>
      <c r="K276" s="28">
        <v>29</v>
      </c>
      <c r="L276" s="28">
        <v>209.46700000000001</v>
      </c>
      <c r="M276" s="26">
        <v>296</v>
      </c>
      <c r="N276" s="26">
        <v>1058200</v>
      </c>
    </row>
    <row r="277" spans="1:14" ht="15" customHeight="1" x14ac:dyDescent="0.3">
      <c r="A277" s="25" t="s">
        <v>545</v>
      </c>
      <c r="B277" s="26" t="s">
        <v>546</v>
      </c>
      <c r="C277" s="26" t="s">
        <v>536</v>
      </c>
      <c r="D277" s="27">
        <v>48</v>
      </c>
      <c r="E277" s="27">
        <v>1320</v>
      </c>
      <c r="F277" s="27">
        <v>0</v>
      </c>
      <c r="G277" s="27">
        <v>1</v>
      </c>
      <c r="H277" s="27">
        <v>1319</v>
      </c>
      <c r="I277" s="27">
        <f>+IFERROR(VLOOKUP(A277,'[1]Pending Dispatch'!$N$2:$O$651,2,0),0)</f>
        <v>0</v>
      </c>
      <c r="J277" s="27">
        <f t="shared" si="4"/>
        <v>1319</v>
      </c>
      <c r="K277" s="28">
        <v>27</v>
      </c>
      <c r="L277" s="28">
        <v>37638</v>
      </c>
      <c r="M277" s="26">
        <v>546</v>
      </c>
      <c r="N277" s="26">
        <v>720174</v>
      </c>
    </row>
    <row r="278" spans="1:14" ht="15" customHeight="1" x14ac:dyDescent="0.3">
      <c r="A278" s="25" t="s">
        <v>547</v>
      </c>
      <c r="B278" s="26" t="s">
        <v>548</v>
      </c>
      <c r="C278" s="26" t="s">
        <v>536</v>
      </c>
      <c r="D278" s="27">
        <v>24</v>
      </c>
      <c r="E278" s="27">
        <v>706</v>
      </c>
      <c r="F278" s="27">
        <v>0</v>
      </c>
      <c r="G278" s="27">
        <v>0</v>
      </c>
      <c r="H278" s="27">
        <v>706</v>
      </c>
      <c r="I278" s="27">
        <f>+IFERROR(VLOOKUP(A278,'[1]Pending Dispatch'!$N$2:$O$651,2,0),0)</f>
        <v>0</v>
      </c>
      <c r="J278" s="27">
        <f t="shared" si="4"/>
        <v>706</v>
      </c>
      <c r="K278" s="28">
        <v>29</v>
      </c>
      <c r="L278" s="28">
        <v>21257</v>
      </c>
      <c r="M278" s="26">
        <v>10488</v>
      </c>
      <c r="N278" s="26">
        <v>7404528</v>
      </c>
    </row>
    <row r="279" spans="1:14" ht="15" customHeight="1" x14ac:dyDescent="0.3">
      <c r="A279" s="25" t="s">
        <v>549</v>
      </c>
      <c r="B279" s="26" t="s">
        <v>550</v>
      </c>
      <c r="C279" s="26" t="s">
        <v>536</v>
      </c>
      <c r="D279" s="27">
        <v>144</v>
      </c>
      <c r="E279" s="27">
        <v>88</v>
      </c>
      <c r="F279" s="27">
        <v>0</v>
      </c>
      <c r="G279" s="27">
        <v>0</v>
      </c>
      <c r="H279" s="27">
        <v>88</v>
      </c>
      <c r="I279" s="27">
        <f>+IFERROR(VLOOKUP(A279,'[1]Pending Dispatch'!$N$2:$O$651,2,0),0)</f>
        <v>0</v>
      </c>
      <c r="J279" s="27">
        <f t="shared" si="4"/>
        <v>88</v>
      </c>
      <c r="K279" s="28">
        <v>24</v>
      </c>
      <c r="L279" s="28">
        <v>2.1120000000000001</v>
      </c>
      <c r="M279" s="26">
        <v>12.2</v>
      </c>
      <c r="N279" s="26">
        <v>1073.5999999999999</v>
      </c>
    </row>
    <row r="280" spans="1:14" ht="15" customHeight="1" x14ac:dyDescent="0.3">
      <c r="A280" s="25" t="s">
        <v>551</v>
      </c>
      <c r="B280" s="26" t="s">
        <v>552</v>
      </c>
      <c r="C280" s="26" t="s">
        <v>536</v>
      </c>
      <c r="D280" s="27">
        <v>96</v>
      </c>
      <c r="E280" s="27">
        <v>168</v>
      </c>
      <c r="F280" s="27">
        <v>0</v>
      </c>
      <c r="G280" s="27">
        <v>0</v>
      </c>
      <c r="H280" s="27">
        <v>168</v>
      </c>
      <c r="I280" s="27">
        <f>+IFERROR(VLOOKUP(A280,'[1]Pending Dispatch'!$N$2:$O$651,2,0),0)</f>
        <v>0</v>
      </c>
      <c r="J280" s="27">
        <f t="shared" si="4"/>
        <v>168</v>
      </c>
      <c r="K280" s="28">
        <v>29</v>
      </c>
      <c r="L280" s="28">
        <v>4.8719999999999999</v>
      </c>
      <c r="M280" s="26">
        <v>19.2</v>
      </c>
      <c r="N280" s="26">
        <v>3225.6</v>
      </c>
    </row>
    <row r="281" spans="1:14" ht="15" customHeight="1" x14ac:dyDescent="0.3">
      <c r="A281" s="25" t="s">
        <v>553</v>
      </c>
      <c r="B281" s="26" t="s">
        <v>554</v>
      </c>
      <c r="C281" s="26" t="s">
        <v>536</v>
      </c>
      <c r="D281" s="27">
        <v>900</v>
      </c>
      <c r="E281" s="27">
        <v>4728</v>
      </c>
      <c r="F281" s="27">
        <v>0</v>
      </c>
      <c r="G281" s="27">
        <v>0</v>
      </c>
      <c r="H281" s="27">
        <v>4728</v>
      </c>
      <c r="I281" s="27">
        <f>+IFERROR(VLOOKUP(A281,'[1]Pending Dispatch'!$N$2:$O$651,2,0),0)</f>
        <v>143</v>
      </c>
      <c r="J281" s="27">
        <f t="shared" si="4"/>
        <v>4585</v>
      </c>
      <c r="K281" s="28">
        <v>23.12</v>
      </c>
      <c r="L281" s="28">
        <v>109.31136000000001</v>
      </c>
      <c r="M281" s="26">
        <v>30.8</v>
      </c>
      <c r="N281" s="26">
        <v>141218</v>
      </c>
    </row>
    <row r="282" spans="1:14" ht="15" customHeight="1" x14ac:dyDescent="0.3">
      <c r="A282" s="25" t="s">
        <v>555</v>
      </c>
      <c r="B282" s="26" t="s">
        <v>556</v>
      </c>
      <c r="C282" s="26" t="s">
        <v>536</v>
      </c>
      <c r="D282" s="27">
        <v>600</v>
      </c>
      <c r="E282" s="27">
        <v>8190</v>
      </c>
      <c r="F282" s="27">
        <v>0</v>
      </c>
      <c r="G282" s="27">
        <v>3140</v>
      </c>
      <c r="H282" s="27">
        <v>5050</v>
      </c>
      <c r="I282" s="27">
        <f>+IFERROR(VLOOKUP(A282,'[1]Pending Dispatch'!$N$2:$O$651,2,0),0)</f>
        <v>2719</v>
      </c>
      <c r="J282" s="27">
        <f t="shared" si="4"/>
        <v>2331</v>
      </c>
      <c r="K282" s="28">
        <v>23.25</v>
      </c>
      <c r="L282" s="28">
        <v>417.33749999999998</v>
      </c>
      <c r="M282" s="26">
        <v>43.4</v>
      </c>
      <c r="N282" s="26">
        <v>101165.4</v>
      </c>
    </row>
    <row r="283" spans="1:14" ht="15" customHeight="1" x14ac:dyDescent="0.3">
      <c r="A283" s="25" t="s">
        <v>557</v>
      </c>
      <c r="B283" s="26" t="s">
        <v>558</v>
      </c>
      <c r="C283" s="26" t="s">
        <v>536</v>
      </c>
      <c r="D283" s="27">
        <v>500</v>
      </c>
      <c r="E283" s="27">
        <v>6150</v>
      </c>
      <c r="F283" s="27">
        <v>0</v>
      </c>
      <c r="G283" s="27">
        <v>800</v>
      </c>
      <c r="H283" s="27">
        <v>5350</v>
      </c>
      <c r="I283" s="27">
        <f>+IFERROR(VLOOKUP(A283,'[1]Pending Dispatch'!$N$2:$O$651,2,0),0)</f>
        <v>2500</v>
      </c>
      <c r="J283" s="27">
        <f t="shared" si="4"/>
        <v>2850</v>
      </c>
      <c r="K283" s="28">
        <v>27.06</v>
      </c>
      <c r="L283" s="28">
        <v>38.154600000000002</v>
      </c>
      <c r="M283" s="26">
        <v>67.599999999999994</v>
      </c>
      <c r="N283" s="26">
        <v>192659.99999999997</v>
      </c>
    </row>
    <row r="284" spans="1:14" ht="15" customHeight="1" x14ac:dyDescent="0.3">
      <c r="A284" s="25" t="s">
        <v>559</v>
      </c>
      <c r="B284" s="26" t="s">
        <v>560</v>
      </c>
      <c r="C284" s="26" t="s">
        <v>536</v>
      </c>
      <c r="D284" s="27">
        <v>400</v>
      </c>
      <c r="E284" s="27">
        <v>1767</v>
      </c>
      <c r="F284" s="27">
        <v>0</v>
      </c>
      <c r="G284" s="27">
        <v>0</v>
      </c>
      <c r="H284" s="27">
        <v>1767</v>
      </c>
      <c r="I284" s="27">
        <f>+IFERROR(VLOOKUP(A284,'[1]Pending Dispatch'!$N$2:$O$651,2,0),0)</f>
        <v>2000</v>
      </c>
      <c r="J284" s="27">
        <f t="shared" si="4"/>
        <v>-233</v>
      </c>
      <c r="K284" s="28">
        <v>31.36</v>
      </c>
      <c r="L284" s="28">
        <v>100.88512</v>
      </c>
      <c r="M284" s="26">
        <v>104.8</v>
      </c>
      <c r="N284" s="26">
        <v>-24418.399999999998</v>
      </c>
    </row>
    <row r="285" spans="1:14" ht="15" customHeight="1" x14ac:dyDescent="0.3">
      <c r="A285" s="25" t="s">
        <v>561</v>
      </c>
      <c r="B285" s="26" t="s">
        <v>562</v>
      </c>
      <c r="C285" s="26" t="s">
        <v>536</v>
      </c>
      <c r="D285" s="27">
        <v>300</v>
      </c>
      <c r="E285" s="27">
        <v>1018</v>
      </c>
      <c r="F285" s="27">
        <v>0</v>
      </c>
      <c r="G285" s="27">
        <v>570</v>
      </c>
      <c r="H285" s="27">
        <v>448</v>
      </c>
      <c r="I285" s="27">
        <f>+IFERROR(VLOOKUP(A285,'[1]Pending Dispatch'!$N$2:$O$651,2,0),0)</f>
        <v>0</v>
      </c>
      <c r="J285" s="27">
        <f t="shared" si="4"/>
        <v>448</v>
      </c>
      <c r="K285" s="28">
        <v>28.23</v>
      </c>
      <c r="L285" s="28">
        <v>99.595439999999996</v>
      </c>
      <c r="M285" s="26">
        <v>136.80000000000001</v>
      </c>
      <c r="N285" s="26">
        <v>61286.400000000009</v>
      </c>
    </row>
    <row r="286" spans="1:14" ht="15" customHeight="1" x14ac:dyDescent="0.3">
      <c r="A286" s="25" t="s">
        <v>563</v>
      </c>
      <c r="B286" s="26" t="s">
        <v>564</v>
      </c>
      <c r="C286" s="26" t="s">
        <v>536</v>
      </c>
      <c r="D286" s="27">
        <v>250</v>
      </c>
      <c r="E286" s="27">
        <v>3652</v>
      </c>
      <c r="F286" s="27">
        <v>0</v>
      </c>
      <c r="G286" s="27">
        <v>0</v>
      </c>
      <c r="H286" s="27">
        <v>3652</v>
      </c>
      <c r="I286" s="27">
        <f>+IFERROR(VLOOKUP(A286,'[1]Pending Dispatch'!$N$2:$O$651,2,0),0)</f>
        <v>0</v>
      </c>
      <c r="J286" s="27">
        <f t="shared" si="4"/>
        <v>3652</v>
      </c>
      <c r="K286" s="28">
        <v>28.03</v>
      </c>
      <c r="L286" s="28">
        <v>110.07380999999999</v>
      </c>
      <c r="M286" s="26">
        <v>182.4</v>
      </c>
      <c r="N286" s="26">
        <v>666124.80000000005</v>
      </c>
    </row>
    <row r="287" spans="1:14" ht="15" customHeight="1" x14ac:dyDescent="0.3">
      <c r="A287" s="25" t="s">
        <v>565</v>
      </c>
      <c r="B287" s="26" t="s">
        <v>566</v>
      </c>
      <c r="C287" s="26" t="s">
        <v>536</v>
      </c>
      <c r="D287" s="27">
        <v>3200</v>
      </c>
      <c r="E287" s="27">
        <v>5033</v>
      </c>
      <c r="F287" s="27">
        <v>0</v>
      </c>
      <c r="G287" s="27">
        <v>0</v>
      </c>
      <c r="H287" s="27">
        <v>5033</v>
      </c>
      <c r="I287" s="27">
        <f>+IFERROR(VLOOKUP(A287,'[1]Pending Dispatch'!$N$2:$O$651,2,0),0)</f>
        <v>0</v>
      </c>
      <c r="J287" s="27">
        <f t="shared" si="4"/>
        <v>5033</v>
      </c>
      <c r="K287" s="28">
        <v>42</v>
      </c>
      <c r="L287" s="28">
        <v>211.386</v>
      </c>
      <c r="M287" s="26">
        <v>260.39999999999998</v>
      </c>
      <c r="N287" s="26">
        <v>1310593.2</v>
      </c>
    </row>
    <row r="288" spans="1:14" ht="15" customHeight="1" x14ac:dyDescent="0.3">
      <c r="A288" s="25" t="s">
        <v>567</v>
      </c>
      <c r="B288" s="26" t="s">
        <v>568</v>
      </c>
      <c r="C288" s="26" t="s">
        <v>536</v>
      </c>
      <c r="D288" s="27">
        <v>2400</v>
      </c>
      <c r="E288" s="27">
        <v>7278</v>
      </c>
      <c r="F288" s="27">
        <v>0</v>
      </c>
      <c r="G288" s="27">
        <v>0</v>
      </c>
      <c r="H288" s="27">
        <v>7278</v>
      </c>
      <c r="I288" s="27">
        <f>+IFERROR(VLOOKUP(A288,'[1]Pending Dispatch'!$N$2:$O$651,2,0),0)</f>
        <v>0</v>
      </c>
      <c r="J288" s="27">
        <f t="shared" si="4"/>
        <v>7278</v>
      </c>
      <c r="K288" s="28">
        <v>26.86</v>
      </c>
      <c r="L288" s="28">
        <v>196.2123</v>
      </c>
      <c r="M288" s="26">
        <v>113</v>
      </c>
      <c r="N288" s="26">
        <v>822414</v>
      </c>
    </row>
    <row r="289" spans="1:14" ht="15" customHeight="1" x14ac:dyDescent="0.3">
      <c r="A289" s="25" t="s">
        <v>569</v>
      </c>
      <c r="B289" s="26" t="s">
        <v>570</v>
      </c>
      <c r="C289" s="26" t="s">
        <v>536</v>
      </c>
      <c r="D289" s="27">
        <v>2400</v>
      </c>
      <c r="E289" s="27">
        <v>5026</v>
      </c>
      <c r="F289" s="27">
        <v>0</v>
      </c>
      <c r="G289" s="27">
        <v>0</v>
      </c>
      <c r="H289" s="27">
        <v>5026</v>
      </c>
      <c r="I289" s="27">
        <f>+IFERROR(VLOOKUP(A289,'[1]Pending Dispatch'!$N$2:$O$651,2,0),0)</f>
        <v>0</v>
      </c>
      <c r="J289" s="27">
        <f t="shared" si="4"/>
        <v>5026</v>
      </c>
      <c r="K289" s="28">
        <v>30.64</v>
      </c>
      <c r="L289" s="28">
        <v>170.14392000000001</v>
      </c>
      <c r="M289" s="26">
        <v>132</v>
      </c>
      <c r="N289" s="26">
        <v>663432</v>
      </c>
    </row>
    <row r="290" spans="1:14" ht="15" customHeight="1" x14ac:dyDescent="0.3">
      <c r="A290" s="25" t="s">
        <v>571</v>
      </c>
      <c r="B290" s="26" t="s">
        <v>572</v>
      </c>
      <c r="C290" s="26" t="s">
        <v>536</v>
      </c>
      <c r="D290" s="27">
        <v>2000</v>
      </c>
      <c r="E290" s="27">
        <v>4955</v>
      </c>
      <c r="F290" s="27">
        <v>0</v>
      </c>
      <c r="G290" s="27">
        <v>0</v>
      </c>
      <c r="H290" s="27">
        <v>4955</v>
      </c>
      <c r="I290" s="27">
        <f>+IFERROR(VLOOKUP(A290,'[1]Pending Dispatch'!$N$2:$O$651,2,0),0)</f>
        <v>0</v>
      </c>
      <c r="J290" s="27">
        <f t="shared" si="4"/>
        <v>4955</v>
      </c>
      <c r="K290" s="28">
        <v>30</v>
      </c>
      <c r="L290" s="28">
        <v>148.65</v>
      </c>
      <c r="M290" s="26">
        <v>173.1</v>
      </c>
      <c r="N290" s="26">
        <v>857710.5</v>
      </c>
    </row>
    <row r="291" spans="1:14" ht="15" customHeight="1" x14ac:dyDescent="0.3">
      <c r="A291" s="25" t="s">
        <v>573</v>
      </c>
      <c r="B291" s="26" t="s">
        <v>574</v>
      </c>
      <c r="C291" s="26" t="s">
        <v>536</v>
      </c>
      <c r="D291" s="27">
        <v>1600</v>
      </c>
      <c r="E291" s="27">
        <v>3232</v>
      </c>
      <c r="F291" s="27">
        <v>0</v>
      </c>
      <c r="G291" s="27">
        <v>0</v>
      </c>
      <c r="H291" s="27">
        <v>3232</v>
      </c>
      <c r="I291" s="27">
        <f>+IFERROR(VLOOKUP(A291,'[1]Pending Dispatch'!$N$2:$O$651,2,0),0)</f>
        <v>0</v>
      </c>
      <c r="J291" s="27">
        <f t="shared" si="4"/>
        <v>3232</v>
      </c>
      <c r="K291" s="28">
        <v>27.25</v>
      </c>
      <c r="L291" s="28">
        <v>88.072000000000003</v>
      </c>
      <c r="M291" s="26">
        <v>187.2</v>
      </c>
      <c r="N291" s="26">
        <v>605030.39999999991</v>
      </c>
    </row>
    <row r="292" spans="1:14" ht="15" customHeight="1" x14ac:dyDescent="0.3">
      <c r="A292" s="25" t="s">
        <v>575</v>
      </c>
      <c r="B292" s="26" t="s">
        <v>576</v>
      </c>
      <c r="C292" s="26" t="s">
        <v>536</v>
      </c>
      <c r="D292" s="27">
        <v>800</v>
      </c>
      <c r="E292" s="27">
        <v>1205</v>
      </c>
      <c r="F292" s="27">
        <v>0</v>
      </c>
      <c r="G292" s="27">
        <v>0</v>
      </c>
      <c r="H292" s="27">
        <v>1205</v>
      </c>
      <c r="I292" s="27">
        <f>+IFERROR(VLOOKUP(A292,'[1]Pending Dispatch'!$N$2:$O$651,2,0),0)</f>
        <v>0</v>
      </c>
      <c r="J292" s="27">
        <f t="shared" si="4"/>
        <v>1205</v>
      </c>
      <c r="K292" s="28">
        <v>16.309999999999999</v>
      </c>
      <c r="L292" s="28">
        <v>19.653549999999999</v>
      </c>
      <c r="M292" s="26">
        <v>244</v>
      </c>
      <c r="N292" s="26">
        <v>294020</v>
      </c>
    </row>
    <row r="293" spans="1:14" ht="15" customHeight="1" x14ac:dyDescent="0.3">
      <c r="A293" s="25" t="s">
        <v>577</v>
      </c>
      <c r="B293" s="26" t="s">
        <v>578</v>
      </c>
      <c r="C293" s="26" t="s">
        <v>579</v>
      </c>
      <c r="D293" s="27">
        <v>30</v>
      </c>
      <c r="E293" s="27">
        <v>8783</v>
      </c>
      <c r="F293" s="27">
        <v>0</v>
      </c>
      <c r="G293" s="27">
        <v>590</v>
      </c>
      <c r="H293" s="27">
        <v>8193</v>
      </c>
      <c r="I293" s="27">
        <f>+IFERROR(VLOOKUP(A293,'[1]Pending Dispatch'!$N$2:$O$651,2,0),0)</f>
        <v>0</v>
      </c>
      <c r="J293" s="27">
        <f t="shared" si="4"/>
        <v>8193</v>
      </c>
      <c r="K293" s="28">
        <v>1.1000000000000001</v>
      </c>
      <c r="L293" s="28">
        <v>11.212300000000001</v>
      </c>
      <c r="M293" s="26">
        <v>269.10000000000002</v>
      </c>
      <c r="N293" s="26">
        <v>2204736.3000000003</v>
      </c>
    </row>
    <row r="294" spans="1:14" ht="15" customHeight="1" x14ac:dyDescent="0.3">
      <c r="A294" s="25" t="s">
        <v>580</v>
      </c>
      <c r="B294" s="26" t="s">
        <v>581</v>
      </c>
      <c r="C294" s="26" t="s">
        <v>579</v>
      </c>
      <c r="D294" s="27">
        <v>25</v>
      </c>
      <c r="E294" s="27">
        <v>525</v>
      </c>
      <c r="F294" s="27">
        <v>0</v>
      </c>
      <c r="G294" s="27">
        <v>250</v>
      </c>
      <c r="H294" s="27">
        <v>275</v>
      </c>
      <c r="I294" s="27">
        <f>+IFERROR(VLOOKUP(A294,'[1]Pending Dispatch'!$N$2:$O$651,2,0),0)</f>
        <v>50</v>
      </c>
      <c r="J294" s="27">
        <f t="shared" si="4"/>
        <v>225</v>
      </c>
      <c r="K294" s="28">
        <v>1.45</v>
      </c>
      <c r="L294" s="28">
        <v>1.0874999999999999</v>
      </c>
      <c r="M294" s="26">
        <v>300.60000000000002</v>
      </c>
      <c r="N294" s="26">
        <v>67635</v>
      </c>
    </row>
    <row r="295" spans="1:14" ht="15" customHeight="1" x14ac:dyDescent="0.3">
      <c r="A295" s="25" t="s">
        <v>582</v>
      </c>
      <c r="B295" s="26" t="s">
        <v>583</v>
      </c>
      <c r="C295" s="26" t="s">
        <v>579</v>
      </c>
      <c r="D295" s="27">
        <v>20</v>
      </c>
      <c r="E295" s="27">
        <v>450</v>
      </c>
      <c r="F295" s="27">
        <v>0</v>
      </c>
      <c r="G295" s="27">
        <v>320</v>
      </c>
      <c r="H295" s="27">
        <v>130</v>
      </c>
      <c r="I295" s="27">
        <f>+IFERROR(VLOOKUP(A295,'[1]Pending Dispatch'!$N$2:$O$651,2,0),0)</f>
        <v>60</v>
      </c>
      <c r="J295" s="27">
        <f t="shared" si="4"/>
        <v>70</v>
      </c>
      <c r="K295" s="28">
        <v>2.15</v>
      </c>
      <c r="L295" s="28">
        <v>2.4510000000000001</v>
      </c>
      <c r="M295" s="26">
        <v>439.6</v>
      </c>
      <c r="N295" s="26">
        <v>30772</v>
      </c>
    </row>
    <row r="296" spans="1:14" ht="15" customHeight="1" x14ac:dyDescent="0.3">
      <c r="A296" s="25" t="s">
        <v>584</v>
      </c>
      <c r="B296" s="26" t="s">
        <v>585</v>
      </c>
      <c r="C296" s="26" t="s">
        <v>579</v>
      </c>
      <c r="D296" s="27">
        <v>15</v>
      </c>
      <c r="E296" s="27">
        <v>1515</v>
      </c>
      <c r="F296" s="27">
        <v>45</v>
      </c>
      <c r="G296" s="27">
        <v>0</v>
      </c>
      <c r="H296" s="27">
        <v>1560</v>
      </c>
      <c r="I296" s="27">
        <f>+IFERROR(VLOOKUP(A296,'[1]Pending Dispatch'!$N$2:$O$651,2,0),0)</f>
        <v>0</v>
      </c>
      <c r="J296" s="27">
        <f t="shared" si="4"/>
        <v>1560</v>
      </c>
      <c r="K296" s="28">
        <v>2.87</v>
      </c>
      <c r="L296" s="28">
        <v>5.2951500000000005</v>
      </c>
      <c r="M296" s="26">
        <v>473.1</v>
      </c>
      <c r="N296" s="26">
        <v>738036</v>
      </c>
    </row>
    <row r="297" spans="1:14" ht="15" customHeight="1" x14ac:dyDescent="0.3">
      <c r="A297" s="25" t="s">
        <v>586</v>
      </c>
      <c r="B297" s="26" t="s">
        <v>587</v>
      </c>
      <c r="C297" s="26" t="s">
        <v>579</v>
      </c>
      <c r="D297" s="27">
        <v>10</v>
      </c>
      <c r="E297" s="27">
        <v>160</v>
      </c>
      <c r="F297" s="27">
        <v>0</v>
      </c>
      <c r="G297" s="27">
        <v>0</v>
      </c>
      <c r="H297" s="27">
        <v>160</v>
      </c>
      <c r="I297" s="27">
        <f>+IFERROR(VLOOKUP(A297,'[1]Pending Dispatch'!$N$2:$O$651,2,0),0)</f>
        <v>0</v>
      </c>
      <c r="J297" s="27">
        <f t="shared" si="4"/>
        <v>160</v>
      </c>
      <c r="K297" s="28">
        <v>3.45</v>
      </c>
      <c r="L297" s="28">
        <v>0.97635000000000005</v>
      </c>
      <c r="M297" s="26">
        <v>581.4</v>
      </c>
      <c r="N297" s="26">
        <v>93024</v>
      </c>
    </row>
    <row r="298" spans="1:14" ht="15" customHeight="1" x14ac:dyDescent="0.3">
      <c r="A298" s="25" t="s">
        <v>588</v>
      </c>
      <c r="B298" s="26" t="s">
        <v>589</v>
      </c>
      <c r="C298" s="26" t="s">
        <v>579</v>
      </c>
      <c r="D298" s="27">
        <v>8</v>
      </c>
      <c r="E298" s="27">
        <v>972</v>
      </c>
      <c r="F298" s="27">
        <v>0</v>
      </c>
      <c r="G298" s="27">
        <v>4</v>
      </c>
      <c r="H298" s="27">
        <v>968</v>
      </c>
      <c r="I298" s="27">
        <f>+IFERROR(VLOOKUP(A298,'[1]Pending Dispatch'!$N$2:$O$651,2,0),0)</f>
        <v>280</v>
      </c>
      <c r="J298" s="27">
        <f t="shared" si="4"/>
        <v>688</v>
      </c>
      <c r="K298" s="28">
        <v>4.78</v>
      </c>
      <c r="L298" s="28">
        <v>4.7608800000000002</v>
      </c>
      <c r="M298" s="26">
        <v>695</v>
      </c>
      <c r="N298" s="26">
        <v>478160</v>
      </c>
    </row>
    <row r="299" spans="1:14" ht="15" customHeight="1" x14ac:dyDescent="0.3">
      <c r="A299" s="25" t="s">
        <v>590</v>
      </c>
      <c r="B299" s="26" t="s">
        <v>591</v>
      </c>
      <c r="C299" s="26" t="s">
        <v>579</v>
      </c>
      <c r="D299" s="27">
        <v>5</v>
      </c>
      <c r="E299" s="27">
        <v>298</v>
      </c>
      <c r="F299" s="27">
        <v>0</v>
      </c>
      <c r="G299" s="27">
        <v>0</v>
      </c>
      <c r="H299" s="27">
        <v>298</v>
      </c>
      <c r="I299" s="27">
        <f>+IFERROR(VLOOKUP(A299,'[1]Pending Dispatch'!$N$2:$O$651,2,0),0)</f>
        <v>0</v>
      </c>
      <c r="J299" s="27">
        <f t="shared" si="4"/>
        <v>298</v>
      </c>
      <c r="K299" s="28">
        <v>7.3</v>
      </c>
      <c r="L299" s="28">
        <v>2.3578999999999999</v>
      </c>
      <c r="M299" s="26">
        <v>682.1</v>
      </c>
      <c r="N299" s="26">
        <v>203265.80000000002</v>
      </c>
    </row>
    <row r="300" spans="1:14" ht="15" customHeight="1" x14ac:dyDescent="0.3">
      <c r="A300" s="25" t="s">
        <v>592</v>
      </c>
      <c r="B300" s="26" t="s">
        <v>593</v>
      </c>
      <c r="C300" s="26" t="s">
        <v>579</v>
      </c>
      <c r="D300" s="27">
        <v>4</v>
      </c>
      <c r="E300" s="27">
        <v>0</v>
      </c>
      <c r="F300" s="27">
        <v>216</v>
      </c>
      <c r="G300" s="27">
        <v>11</v>
      </c>
      <c r="H300" s="27">
        <v>205</v>
      </c>
      <c r="I300" s="27">
        <f>+IFERROR(VLOOKUP(A300,'[1]Pending Dispatch'!$N$2:$O$651,2,0),0)</f>
        <v>0</v>
      </c>
      <c r="J300" s="27">
        <f t="shared" si="4"/>
        <v>205</v>
      </c>
      <c r="K300" s="28">
        <v>9.5</v>
      </c>
      <c r="L300" s="28">
        <v>0</v>
      </c>
      <c r="M300" s="26">
        <v>2610</v>
      </c>
      <c r="N300" s="26">
        <v>535050</v>
      </c>
    </row>
    <row r="301" spans="1:14" ht="15" customHeight="1" x14ac:dyDescent="0.3">
      <c r="A301" s="25" t="s">
        <v>594</v>
      </c>
      <c r="B301" s="26" t="s">
        <v>595</v>
      </c>
      <c r="C301" s="26" t="s">
        <v>579</v>
      </c>
      <c r="D301" s="27">
        <v>2</v>
      </c>
      <c r="E301" s="27">
        <v>32</v>
      </c>
      <c r="F301" s="27">
        <v>216</v>
      </c>
      <c r="G301" s="27">
        <v>234</v>
      </c>
      <c r="H301" s="27">
        <v>14</v>
      </c>
      <c r="I301" s="27">
        <f>+IFERROR(VLOOKUP(A301,'[1]Pending Dispatch'!$N$2:$O$651,2,0),0)</f>
        <v>0</v>
      </c>
      <c r="J301" s="27">
        <f t="shared" si="4"/>
        <v>14</v>
      </c>
      <c r="K301" s="28">
        <v>13.5</v>
      </c>
      <c r="L301" s="28">
        <v>0.6885</v>
      </c>
      <c r="M301" s="26">
        <v>3810</v>
      </c>
      <c r="N301" s="26">
        <v>53340</v>
      </c>
    </row>
    <row r="302" spans="1:14" ht="15" customHeight="1" x14ac:dyDescent="0.3">
      <c r="A302" s="25" t="s">
        <v>596</v>
      </c>
      <c r="B302" s="26" t="s">
        <v>597</v>
      </c>
      <c r="C302" s="26" t="s">
        <v>579</v>
      </c>
      <c r="D302" s="27">
        <v>1</v>
      </c>
      <c r="E302" s="27">
        <v>1</v>
      </c>
      <c r="F302" s="27">
        <v>0</v>
      </c>
      <c r="G302" s="27">
        <v>0</v>
      </c>
      <c r="H302" s="27">
        <v>1</v>
      </c>
      <c r="I302" s="27">
        <f>+IFERROR(VLOOKUP(A302,'[1]Pending Dispatch'!$N$2:$O$651,2,0),0)</f>
        <v>0</v>
      </c>
      <c r="J302" s="27">
        <f t="shared" si="4"/>
        <v>1</v>
      </c>
      <c r="K302" s="28">
        <v>0</v>
      </c>
      <c r="L302" s="28">
        <v>0</v>
      </c>
      <c r="M302" s="26">
        <v>7242</v>
      </c>
      <c r="N302" s="26">
        <v>7242</v>
      </c>
    </row>
    <row r="303" spans="1:14" ht="15.6" customHeight="1" x14ac:dyDescent="0.3">
      <c r="A303" s="25" t="s">
        <v>598</v>
      </c>
      <c r="B303" s="26" t="s">
        <v>599</v>
      </c>
      <c r="C303" s="26" t="s">
        <v>579</v>
      </c>
      <c r="D303" s="27">
        <v>30</v>
      </c>
      <c r="E303" s="27">
        <v>9930</v>
      </c>
      <c r="F303" s="27">
        <v>1950</v>
      </c>
      <c r="G303" s="27">
        <v>9930</v>
      </c>
      <c r="H303" s="27">
        <v>1950</v>
      </c>
      <c r="I303" s="27">
        <f>+IFERROR(VLOOKUP(A303,'[1]Pending Dispatch'!$N$2:$O$651,2,0),0)</f>
        <v>10710</v>
      </c>
      <c r="J303" s="27">
        <f t="shared" si="4"/>
        <v>-8760</v>
      </c>
      <c r="K303" s="28">
        <v>0.85</v>
      </c>
      <c r="L303" s="28">
        <v>3.7161999999999997</v>
      </c>
      <c r="M303" s="26">
        <v>3.43</v>
      </c>
      <c r="N303" s="26">
        <v>-10907.4</v>
      </c>
    </row>
    <row r="304" spans="1:14" ht="15" customHeight="1" x14ac:dyDescent="0.3">
      <c r="A304" s="25" t="s">
        <v>600</v>
      </c>
      <c r="B304" s="26" t="s">
        <v>601</v>
      </c>
      <c r="C304" s="26" t="s">
        <v>579</v>
      </c>
      <c r="D304" s="27">
        <v>25</v>
      </c>
      <c r="E304" s="27">
        <v>8000</v>
      </c>
      <c r="F304" s="27">
        <v>10325</v>
      </c>
      <c r="G304" s="27">
        <v>10650</v>
      </c>
      <c r="H304" s="27">
        <v>7675</v>
      </c>
      <c r="I304" s="27">
        <f>+IFERROR(VLOOKUP(A304,'[1]Pending Dispatch'!$N$2:$O$651,2,0),0)</f>
        <v>3000</v>
      </c>
      <c r="J304" s="27">
        <f t="shared" si="4"/>
        <v>4675</v>
      </c>
      <c r="K304" s="28">
        <v>1.1299999999999999</v>
      </c>
      <c r="L304" s="28">
        <v>0.56613000000000002</v>
      </c>
      <c r="M304" s="26">
        <v>6.86</v>
      </c>
      <c r="N304" s="26">
        <v>32070.5</v>
      </c>
    </row>
    <row r="305" spans="1:14" ht="15" customHeight="1" x14ac:dyDescent="0.3">
      <c r="A305" s="25" t="s">
        <v>602</v>
      </c>
      <c r="B305" s="26" t="s">
        <v>603</v>
      </c>
      <c r="C305" s="26" t="s">
        <v>579</v>
      </c>
      <c r="D305" s="27">
        <v>20</v>
      </c>
      <c r="E305" s="27">
        <v>10091</v>
      </c>
      <c r="F305" s="27">
        <v>37480</v>
      </c>
      <c r="G305" s="27">
        <v>23390</v>
      </c>
      <c r="H305" s="27">
        <v>24181</v>
      </c>
      <c r="I305" s="27">
        <f>+IFERROR(VLOOKUP(A305,'[1]Pending Dispatch'!$N$2:$O$651,2,0),0)</f>
        <v>18880</v>
      </c>
      <c r="J305" s="27">
        <f t="shared" si="4"/>
        <v>5301</v>
      </c>
      <c r="K305" s="28">
        <v>1.61</v>
      </c>
      <c r="L305" s="28">
        <v>3.3987099999999999</v>
      </c>
      <c r="M305" s="26">
        <v>13.72</v>
      </c>
      <c r="N305" s="26">
        <v>72729.72</v>
      </c>
    </row>
    <row r="306" spans="1:14" ht="15" customHeight="1" x14ac:dyDescent="0.3">
      <c r="A306" s="25" t="s">
        <v>604</v>
      </c>
      <c r="B306" s="26" t="s">
        <v>605</v>
      </c>
      <c r="C306" s="26" t="s">
        <v>579</v>
      </c>
      <c r="D306" s="27">
        <v>15</v>
      </c>
      <c r="E306" s="27">
        <v>2295</v>
      </c>
      <c r="F306" s="27">
        <v>1170</v>
      </c>
      <c r="G306" s="27">
        <v>1900</v>
      </c>
      <c r="H306" s="27">
        <v>1565</v>
      </c>
      <c r="I306" s="27">
        <f>+IFERROR(VLOOKUP(A306,'[1]Pending Dispatch'!$N$2:$O$651,2,0),0)</f>
        <v>1830</v>
      </c>
      <c r="J306" s="27">
        <f t="shared" si="4"/>
        <v>-265</v>
      </c>
      <c r="K306" s="28">
        <v>2.2200000000000002</v>
      </c>
      <c r="L306" s="28">
        <v>3.52536</v>
      </c>
      <c r="M306" s="26">
        <v>19.600000000000001</v>
      </c>
      <c r="N306" s="26">
        <v>-5194</v>
      </c>
    </row>
    <row r="307" spans="1:14" ht="15" customHeight="1" x14ac:dyDescent="0.3">
      <c r="A307" s="25" t="s">
        <v>606</v>
      </c>
      <c r="B307" s="26" t="s">
        <v>607</v>
      </c>
      <c r="C307" s="26" t="s">
        <v>579</v>
      </c>
      <c r="D307" s="27">
        <v>10</v>
      </c>
      <c r="E307" s="27">
        <v>0</v>
      </c>
      <c r="F307" s="27">
        <v>3700</v>
      </c>
      <c r="G307" s="27">
        <v>1310</v>
      </c>
      <c r="H307" s="27">
        <v>2390</v>
      </c>
      <c r="I307" s="27">
        <f>+IFERROR(VLOOKUP(A307,'[1]Pending Dispatch'!$N$2:$O$651,2,0),0)</f>
        <v>640</v>
      </c>
      <c r="J307" s="27">
        <f t="shared" si="4"/>
        <v>1750</v>
      </c>
      <c r="K307" s="28">
        <v>2.67</v>
      </c>
      <c r="L307" s="28">
        <v>2.6459699999999997</v>
      </c>
      <c r="M307" s="26">
        <v>6.37</v>
      </c>
      <c r="N307" s="26">
        <v>11147.5</v>
      </c>
    </row>
    <row r="308" spans="1:14" ht="15" customHeight="1" x14ac:dyDescent="0.3">
      <c r="A308" s="25" t="s">
        <v>608</v>
      </c>
      <c r="B308" s="26" t="s">
        <v>609</v>
      </c>
      <c r="C308" s="26" t="s">
        <v>579</v>
      </c>
      <c r="D308" s="27">
        <v>8</v>
      </c>
      <c r="E308" s="27">
        <v>1552</v>
      </c>
      <c r="F308" s="27">
        <v>0</v>
      </c>
      <c r="G308" s="27">
        <v>312</v>
      </c>
      <c r="H308" s="27">
        <v>1240</v>
      </c>
      <c r="I308" s="27">
        <f>+IFERROR(VLOOKUP(A308,'[1]Pending Dispatch'!$N$2:$O$651,2,0),0)</f>
        <v>560</v>
      </c>
      <c r="J308" s="27">
        <f t="shared" si="4"/>
        <v>680</v>
      </c>
      <c r="K308" s="28">
        <v>3.57</v>
      </c>
      <c r="L308" s="28">
        <v>1.1638199999999999</v>
      </c>
      <c r="M308" s="26">
        <v>15.68</v>
      </c>
      <c r="N308" s="26">
        <v>10662.4</v>
      </c>
    </row>
    <row r="309" spans="1:14" ht="15" customHeight="1" x14ac:dyDescent="0.3">
      <c r="A309" s="25" t="s">
        <v>610</v>
      </c>
      <c r="B309" s="26" t="s">
        <v>611</v>
      </c>
      <c r="C309" s="26" t="s">
        <v>579</v>
      </c>
      <c r="D309" s="27">
        <v>5</v>
      </c>
      <c r="E309" s="27">
        <v>350</v>
      </c>
      <c r="F309" s="27">
        <v>0</v>
      </c>
      <c r="G309" s="27">
        <v>30</v>
      </c>
      <c r="H309" s="27">
        <v>320</v>
      </c>
      <c r="I309" s="27">
        <f>+IFERROR(VLOOKUP(A309,'[1]Pending Dispatch'!$N$2:$O$651,2,0),0)</f>
        <v>0</v>
      </c>
      <c r="J309" s="27">
        <f t="shared" si="4"/>
        <v>320</v>
      </c>
      <c r="K309" s="28">
        <v>5.6</v>
      </c>
      <c r="L309" s="28">
        <v>2.2400000000000002</v>
      </c>
      <c r="M309" s="26">
        <v>22.05</v>
      </c>
      <c r="N309" s="26">
        <v>7056</v>
      </c>
    </row>
    <row r="310" spans="1:14" ht="15" customHeight="1" x14ac:dyDescent="0.3">
      <c r="A310" s="25" t="s">
        <v>612</v>
      </c>
      <c r="B310" s="26" t="s">
        <v>613</v>
      </c>
      <c r="C310" s="26" t="s">
        <v>579</v>
      </c>
      <c r="D310" s="27">
        <v>4</v>
      </c>
      <c r="E310" s="27">
        <v>380</v>
      </c>
      <c r="F310" s="27">
        <v>0</v>
      </c>
      <c r="G310" s="27">
        <v>48</v>
      </c>
      <c r="H310" s="27">
        <v>332</v>
      </c>
      <c r="I310" s="27">
        <f>+IFERROR(VLOOKUP(A310,'[1]Pending Dispatch'!$N$2:$O$651,2,0),0)</f>
        <v>0</v>
      </c>
      <c r="J310" s="27">
        <f t="shared" si="4"/>
        <v>332</v>
      </c>
      <c r="K310" s="28">
        <v>6.7</v>
      </c>
      <c r="L310" s="28">
        <v>3.0819999999999999</v>
      </c>
      <c r="M310" s="26"/>
      <c r="N310" s="26">
        <v>0</v>
      </c>
    </row>
    <row r="311" spans="1:14" ht="15" customHeight="1" x14ac:dyDescent="0.3">
      <c r="A311" s="25" t="s">
        <v>614</v>
      </c>
      <c r="B311" s="26" t="s">
        <v>615</v>
      </c>
      <c r="C311" s="26" t="s">
        <v>579</v>
      </c>
      <c r="D311" s="27">
        <v>2</v>
      </c>
      <c r="E311" s="27">
        <v>241</v>
      </c>
      <c r="F311" s="27">
        <v>0</v>
      </c>
      <c r="G311" s="27">
        <v>0</v>
      </c>
      <c r="H311" s="27">
        <v>241</v>
      </c>
      <c r="I311" s="27">
        <f>+IFERROR(VLOOKUP(A311,'[1]Pending Dispatch'!$N$2:$O$651,2,0),0)</f>
        <v>0</v>
      </c>
      <c r="J311" s="27">
        <f t="shared" si="4"/>
        <v>241</v>
      </c>
      <c r="K311" s="28">
        <v>10.6</v>
      </c>
      <c r="L311" s="28">
        <v>2.7665999999999999</v>
      </c>
      <c r="M311" s="26">
        <v>21.56</v>
      </c>
      <c r="N311" s="26">
        <v>5195.96</v>
      </c>
    </row>
    <row r="312" spans="1:14" ht="15" customHeight="1" x14ac:dyDescent="0.3">
      <c r="A312" s="25" t="s">
        <v>616</v>
      </c>
      <c r="B312" s="26" t="s">
        <v>617</v>
      </c>
      <c r="C312" s="26" t="s">
        <v>579</v>
      </c>
      <c r="D312" s="27">
        <v>1</v>
      </c>
      <c r="E312" s="27">
        <v>6</v>
      </c>
      <c r="F312" s="27">
        <v>0</v>
      </c>
      <c r="G312" s="27">
        <v>0</v>
      </c>
      <c r="H312" s="27">
        <v>6</v>
      </c>
      <c r="I312" s="27">
        <f>+IFERROR(VLOOKUP(A312,'[1]Pending Dispatch'!$N$2:$O$651,2,0),0)</f>
        <v>0</v>
      </c>
      <c r="J312" s="27">
        <f t="shared" si="4"/>
        <v>6</v>
      </c>
      <c r="K312" s="28">
        <v>18.5</v>
      </c>
      <c r="L312" s="28">
        <v>0.111</v>
      </c>
      <c r="M312" s="26"/>
      <c r="N312" s="26">
        <v>0</v>
      </c>
    </row>
    <row r="313" spans="1:14" ht="15" customHeight="1" x14ac:dyDescent="0.3">
      <c r="A313" s="25" t="s">
        <v>618</v>
      </c>
      <c r="B313" s="26" t="s">
        <v>578</v>
      </c>
      <c r="C313" s="26" t="s">
        <v>579</v>
      </c>
      <c r="D313" s="27">
        <v>30</v>
      </c>
      <c r="E313" s="27">
        <v>421</v>
      </c>
      <c r="F313" s="27">
        <v>0</v>
      </c>
      <c r="G313" s="27">
        <v>120</v>
      </c>
      <c r="H313" s="27">
        <v>301</v>
      </c>
      <c r="I313" s="27">
        <f>+IFERROR(VLOOKUP(A313,'[1]Pending Dispatch'!$N$2:$O$651,2,0),0)</f>
        <v>300</v>
      </c>
      <c r="J313" s="27">
        <f t="shared" si="4"/>
        <v>1</v>
      </c>
      <c r="K313" s="28">
        <v>2.2000000000000002</v>
      </c>
      <c r="L313" s="28">
        <v>1.8502000000000001</v>
      </c>
      <c r="M313" s="26">
        <v>36.26</v>
      </c>
      <c r="N313" s="26">
        <v>36.26</v>
      </c>
    </row>
    <row r="314" spans="1:14" ht="15" customHeight="1" x14ac:dyDescent="0.3">
      <c r="A314" s="25" t="s">
        <v>619</v>
      </c>
      <c r="B314" s="26" t="s">
        <v>581</v>
      </c>
      <c r="C314" s="26" t="s">
        <v>579</v>
      </c>
      <c r="D314" s="27">
        <v>25</v>
      </c>
      <c r="E314" s="27">
        <v>1395</v>
      </c>
      <c r="F314" s="27">
        <v>0</v>
      </c>
      <c r="G314" s="27">
        <v>175</v>
      </c>
      <c r="H314" s="27">
        <v>1220</v>
      </c>
      <c r="I314" s="27">
        <f>+IFERROR(VLOOKUP(A314,'[1]Pending Dispatch'!$N$2:$O$651,2,0),0)</f>
        <v>602</v>
      </c>
      <c r="J314" s="27">
        <f t="shared" si="4"/>
        <v>618</v>
      </c>
      <c r="K314" s="28">
        <v>2.9</v>
      </c>
      <c r="L314" s="28">
        <v>1.1599999999999999</v>
      </c>
      <c r="M314" s="26">
        <v>48.4</v>
      </c>
      <c r="N314" s="26">
        <v>29911.200000000001</v>
      </c>
    </row>
    <row r="315" spans="1:14" ht="15" customHeight="1" x14ac:dyDescent="0.3">
      <c r="A315" s="25" t="s">
        <v>620</v>
      </c>
      <c r="B315" s="26" t="s">
        <v>583</v>
      </c>
      <c r="C315" s="26" t="s">
        <v>579</v>
      </c>
      <c r="D315" s="27">
        <v>20</v>
      </c>
      <c r="E315" s="27">
        <v>600</v>
      </c>
      <c r="F315" s="27">
        <v>0</v>
      </c>
      <c r="G315" s="27">
        <v>120</v>
      </c>
      <c r="H315" s="27">
        <v>480</v>
      </c>
      <c r="I315" s="27">
        <f>+IFERROR(VLOOKUP(A315,'[1]Pending Dispatch'!$N$2:$O$651,2,0),0)</f>
        <v>426</v>
      </c>
      <c r="J315" s="27">
        <f t="shared" si="4"/>
        <v>54</v>
      </c>
      <c r="K315" s="28">
        <v>4.3</v>
      </c>
      <c r="L315" s="28">
        <v>0.25800000000000001</v>
      </c>
      <c r="M315" s="26">
        <v>53.8</v>
      </c>
      <c r="N315" s="26">
        <v>2905.2</v>
      </c>
    </row>
    <row r="316" spans="1:14" ht="14.4" customHeight="1" x14ac:dyDescent="0.3">
      <c r="A316" s="25" t="s">
        <v>621</v>
      </c>
      <c r="B316" s="26" t="s">
        <v>585</v>
      </c>
      <c r="C316" s="26" t="s">
        <v>579</v>
      </c>
      <c r="D316" s="27">
        <v>15</v>
      </c>
      <c r="E316" s="27">
        <v>240</v>
      </c>
      <c r="F316" s="27">
        <v>0</v>
      </c>
      <c r="G316" s="27">
        <v>30</v>
      </c>
      <c r="H316" s="27">
        <v>210</v>
      </c>
      <c r="I316" s="27">
        <f>+IFERROR(VLOOKUP(A316,'[1]Pending Dispatch'!$N$2:$O$651,2,0),0)</f>
        <v>90</v>
      </c>
      <c r="J316" s="27">
        <f t="shared" si="4"/>
        <v>120</v>
      </c>
      <c r="K316" s="28">
        <v>5.74</v>
      </c>
      <c r="L316" s="28">
        <v>2.4108000000000001</v>
      </c>
      <c r="M316" s="26">
        <v>69.2</v>
      </c>
      <c r="N316" s="26">
        <v>8304</v>
      </c>
    </row>
    <row r="317" spans="1:14" ht="15" customHeight="1" x14ac:dyDescent="0.3">
      <c r="A317" s="25" t="s">
        <v>622</v>
      </c>
      <c r="B317" s="26" t="s">
        <v>587</v>
      </c>
      <c r="C317" s="26" t="s">
        <v>579</v>
      </c>
      <c r="D317" s="27">
        <v>10</v>
      </c>
      <c r="E317" s="27">
        <v>330</v>
      </c>
      <c r="F317" s="27">
        <v>0</v>
      </c>
      <c r="G317" s="27">
        <v>0</v>
      </c>
      <c r="H317" s="27">
        <v>330</v>
      </c>
      <c r="I317" s="27">
        <f>+IFERROR(VLOOKUP(A317,'[1]Pending Dispatch'!$N$2:$O$651,2,0),0)</f>
        <v>30</v>
      </c>
      <c r="J317" s="27">
        <f t="shared" si="4"/>
        <v>300</v>
      </c>
      <c r="K317" s="28">
        <v>6.9</v>
      </c>
      <c r="L317" s="28">
        <v>0.13800000000000001</v>
      </c>
      <c r="M317" s="26">
        <v>72.900000000000006</v>
      </c>
      <c r="N317" s="26">
        <v>21870</v>
      </c>
    </row>
    <row r="318" spans="1:14" ht="15" customHeight="1" x14ac:dyDescent="0.3">
      <c r="A318" s="25" t="s">
        <v>623</v>
      </c>
      <c r="B318" s="26" t="s">
        <v>589</v>
      </c>
      <c r="C318" s="26" t="s">
        <v>579</v>
      </c>
      <c r="D318" s="27">
        <v>8</v>
      </c>
      <c r="E318" s="27">
        <v>16</v>
      </c>
      <c r="F318" s="27">
        <v>0</v>
      </c>
      <c r="G318" s="27">
        <v>0</v>
      </c>
      <c r="H318" s="27">
        <v>16</v>
      </c>
      <c r="I318" s="27">
        <f>+IFERROR(VLOOKUP(A318,'[1]Pending Dispatch'!$N$2:$O$651,2,0),0)</f>
        <v>8</v>
      </c>
      <c r="J318" s="27">
        <f t="shared" si="4"/>
        <v>8</v>
      </c>
      <c r="K318" s="28">
        <v>9.56</v>
      </c>
      <c r="L318" s="28">
        <v>0</v>
      </c>
      <c r="M318" s="26">
        <v>80.400000000000006</v>
      </c>
      <c r="N318" s="26">
        <v>643.20000000000005</v>
      </c>
    </row>
    <row r="319" spans="1:14" ht="15" customHeight="1" x14ac:dyDescent="0.3">
      <c r="A319" s="25" t="s">
        <v>624</v>
      </c>
      <c r="B319" s="26" t="s">
        <v>591</v>
      </c>
      <c r="C319" s="26" t="s">
        <v>579</v>
      </c>
      <c r="D319" s="27">
        <v>5</v>
      </c>
      <c r="E319" s="27">
        <v>167</v>
      </c>
      <c r="F319" s="27">
        <v>0</v>
      </c>
      <c r="G319" s="27">
        <v>0</v>
      </c>
      <c r="H319" s="27">
        <v>167</v>
      </c>
      <c r="I319" s="27">
        <f>+IFERROR(VLOOKUP(A319,'[1]Pending Dispatch'!$N$2:$O$651,2,0),0)</f>
        <v>140</v>
      </c>
      <c r="J319" s="27">
        <f t="shared" si="4"/>
        <v>27</v>
      </c>
      <c r="K319" s="28">
        <v>14.599999999999998</v>
      </c>
      <c r="L319" s="28">
        <v>2.4381999999999997</v>
      </c>
      <c r="M319" s="26">
        <v>110.1</v>
      </c>
      <c r="N319" s="26">
        <v>2972.7</v>
      </c>
    </row>
    <row r="320" spans="1:14" ht="15" customHeight="1" x14ac:dyDescent="0.3">
      <c r="A320" s="25" t="s">
        <v>625</v>
      </c>
      <c r="B320" s="26" t="s">
        <v>593</v>
      </c>
      <c r="C320" s="26" t="s">
        <v>579</v>
      </c>
      <c r="D320" s="27">
        <v>4</v>
      </c>
      <c r="E320" s="27">
        <v>14</v>
      </c>
      <c r="F320" s="27">
        <v>0</v>
      </c>
      <c r="G320" s="27">
        <v>0</v>
      </c>
      <c r="H320" s="27">
        <v>14</v>
      </c>
      <c r="I320" s="27">
        <f>+IFERROR(VLOOKUP(A320,'[1]Pending Dispatch'!$N$2:$O$651,2,0),0)</f>
        <v>0</v>
      </c>
      <c r="J320" s="27">
        <f t="shared" si="4"/>
        <v>14</v>
      </c>
      <c r="K320" s="28">
        <v>19</v>
      </c>
      <c r="L320" s="28">
        <v>0.45600000000000002</v>
      </c>
      <c r="M320" s="26">
        <v>116.2</v>
      </c>
      <c r="N320" s="26">
        <v>1626.8</v>
      </c>
    </row>
    <row r="321" spans="1:14" ht="15" customHeight="1" x14ac:dyDescent="0.3">
      <c r="A321" s="25" t="s">
        <v>626</v>
      </c>
      <c r="B321" s="26" t="s">
        <v>595</v>
      </c>
      <c r="C321" s="26" t="s">
        <v>579</v>
      </c>
      <c r="D321" s="27">
        <v>2</v>
      </c>
      <c r="E321" s="27">
        <v>181</v>
      </c>
      <c r="F321" s="27">
        <v>0</v>
      </c>
      <c r="G321" s="27">
        <v>0</v>
      </c>
      <c r="H321" s="27">
        <v>181</v>
      </c>
      <c r="I321" s="27">
        <f>+IFERROR(VLOOKUP(A321,'[1]Pending Dispatch'!$N$2:$O$651,2,0),0)</f>
        <v>0</v>
      </c>
      <c r="J321" s="27">
        <f t="shared" si="4"/>
        <v>181</v>
      </c>
      <c r="K321" s="28">
        <v>27</v>
      </c>
      <c r="L321" s="28">
        <v>4.8869999999999996</v>
      </c>
      <c r="M321" s="26">
        <v>124.1</v>
      </c>
      <c r="N321" s="26">
        <v>22462.1</v>
      </c>
    </row>
    <row r="322" spans="1:14" ht="15" customHeight="1" x14ac:dyDescent="0.3">
      <c r="A322" s="25" t="s">
        <v>627</v>
      </c>
      <c r="B322" s="26" t="s">
        <v>628</v>
      </c>
      <c r="C322" s="26" t="s">
        <v>579</v>
      </c>
      <c r="D322" s="27">
        <v>0</v>
      </c>
      <c r="E322" s="27">
        <v>0</v>
      </c>
      <c r="F322" s="27">
        <v>0</v>
      </c>
      <c r="G322" s="27">
        <v>0</v>
      </c>
      <c r="H322" s="27">
        <v>0</v>
      </c>
      <c r="I322" s="27">
        <f>+IFERROR(VLOOKUP(A322,'[1]Pending Dispatch'!$N$2:$O$651,2,0),0)</f>
        <v>0</v>
      </c>
      <c r="J322" s="27">
        <f t="shared" si="4"/>
        <v>0</v>
      </c>
      <c r="K322" s="28">
        <v>0</v>
      </c>
      <c r="L322" s="28">
        <v>0</v>
      </c>
      <c r="M322" s="26">
        <v>207.9</v>
      </c>
      <c r="N322" s="26">
        <v>0</v>
      </c>
    </row>
    <row r="323" spans="1:14" ht="15" customHeight="1" x14ac:dyDescent="0.3">
      <c r="A323" s="25" t="s">
        <v>629</v>
      </c>
      <c r="B323" s="26" t="s">
        <v>599</v>
      </c>
      <c r="C323" s="26" t="s">
        <v>579</v>
      </c>
      <c r="D323" s="27">
        <v>30</v>
      </c>
      <c r="E323" s="27">
        <v>620</v>
      </c>
      <c r="F323" s="27">
        <v>2970</v>
      </c>
      <c r="G323" s="27">
        <v>1260</v>
      </c>
      <c r="H323" s="27">
        <v>2330</v>
      </c>
      <c r="I323" s="27">
        <f>+IFERROR(VLOOKUP(A323,'[1]Pending Dispatch'!$N$2:$O$651,2,0),0)</f>
        <v>1800</v>
      </c>
      <c r="J323" s="27">
        <f t="shared" si="4"/>
        <v>530</v>
      </c>
      <c r="K323" s="28">
        <v>1.7</v>
      </c>
      <c r="L323" s="28">
        <v>1.9125000000000001</v>
      </c>
      <c r="M323" s="26">
        <v>304.10000000000002</v>
      </c>
      <c r="N323" s="26">
        <v>161173</v>
      </c>
    </row>
    <row r="324" spans="1:14" ht="15" customHeight="1" x14ac:dyDescent="0.3">
      <c r="A324" s="25" t="s">
        <v>630</v>
      </c>
      <c r="B324" s="26" t="s">
        <v>601</v>
      </c>
      <c r="C324" s="26" t="s">
        <v>579</v>
      </c>
      <c r="D324" s="27">
        <v>25</v>
      </c>
      <c r="E324" s="27">
        <v>2625</v>
      </c>
      <c r="F324" s="27">
        <v>4000</v>
      </c>
      <c r="G324" s="27">
        <v>2200</v>
      </c>
      <c r="H324" s="27">
        <v>4425</v>
      </c>
      <c r="I324" s="27">
        <f>+IFERROR(VLOOKUP(A324,'[1]Pending Dispatch'!$N$2:$O$651,2,0),0)</f>
        <v>1475</v>
      </c>
      <c r="J324" s="27">
        <f t="shared" si="4"/>
        <v>2950</v>
      </c>
      <c r="K324" s="28">
        <v>2.2599999999999998</v>
      </c>
      <c r="L324" s="28">
        <v>3.6724999999999994</v>
      </c>
      <c r="M324" s="26"/>
      <c r="N324" s="26">
        <v>0</v>
      </c>
    </row>
    <row r="325" spans="1:14" ht="15" customHeight="1" x14ac:dyDescent="0.3">
      <c r="A325" s="25" t="s">
        <v>631</v>
      </c>
      <c r="B325" s="26" t="s">
        <v>603</v>
      </c>
      <c r="C325" s="26" t="s">
        <v>579</v>
      </c>
      <c r="D325" s="27">
        <v>20</v>
      </c>
      <c r="E325" s="27">
        <v>3280</v>
      </c>
      <c r="F325" s="27">
        <v>4620</v>
      </c>
      <c r="G325" s="27">
        <v>5160</v>
      </c>
      <c r="H325" s="27">
        <v>2740</v>
      </c>
      <c r="I325" s="27">
        <f>+IFERROR(VLOOKUP(A325,'[1]Pending Dispatch'!$N$2:$O$651,2,0),0)</f>
        <v>3520</v>
      </c>
      <c r="J325" s="27">
        <f t="shared" si="4"/>
        <v>-780</v>
      </c>
      <c r="K325" s="28">
        <v>3.2200000000000006</v>
      </c>
      <c r="L325" s="28">
        <v>644.00000000000011</v>
      </c>
      <c r="M325" s="26">
        <v>794</v>
      </c>
      <c r="N325" s="26">
        <v>-619320</v>
      </c>
    </row>
    <row r="326" spans="1:14" ht="15" customHeight="1" x14ac:dyDescent="0.3">
      <c r="A326" s="25" t="s">
        <v>632</v>
      </c>
      <c r="B326" s="26" t="s">
        <v>605</v>
      </c>
      <c r="C326" s="26" t="s">
        <v>579</v>
      </c>
      <c r="D326" s="27">
        <v>15</v>
      </c>
      <c r="E326" s="27">
        <v>2850</v>
      </c>
      <c r="F326" s="27">
        <v>810</v>
      </c>
      <c r="G326" s="27">
        <v>2955</v>
      </c>
      <c r="H326" s="27">
        <v>705</v>
      </c>
      <c r="I326" s="27">
        <f>+IFERROR(VLOOKUP(A326,'[1]Pending Dispatch'!$N$2:$O$651,2,0),0)</f>
        <v>690</v>
      </c>
      <c r="J326" s="27">
        <f t="shared" ref="J326:J389" si="5">+H326-I326</f>
        <v>15</v>
      </c>
      <c r="K326" s="28">
        <v>4.4400000000000004</v>
      </c>
      <c r="L326" s="28">
        <v>217.56000000000003</v>
      </c>
      <c r="M326" s="26">
        <v>1098</v>
      </c>
      <c r="N326" s="26">
        <v>16470</v>
      </c>
    </row>
    <row r="327" spans="1:14" ht="15" customHeight="1" x14ac:dyDescent="0.3">
      <c r="A327" s="25" t="s">
        <v>633</v>
      </c>
      <c r="B327" s="26" t="s">
        <v>607</v>
      </c>
      <c r="C327" s="26" t="s">
        <v>579</v>
      </c>
      <c r="D327" s="27">
        <v>10</v>
      </c>
      <c r="E327" s="27">
        <v>680</v>
      </c>
      <c r="F327" s="27">
        <v>0</v>
      </c>
      <c r="G327" s="27">
        <v>190</v>
      </c>
      <c r="H327" s="27">
        <v>490</v>
      </c>
      <c r="I327" s="27">
        <f>+IFERROR(VLOOKUP(A327,'[1]Pending Dispatch'!$N$2:$O$651,2,0),0)</f>
        <v>400</v>
      </c>
      <c r="J327" s="27">
        <f t="shared" si="5"/>
        <v>90</v>
      </c>
      <c r="K327" s="28">
        <v>5.34</v>
      </c>
      <c r="L327" s="28">
        <v>1922.3999999999999</v>
      </c>
      <c r="M327" s="26">
        <v>1322</v>
      </c>
      <c r="N327" s="26">
        <v>118980</v>
      </c>
    </row>
    <row r="328" spans="1:14" ht="15" customHeight="1" x14ac:dyDescent="0.3">
      <c r="A328" s="25" t="s">
        <v>634</v>
      </c>
      <c r="B328" s="26" t="s">
        <v>609</v>
      </c>
      <c r="C328" s="26" t="s">
        <v>579</v>
      </c>
      <c r="D328" s="27">
        <v>8</v>
      </c>
      <c r="E328" s="27">
        <v>368</v>
      </c>
      <c r="F328" s="27">
        <v>0</v>
      </c>
      <c r="G328" s="27">
        <v>64</v>
      </c>
      <c r="H328" s="27">
        <v>304</v>
      </c>
      <c r="I328" s="27">
        <f>+IFERROR(VLOOKUP(A328,'[1]Pending Dispatch'!$N$2:$O$651,2,0),0)</f>
        <v>208</v>
      </c>
      <c r="J328" s="27">
        <f t="shared" si="5"/>
        <v>96</v>
      </c>
      <c r="K328" s="28">
        <v>7.14</v>
      </c>
      <c r="L328" s="28">
        <v>2113.44</v>
      </c>
      <c r="M328" s="26">
        <v>142</v>
      </c>
      <c r="N328" s="26">
        <v>13632</v>
      </c>
    </row>
    <row r="329" spans="1:14" ht="15" customHeight="1" x14ac:dyDescent="0.3">
      <c r="A329" s="38" t="s">
        <v>635</v>
      </c>
      <c r="B329" s="26" t="s">
        <v>611</v>
      </c>
      <c r="C329" s="26" t="s">
        <v>579</v>
      </c>
      <c r="D329" s="27">
        <v>5</v>
      </c>
      <c r="E329" s="27">
        <v>80</v>
      </c>
      <c r="F329" s="27">
        <v>0</v>
      </c>
      <c r="G329" s="27">
        <v>0</v>
      </c>
      <c r="H329" s="27">
        <v>80</v>
      </c>
      <c r="I329" s="27">
        <f>+IFERROR(VLOOKUP(A329,'[1]Pending Dispatch'!$N$2:$O$651,2,0),0)</f>
        <v>0</v>
      </c>
      <c r="J329" s="27">
        <f t="shared" si="5"/>
        <v>80</v>
      </c>
      <c r="K329" s="28">
        <v>11.2</v>
      </c>
      <c r="L329" s="28">
        <v>1007.9999999999999</v>
      </c>
      <c r="M329" s="26">
        <v>0</v>
      </c>
      <c r="N329" s="26">
        <v>0</v>
      </c>
    </row>
    <row r="330" spans="1:14" ht="15" customHeight="1" x14ac:dyDescent="0.3">
      <c r="A330" s="25" t="s">
        <v>636</v>
      </c>
      <c r="B330" s="26" t="s">
        <v>613</v>
      </c>
      <c r="C330" s="26" t="s">
        <v>579</v>
      </c>
      <c r="D330" s="27">
        <v>4</v>
      </c>
      <c r="E330" s="27">
        <v>124</v>
      </c>
      <c r="F330" s="27">
        <v>0</v>
      </c>
      <c r="G330" s="27">
        <v>0</v>
      </c>
      <c r="H330" s="27">
        <v>124</v>
      </c>
      <c r="I330" s="27">
        <f>+IFERROR(VLOOKUP(A330,'[1]Pending Dispatch'!$N$2:$O$651,2,0),0)</f>
        <v>0</v>
      </c>
      <c r="J330" s="27">
        <f t="shared" si="5"/>
        <v>124</v>
      </c>
      <c r="K330" s="28">
        <v>13.4</v>
      </c>
      <c r="L330" s="28">
        <v>1768.8</v>
      </c>
      <c r="M330" s="26">
        <v>3834</v>
      </c>
      <c r="N330" s="26">
        <v>475416</v>
      </c>
    </row>
    <row r="331" spans="1:14" ht="15" customHeight="1" x14ac:dyDescent="0.3">
      <c r="A331" s="25" t="s">
        <v>637</v>
      </c>
      <c r="B331" s="26" t="s">
        <v>615</v>
      </c>
      <c r="C331" s="26" t="s">
        <v>579</v>
      </c>
      <c r="D331" s="27">
        <v>2</v>
      </c>
      <c r="E331" s="27">
        <v>66</v>
      </c>
      <c r="F331" s="27">
        <v>0</v>
      </c>
      <c r="G331" s="27">
        <v>0</v>
      </c>
      <c r="H331" s="27">
        <v>66</v>
      </c>
      <c r="I331" s="27">
        <f>+IFERROR(VLOOKUP(A331,'[1]Pending Dispatch'!$N$2:$O$651,2,0),0)</f>
        <v>0</v>
      </c>
      <c r="J331" s="27">
        <f t="shared" si="5"/>
        <v>66</v>
      </c>
      <c r="K331" s="28">
        <v>19.399999999999999</v>
      </c>
      <c r="L331" s="28">
        <v>1280.3999999999999</v>
      </c>
      <c r="M331" s="26">
        <v>224</v>
      </c>
      <c r="N331" s="26">
        <v>14784</v>
      </c>
    </row>
    <row r="332" spans="1:14" ht="15" customHeight="1" x14ac:dyDescent="0.3">
      <c r="A332" s="25" t="s">
        <v>638</v>
      </c>
      <c r="B332" s="26" t="s">
        <v>639</v>
      </c>
      <c r="C332" s="26" t="s">
        <v>579</v>
      </c>
      <c r="D332" s="27">
        <v>0</v>
      </c>
      <c r="E332" s="27">
        <v>0</v>
      </c>
      <c r="F332" s="27">
        <v>0</v>
      </c>
      <c r="G332" s="27">
        <v>0</v>
      </c>
      <c r="H332" s="27">
        <v>0</v>
      </c>
      <c r="I332" s="27">
        <f>+IFERROR(VLOOKUP(A332,'[1]Pending Dispatch'!$N$2:$O$651,2,0),0)</f>
        <v>0</v>
      </c>
      <c r="J332" s="27">
        <f t="shared" si="5"/>
        <v>0</v>
      </c>
      <c r="K332" s="28">
        <v>0</v>
      </c>
      <c r="L332" s="28">
        <v>0</v>
      </c>
      <c r="M332" s="26">
        <v>9582</v>
      </c>
      <c r="N332" s="26">
        <v>0</v>
      </c>
    </row>
    <row r="333" spans="1:14" ht="15" customHeight="1" x14ac:dyDescent="0.3">
      <c r="A333" s="25" t="s">
        <v>640</v>
      </c>
      <c r="B333" s="26" t="s">
        <v>641</v>
      </c>
      <c r="C333" s="26" t="s">
        <v>579</v>
      </c>
      <c r="D333" s="27">
        <v>30</v>
      </c>
      <c r="E333" s="27">
        <v>0</v>
      </c>
      <c r="F333" s="27">
        <v>0</v>
      </c>
      <c r="G333" s="27">
        <v>0</v>
      </c>
      <c r="H333" s="27">
        <v>0</v>
      </c>
      <c r="I333" s="27">
        <f>+IFERROR(VLOOKUP(A333,'[1]Pending Dispatch'!$N$2:$O$651,2,0),0)</f>
        <v>0</v>
      </c>
      <c r="J333" s="27">
        <f t="shared" si="5"/>
        <v>0</v>
      </c>
      <c r="K333" s="28">
        <v>2.2000000000000002</v>
      </c>
      <c r="L333" s="28">
        <v>0</v>
      </c>
      <c r="M333" s="26">
        <v>564</v>
      </c>
      <c r="N333" s="26">
        <v>0</v>
      </c>
    </row>
    <row r="334" spans="1:14" ht="15" customHeight="1" x14ac:dyDescent="0.3">
      <c r="A334" s="25" t="s">
        <v>642</v>
      </c>
      <c r="B334" s="26" t="s">
        <v>643</v>
      </c>
      <c r="C334" s="26" t="s">
        <v>579</v>
      </c>
      <c r="D334" s="27">
        <v>25</v>
      </c>
      <c r="E334" s="27">
        <v>50</v>
      </c>
      <c r="F334" s="27">
        <v>0</v>
      </c>
      <c r="G334" s="27">
        <v>0</v>
      </c>
      <c r="H334" s="27">
        <v>50</v>
      </c>
      <c r="I334" s="27">
        <f>+IFERROR(VLOOKUP(A334,'[1]Pending Dispatch'!$N$2:$O$651,2,0),0)</f>
        <v>0</v>
      </c>
      <c r="J334" s="27">
        <f t="shared" si="5"/>
        <v>50</v>
      </c>
      <c r="K334" s="28">
        <v>2.9</v>
      </c>
      <c r="L334" s="28">
        <v>145</v>
      </c>
      <c r="M334" s="26">
        <v>744</v>
      </c>
      <c r="N334" s="26">
        <v>37200</v>
      </c>
    </row>
    <row r="335" spans="1:14" ht="15" customHeight="1" x14ac:dyDescent="0.3">
      <c r="A335" s="25" t="s">
        <v>644</v>
      </c>
      <c r="B335" s="26" t="s">
        <v>645</v>
      </c>
      <c r="C335" s="26" t="s">
        <v>579</v>
      </c>
      <c r="D335" s="27">
        <v>20</v>
      </c>
      <c r="E335" s="27">
        <v>0</v>
      </c>
      <c r="F335" s="27">
        <v>0</v>
      </c>
      <c r="G335" s="27">
        <v>0</v>
      </c>
      <c r="H335" s="27">
        <v>0</v>
      </c>
      <c r="I335" s="27">
        <f>+IFERROR(VLOOKUP(A335,'[1]Pending Dispatch'!$N$2:$O$651,2,0),0)</f>
        <v>0</v>
      </c>
      <c r="J335" s="27">
        <f t="shared" si="5"/>
        <v>0</v>
      </c>
      <c r="K335" s="28">
        <v>4.3</v>
      </c>
      <c r="L335" s="28">
        <v>0</v>
      </c>
      <c r="M335" s="26">
        <v>1086</v>
      </c>
      <c r="N335" s="26">
        <v>0</v>
      </c>
    </row>
    <row r="336" spans="1:14" ht="15" customHeight="1" x14ac:dyDescent="0.3">
      <c r="A336" s="25" t="s">
        <v>646</v>
      </c>
      <c r="B336" s="26" t="s">
        <v>647</v>
      </c>
      <c r="C336" s="26" t="s">
        <v>579</v>
      </c>
      <c r="D336" s="27">
        <v>15</v>
      </c>
      <c r="E336" s="27">
        <v>135</v>
      </c>
      <c r="F336" s="27">
        <v>0</v>
      </c>
      <c r="G336" s="27">
        <v>0</v>
      </c>
      <c r="H336" s="27">
        <v>135</v>
      </c>
      <c r="I336" s="27">
        <f>+IFERROR(VLOOKUP(A336,'[1]Pending Dispatch'!$N$2:$O$651,2,0),0)</f>
        <v>0</v>
      </c>
      <c r="J336" s="27">
        <f t="shared" si="5"/>
        <v>135</v>
      </c>
      <c r="K336" s="28">
        <v>5.74</v>
      </c>
      <c r="L336" s="28">
        <v>774.9</v>
      </c>
      <c r="M336" s="26">
        <v>1488</v>
      </c>
      <c r="N336" s="26">
        <v>200880</v>
      </c>
    </row>
    <row r="337" spans="1:14" ht="15" customHeight="1" x14ac:dyDescent="0.3">
      <c r="A337" s="25" t="s">
        <v>648</v>
      </c>
      <c r="B337" s="26" t="s">
        <v>649</v>
      </c>
      <c r="C337" s="26" t="s">
        <v>579</v>
      </c>
      <c r="D337" s="27">
        <v>10</v>
      </c>
      <c r="E337" s="27">
        <v>0</v>
      </c>
      <c r="F337" s="27">
        <v>0</v>
      </c>
      <c r="G337" s="27">
        <v>0</v>
      </c>
      <c r="H337" s="27">
        <v>0</v>
      </c>
      <c r="I337" s="27">
        <f>+IFERROR(VLOOKUP(A337,'[1]Pending Dispatch'!$N$2:$O$651,2,0),0)</f>
        <v>0</v>
      </c>
      <c r="J337" s="27">
        <f t="shared" si="5"/>
        <v>0</v>
      </c>
      <c r="K337" s="28">
        <v>6.9</v>
      </c>
      <c r="L337" s="28">
        <v>0</v>
      </c>
      <c r="M337" s="26">
        <v>1812</v>
      </c>
      <c r="N337" s="26">
        <v>0</v>
      </c>
    </row>
    <row r="338" spans="1:14" ht="15" customHeight="1" x14ac:dyDescent="0.3">
      <c r="A338" s="25" t="s">
        <v>650</v>
      </c>
      <c r="B338" s="26" t="s">
        <v>651</v>
      </c>
      <c r="C338" s="26" t="s">
        <v>579</v>
      </c>
      <c r="D338" s="27">
        <v>8</v>
      </c>
      <c r="E338" s="27">
        <v>0</v>
      </c>
      <c r="F338" s="27">
        <v>0</v>
      </c>
      <c r="G338" s="27">
        <v>0</v>
      </c>
      <c r="H338" s="27">
        <v>0</v>
      </c>
      <c r="I338" s="27">
        <f>+IFERROR(VLOOKUP(A338,'[1]Pending Dispatch'!$N$2:$O$651,2,0),0)</f>
        <v>0</v>
      </c>
      <c r="J338" s="27">
        <f t="shared" si="5"/>
        <v>0</v>
      </c>
      <c r="K338" s="28">
        <v>9.56</v>
      </c>
      <c r="L338" s="28">
        <v>0</v>
      </c>
      <c r="M338" s="26">
        <v>0</v>
      </c>
      <c r="N338" s="26">
        <v>0</v>
      </c>
    </row>
    <row r="339" spans="1:14" ht="15" customHeight="1" x14ac:dyDescent="0.3">
      <c r="A339" s="25" t="s">
        <v>652</v>
      </c>
      <c r="B339" s="26" t="s">
        <v>653</v>
      </c>
      <c r="C339" s="26" t="s">
        <v>579</v>
      </c>
      <c r="D339" s="27">
        <v>30</v>
      </c>
      <c r="E339" s="27">
        <v>28</v>
      </c>
      <c r="F339" s="27">
        <v>870</v>
      </c>
      <c r="G339" s="27">
        <v>300</v>
      </c>
      <c r="H339" s="27">
        <v>598</v>
      </c>
      <c r="I339" s="27">
        <f>+IFERROR(VLOOKUP(A339,'[1]Pending Dispatch'!$N$2:$O$651,2,0),0)</f>
        <v>0</v>
      </c>
      <c r="J339" s="27">
        <f t="shared" si="5"/>
        <v>598</v>
      </c>
      <c r="K339" s="28">
        <v>1.1000000000000001</v>
      </c>
      <c r="L339" s="28">
        <v>525.80000000000007</v>
      </c>
      <c r="M339" s="26">
        <v>990</v>
      </c>
      <c r="N339" s="26">
        <v>592020</v>
      </c>
    </row>
    <row r="340" spans="1:14" ht="15" customHeight="1" x14ac:dyDescent="0.3">
      <c r="A340" s="25" t="s">
        <v>654</v>
      </c>
      <c r="B340" s="26" t="s">
        <v>655</v>
      </c>
      <c r="C340" s="26" t="s">
        <v>579</v>
      </c>
      <c r="D340" s="27">
        <v>25</v>
      </c>
      <c r="E340" s="27">
        <v>1375</v>
      </c>
      <c r="F340" s="27">
        <v>0</v>
      </c>
      <c r="G340" s="27">
        <v>0</v>
      </c>
      <c r="H340" s="27">
        <v>1375</v>
      </c>
      <c r="I340" s="27">
        <f>+IFERROR(VLOOKUP(A340,'[1]Pending Dispatch'!$N$2:$O$651,2,0),0)</f>
        <v>0</v>
      </c>
      <c r="J340" s="27">
        <f t="shared" si="5"/>
        <v>1375</v>
      </c>
      <c r="K340" s="28">
        <v>1.45</v>
      </c>
      <c r="L340" s="28">
        <v>2066.25</v>
      </c>
      <c r="M340" s="26">
        <v>372</v>
      </c>
      <c r="N340" s="26">
        <v>511500</v>
      </c>
    </row>
    <row r="341" spans="1:14" ht="15" customHeight="1" x14ac:dyDescent="0.3">
      <c r="A341" s="25" t="s">
        <v>656</v>
      </c>
      <c r="B341" s="26" t="s">
        <v>657</v>
      </c>
      <c r="C341" s="26" t="s">
        <v>579</v>
      </c>
      <c r="D341" s="27">
        <v>20</v>
      </c>
      <c r="E341" s="27">
        <v>1640</v>
      </c>
      <c r="F341" s="27">
        <v>0</v>
      </c>
      <c r="G341" s="27">
        <v>0</v>
      </c>
      <c r="H341" s="27">
        <v>1640</v>
      </c>
      <c r="I341" s="27">
        <f>+IFERROR(VLOOKUP(A341,'[1]Pending Dispatch'!$N$2:$O$651,2,0),0)</f>
        <v>0</v>
      </c>
      <c r="J341" s="27">
        <f t="shared" si="5"/>
        <v>1640</v>
      </c>
      <c r="K341" s="28">
        <v>2.15</v>
      </c>
      <c r="L341" s="28">
        <v>1677</v>
      </c>
      <c r="M341" s="26">
        <v>543</v>
      </c>
      <c r="N341" s="26">
        <v>890520</v>
      </c>
    </row>
    <row r="342" spans="1:14" ht="15.75" customHeight="1" x14ac:dyDescent="0.3">
      <c r="A342" s="25" t="s">
        <v>658</v>
      </c>
      <c r="B342" s="26" t="s">
        <v>659</v>
      </c>
      <c r="C342" s="26" t="s">
        <v>579</v>
      </c>
      <c r="D342" s="27">
        <v>15</v>
      </c>
      <c r="E342" s="27">
        <v>150</v>
      </c>
      <c r="F342" s="27">
        <v>6015</v>
      </c>
      <c r="G342" s="27">
        <v>4800</v>
      </c>
      <c r="H342" s="27">
        <v>1365</v>
      </c>
      <c r="I342" s="27">
        <f>+IFERROR(VLOOKUP(A342,'[1]Pending Dispatch'!$N$2:$O$651,2,0),0)</f>
        <v>0</v>
      </c>
      <c r="J342" s="27">
        <f t="shared" si="5"/>
        <v>1365</v>
      </c>
      <c r="K342" s="28">
        <v>2.87</v>
      </c>
      <c r="L342" s="28">
        <v>0</v>
      </c>
      <c r="M342" s="26">
        <v>744</v>
      </c>
      <c r="N342" s="26">
        <v>1015560</v>
      </c>
    </row>
    <row r="343" spans="1:14" ht="15" customHeight="1" x14ac:dyDescent="0.3">
      <c r="A343" s="25" t="s">
        <v>660</v>
      </c>
      <c r="B343" s="26" t="s">
        <v>661</v>
      </c>
      <c r="C343" s="26" t="s">
        <v>579</v>
      </c>
      <c r="D343" s="27">
        <v>10</v>
      </c>
      <c r="E343" s="27">
        <v>860</v>
      </c>
      <c r="F343" s="27">
        <v>0</v>
      </c>
      <c r="G343" s="27">
        <v>0</v>
      </c>
      <c r="H343" s="27">
        <v>860</v>
      </c>
      <c r="I343" s="27">
        <f>+IFERROR(VLOOKUP(A343,'[1]Pending Dispatch'!$N$2:$O$651,2,0),0)</f>
        <v>0</v>
      </c>
      <c r="J343" s="27">
        <f t="shared" si="5"/>
        <v>860</v>
      </c>
      <c r="K343" s="28">
        <v>3.45</v>
      </c>
      <c r="L343" s="28">
        <v>2967</v>
      </c>
      <c r="M343" s="26">
        <v>1480</v>
      </c>
      <c r="N343" s="26">
        <v>1272800</v>
      </c>
    </row>
    <row r="344" spans="1:14" ht="15" customHeight="1" x14ac:dyDescent="0.3">
      <c r="A344" s="25" t="s">
        <v>662</v>
      </c>
      <c r="B344" s="26" t="s">
        <v>663</v>
      </c>
      <c r="C344" s="26" t="s">
        <v>579</v>
      </c>
      <c r="D344" s="27">
        <v>8</v>
      </c>
      <c r="E344" s="27">
        <v>0</v>
      </c>
      <c r="F344" s="27">
        <v>0</v>
      </c>
      <c r="G344" s="27">
        <v>0</v>
      </c>
      <c r="H344" s="27">
        <v>0</v>
      </c>
      <c r="I344" s="27">
        <f>+IFERROR(VLOOKUP(A344,'[1]Pending Dispatch'!$N$2:$O$651,2,0),0)</f>
        <v>0</v>
      </c>
      <c r="J344" s="27">
        <f t="shared" si="5"/>
        <v>0</v>
      </c>
      <c r="K344" s="28">
        <v>4.78</v>
      </c>
      <c r="L344" s="28">
        <v>0</v>
      </c>
      <c r="M344" s="26">
        <v>1250</v>
      </c>
      <c r="N344" s="26">
        <v>0</v>
      </c>
    </row>
    <row r="345" spans="1:14" ht="15" customHeight="1" x14ac:dyDescent="0.3">
      <c r="A345" s="25" t="s">
        <v>664</v>
      </c>
      <c r="B345" s="26" t="s">
        <v>665</v>
      </c>
      <c r="C345" s="26" t="s">
        <v>666</v>
      </c>
      <c r="D345" s="27">
        <v>150</v>
      </c>
      <c r="E345" s="27">
        <v>2628</v>
      </c>
      <c r="F345" s="27">
        <v>0</v>
      </c>
      <c r="G345" s="27">
        <v>450</v>
      </c>
      <c r="H345" s="27">
        <v>2178</v>
      </c>
      <c r="I345" s="27">
        <f>+IFERROR(VLOOKUP(A345,'[1]Pending Dispatch'!$N$2:$O$651,2,0),0)</f>
        <v>450</v>
      </c>
      <c r="J345" s="27">
        <f t="shared" si="5"/>
        <v>1728</v>
      </c>
      <c r="K345" s="28">
        <v>5.8799999999999998E-2</v>
      </c>
      <c r="L345" s="28">
        <v>1.6346400000000001E-2</v>
      </c>
      <c r="M345" s="26">
        <v>34</v>
      </c>
      <c r="N345" s="26">
        <v>58752</v>
      </c>
    </row>
    <row r="346" spans="1:14" ht="15" customHeight="1" x14ac:dyDescent="0.3">
      <c r="A346" s="25" t="s">
        <v>667</v>
      </c>
      <c r="B346" s="26" t="s">
        <v>668</v>
      </c>
      <c r="C346" s="26" t="s">
        <v>666</v>
      </c>
      <c r="D346" s="27">
        <v>150</v>
      </c>
      <c r="E346" s="27">
        <v>2290</v>
      </c>
      <c r="F346" s="27">
        <v>0</v>
      </c>
      <c r="G346" s="27">
        <v>920</v>
      </c>
      <c r="H346" s="27">
        <v>1370</v>
      </c>
      <c r="I346" s="27">
        <f>+IFERROR(VLOOKUP(A346,'[1]Pending Dispatch'!$N$2:$O$651,2,0),0)</f>
        <v>698</v>
      </c>
      <c r="J346" s="27">
        <f t="shared" si="5"/>
        <v>672</v>
      </c>
      <c r="K346" s="28">
        <v>0.10349999999999999</v>
      </c>
      <c r="L346" s="28">
        <v>3.7363499999999994E-2</v>
      </c>
      <c r="M346" s="26">
        <v>58</v>
      </c>
      <c r="N346" s="26">
        <v>38976</v>
      </c>
    </row>
    <row r="347" spans="1:14" ht="15" customHeight="1" x14ac:dyDescent="0.3">
      <c r="A347" s="33" t="s">
        <v>669</v>
      </c>
      <c r="B347" s="34" t="s">
        <v>670</v>
      </c>
      <c r="C347" s="34" t="s">
        <v>666</v>
      </c>
      <c r="D347" s="35">
        <v>40</v>
      </c>
      <c r="E347" s="35">
        <v>1445</v>
      </c>
      <c r="F347" s="35">
        <v>0</v>
      </c>
      <c r="G347" s="35">
        <v>1180</v>
      </c>
      <c r="H347" s="35">
        <v>265</v>
      </c>
      <c r="I347" s="27">
        <f>+IFERROR(VLOOKUP(A347,'[1]Pending Dispatch'!$N$2:$O$651,2,0),0)</f>
        <v>400</v>
      </c>
      <c r="J347" s="27">
        <f t="shared" si="5"/>
        <v>-135</v>
      </c>
      <c r="K347" s="36">
        <v>0.1993</v>
      </c>
      <c r="L347" s="36">
        <v>0.13552400000000001</v>
      </c>
      <c r="M347" s="34">
        <v>114</v>
      </c>
      <c r="N347" s="34">
        <v>-15390</v>
      </c>
    </row>
    <row r="348" spans="1:14" ht="15" customHeight="1" x14ac:dyDescent="0.3">
      <c r="A348" s="25" t="s">
        <v>671</v>
      </c>
      <c r="B348" s="26" t="s">
        <v>91</v>
      </c>
      <c r="C348" s="26" t="s">
        <v>666</v>
      </c>
      <c r="D348" s="27">
        <v>300</v>
      </c>
      <c r="E348" s="27">
        <v>0</v>
      </c>
      <c r="F348" s="27">
        <v>0</v>
      </c>
      <c r="G348" s="27">
        <v>0</v>
      </c>
      <c r="H348" s="27">
        <v>0</v>
      </c>
      <c r="I348" s="27">
        <f>+IFERROR(VLOOKUP(A348,'[1]Pending Dispatch'!$N$2:$O$651,2,0),0)</f>
        <v>0</v>
      </c>
      <c r="J348" s="27">
        <f t="shared" si="5"/>
        <v>0</v>
      </c>
      <c r="K348" s="28">
        <v>5.1999999999999998E-2</v>
      </c>
      <c r="L348" s="28">
        <v>0</v>
      </c>
      <c r="M348" s="26">
        <v>32.9</v>
      </c>
      <c r="N348" s="26">
        <v>0</v>
      </c>
    </row>
    <row r="349" spans="1:14" ht="15" customHeight="1" x14ac:dyDescent="0.3">
      <c r="A349" s="25" t="s">
        <v>672</v>
      </c>
      <c r="B349" s="26" t="s">
        <v>94</v>
      </c>
      <c r="C349" s="26" t="s">
        <v>666</v>
      </c>
      <c r="D349" s="27">
        <v>150</v>
      </c>
      <c r="E349" s="27">
        <v>1030</v>
      </c>
      <c r="F349" s="27">
        <v>0</v>
      </c>
      <c r="G349" s="27">
        <v>25</v>
      </c>
      <c r="H349" s="27">
        <v>1005</v>
      </c>
      <c r="I349" s="27">
        <f>+IFERROR(VLOOKUP(A349,'[1]Pending Dispatch'!$N$2:$O$651,2,0),0)</f>
        <v>0</v>
      </c>
      <c r="J349" s="27">
        <f t="shared" si="5"/>
        <v>1005</v>
      </c>
      <c r="K349" s="28">
        <v>7.0400000000000004E-2</v>
      </c>
      <c r="L349" s="28">
        <v>8.3072000000000007E-2</v>
      </c>
      <c r="M349" s="26">
        <v>43.6</v>
      </c>
      <c r="N349" s="26">
        <v>43818</v>
      </c>
    </row>
    <row r="350" spans="1:14" ht="15" customHeight="1" x14ac:dyDescent="0.3">
      <c r="A350" s="25" t="s">
        <v>673</v>
      </c>
      <c r="B350" s="26" t="s">
        <v>96</v>
      </c>
      <c r="C350" s="26" t="s">
        <v>666</v>
      </c>
      <c r="D350" s="27">
        <v>100</v>
      </c>
      <c r="E350" s="27">
        <v>1745</v>
      </c>
      <c r="F350" s="27">
        <v>0</v>
      </c>
      <c r="G350" s="27">
        <v>25</v>
      </c>
      <c r="H350" s="27">
        <v>1720</v>
      </c>
      <c r="I350" s="27">
        <f>+IFERROR(VLOOKUP(A350,'[1]Pending Dispatch'!$N$2:$O$651,2,0),0)</f>
        <v>0</v>
      </c>
      <c r="J350" s="27">
        <f t="shared" si="5"/>
        <v>1720</v>
      </c>
      <c r="K350" s="28">
        <v>0.124</v>
      </c>
      <c r="L350" s="28">
        <v>0.22878000000000001</v>
      </c>
      <c r="M350" s="26">
        <v>76.8</v>
      </c>
      <c r="N350" s="26">
        <v>132096</v>
      </c>
    </row>
    <row r="351" spans="1:14" ht="15" customHeight="1" x14ac:dyDescent="0.3">
      <c r="A351" s="25" t="s">
        <v>674</v>
      </c>
      <c r="B351" s="26" t="s">
        <v>98</v>
      </c>
      <c r="C351" s="26" t="s">
        <v>666</v>
      </c>
      <c r="D351" s="27">
        <v>0</v>
      </c>
      <c r="E351" s="27">
        <v>0</v>
      </c>
      <c r="F351" s="27">
        <v>0</v>
      </c>
      <c r="G351" s="27">
        <v>0</v>
      </c>
      <c r="H351" s="27">
        <v>0</v>
      </c>
      <c r="I351" s="27">
        <f>+IFERROR(VLOOKUP(A351,'[1]Pending Dispatch'!$N$2:$O$651,2,0),0)</f>
        <v>0</v>
      </c>
      <c r="J351" s="27">
        <f t="shared" si="5"/>
        <v>0</v>
      </c>
      <c r="K351" s="28">
        <v>0</v>
      </c>
      <c r="L351" s="28">
        <v>0</v>
      </c>
      <c r="M351" s="26">
        <v>125.5</v>
      </c>
      <c r="N351" s="26">
        <v>0</v>
      </c>
    </row>
    <row r="352" spans="1:14" ht="15" customHeight="1" x14ac:dyDescent="0.3">
      <c r="A352" s="25" t="s">
        <v>675</v>
      </c>
      <c r="B352" s="26" t="s">
        <v>100</v>
      </c>
      <c r="C352" s="26" t="s">
        <v>666</v>
      </c>
      <c r="D352" s="27">
        <v>0</v>
      </c>
      <c r="E352" s="27">
        <v>0</v>
      </c>
      <c r="F352" s="27">
        <v>0</v>
      </c>
      <c r="G352" s="27">
        <v>0</v>
      </c>
      <c r="H352" s="27">
        <v>0</v>
      </c>
      <c r="I352" s="27">
        <f>+IFERROR(VLOOKUP(A352,'[1]Pending Dispatch'!$N$2:$O$651,2,0),0)</f>
        <v>0</v>
      </c>
      <c r="J352" s="27">
        <f t="shared" si="5"/>
        <v>0</v>
      </c>
      <c r="K352" s="28">
        <v>0</v>
      </c>
      <c r="L352" s="28">
        <v>0</v>
      </c>
      <c r="M352" s="26">
        <v>158.69999999999999</v>
      </c>
      <c r="N352" s="26">
        <v>0</v>
      </c>
    </row>
    <row r="353" spans="1:16" ht="15" customHeight="1" x14ac:dyDescent="0.3">
      <c r="A353" s="25" t="s">
        <v>676</v>
      </c>
      <c r="B353" s="26" t="s">
        <v>102</v>
      </c>
      <c r="C353" s="26" t="s">
        <v>666</v>
      </c>
      <c r="D353" s="27">
        <v>0</v>
      </c>
      <c r="E353" s="27">
        <v>0</v>
      </c>
      <c r="F353" s="27">
        <v>0</v>
      </c>
      <c r="G353" s="27">
        <v>0</v>
      </c>
      <c r="H353" s="27">
        <v>0</v>
      </c>
      <c r="I353" s="27">
        <f>+IFERROR(VLOOKUP(A353,'[1]Pending Dispatch'!$N$2:$O$651,2,0),0)</f>
        <v>0</v>
      </c>
      <c r="J353" s="27">
        <f t="shared" si="5"/>
        <v>0</v>
      </c>
      <c r="K353" s="28">
        <v>0</v>
      </c>
      <c r="L353" s="28">
        <v>0</v>
      </c>
      <c r="M353" s="26">
        <v>243.1</v>
      </c>
      <c r="N353" s="26">
        <v>0</v>
      </c>
    </row>
    <row r="354" spans="1:16" ht="15" customHeight="1" x14ac:dyDescent="0.3">
      <c r="A354" s="25" t="s">
        <v>677</v>
      </c>
      <c r="B354" s="26" t="s">
        <v>678</v>
      </c>
      <c r="C354" s="26" t="s">
        <v>666</v>
      </c>
      <c r="D354" s="27">
        <v>108</v>
      </c>
      <c r="E354" s="27">
        <v>6169</v>
      </c>
      <c r="F354" s="27">
        <v>648</v>
      </c>
      <c r="G354" s="27">
        <v>1296</v>
      </c>
      <c r="H354" s="27">
        <v>5521</v>
      </c>
      <c r="I354" s="27">
        <f>+IFERROR(VLOOKUP(A354,'[1]Pending Dispatch'!$N$2:$O$651,2,0),0)</f>
        <v>540</v>
      </c>
      <c r="J354" s="27">
        <f t="shared" si="5"/>
        <v>4981</v>
      </c>
      <c r="K354" s="28">
        <v>7.4279999999999999E-2</v>
      </c>
      <c r="L354" s="28">
        <v>0.36256067999999997</v>
      </c>
      <c r="M354" s="26"/>
      <c r="N354" s="26">
        <v>0</v>
      </c>
    </row>
    <row r="355" spans="1:16" ht="15" customHeight="1" x14ac:dyDescent="0.3">
      <c r="A355" s="25" t="s">
        <v>679</v>
      </c>
      <c r="B355" s="26" t="s">
        <v>680</v>
      </c>
      <c r="C355" s="26" t="s">
        <v>666</v>
      </c>
      <c r="D355" s="27">
        <v>68</v>
      </c>
      <c r="E355" s="27">
        <v>2481</v>
      </c>
      <c r="F355" s="27">
        <v>0</v>
      </c>
      <c r="G355" s="27">
        <v>204</v>
      </c>
      <c r="H355" s="27">
        <v>2277</v>
      </c>
      <c r="I355" s="27">
        <f>+IFERROR(VLOOKUP(A355,'[1]Pending Dispatch'!$N$2:$O$651,2,0),0)</f>
        <v>340</v>
      </c>
      <c r="J355" s="27">
        <f t="shared" si="5"/>
        <v>1937</v>
      </c>
      <c r="K355" s="28">
        <v>0.1114</v>
      </c>
      <c r="L355" s="28">
        <v>0.35881939999999996</v>
      </c>
      <c r="M355" s="26">
        <v>120</v>
      </c>
      <c r="N355" s="26">
        <v>232440</v>
      </c>
    </row>
    <row r="356" spans="1:16" ht="15" customHeight="1" x14ac:dyDescent="0.3">
      <c r="A356" s="25" t="s">
        <v>681</v>
      </c>
      <c r="B356" s="26" t="s">
        <v>682</v>
      </c>
      <c r="C356" s="26" t="s">
        <v>666</v>
      </c>
      <c r="D356" s="27">
        <v>40</v>
      </c>
      <c r="E356" s="27">
        <v>560</v>
      </c>
      <c r="F356" s="27">
        <v>1360</v>
      </c>
      <c r="G356" s="27">
        <v>1600</v>
      </c>
      <c r="H356" s="27">
        <v>320</v>
      </c>
      <c r="I356" s="27">
        <f>+IFERROR(VLOOKUP(A356,'[1]Pending Dispatch'!$N$2:$O$651,2,0),0)</f>
        <v>625</v>
      </c>
      <c r="J356" s="27">
        <f t="shared" si="5"/>
        <v>-305</v>
      </c>
      <c r="K356" s="28">
        <v>0.18419999999999997</v>
      </c>
      <c r="L356" s="28">
        <v>0.71285399999999988</v>
      </c>
      <c r="M356" s="26">
        <v>224</v>
      </c>
      <c r="N356" s="26">
        <v>-68320</v>
      </c>
    </row>
    <row r="357" spans="1:16" ht="15" customHeight="1" x14ac:dyDescent="0.3">
      <c r="A357" s="25" t="s">
        <v>683</v>
      </c>
      <c r="B357" s="26" t="s">
        <v>684</v>
      </c>
      <c r="C357" s="26" t="s">
        <v>666</v>
      </c>
      <c r="D357" s="27">
        <v>28</v>
      </c>
      <c r="E357" s="27">
        <v>1646</v>
      </c>
      <c r="F357" s="27">
        <v>336</v>
      </c>
      <c r="G357" s="27">
        <v>84</v>
      </c>
      <c r="H357" s="27">
        <v>1898</v>
      </c>
      <c r="I357" s="27">
        <f>+IFERROR(VLOOKUP(A357,'[1]Pending Dispatch'!$N$2:$O$651,2,0),0)</f>
        <v>56</v>
      </c>
      <c r="J357" s="27">
        <f t="shared" si="5"/>
        <v>1842</v>
      </c>
      <c r="K357" s="28">
        <v>0.26868999999999998</v>
      </c>
      <c r="L357" s="28">
        <v>0.34365450999999997</v>
      </c>
      <c r="M357" s="26">
        <v>296</v>
      </c>
      <c r="N357" s="26">
        <v>545232</v>
      </c>
      <c r="P357" s="3">
        <v>3</v>
      </c>
    </row>
    <row r="358" spans="1:16" ht="15" customHeight="1" x14ac:dyDescent="0.3">
      <c r="A358" s="25" t="s">
        <v>685</v>
      </c>
      <c r="B358" s="26" t="s">
        <v>686</v>
      </c>
      <c r="C358" s="26" t="s">
        <v>666</v>
      </c>
      <c r="D358" s="27">
        <v>16</v>
      </c>
      <c r="E358" s="27">
        <v>1568</v>
      </c>
      <c r="F358" s="27">
        <v>16</v>
      </c>
      <c r="G358" s="27">
        <v>512</v>
      </c>
      <c r="H358" s="27">
        <v>1072</v>
      </c>
      <c r="I358" s="27">
        <f>+IFERROR(VLOOKUP(A358,'[1]Pending Dispatch'!$N$2:$O$651,2,0),0)</f>
        <v>64</v>
      </c>
      <c r="J358" s="27">
        <f t="shared" si="5"/>
        <v>1008</v>
      </c>
      <c r="K358" s="28">
        <v>0.36604000000000003</v>
      </c>
      <c r="L358" s="28">
        <v>5.3441840000000004E-2</v>
      </c>
      <c r="M358" s="26">
        <v>438</v>
      </c>
      <c r="N358" s="26">
        <v>441504</v>
      </c>
    </row>
    <row r="359" spans="1:16" ht="15" customHeight="1" x14ac:dyDescent="0.3">
      <c r="A359" s="25" t="s">
        <v>687</v>
      </c>
      <c r="B359" s="26" t="s">
        <v>688</v>
      </c>
      <c r="C359" s="26" t="s">
        <v>666</v>
      </c>
      <c r="D359" s="27">
        <v>10</v>
      </c>
      <c r="E359" s="27">
        <v>182</v>
      </c>
      <c r="F359" s="27">
        <v>290</v>
      </c>
      <c r="G359" s="27">
        <v>50</v>
      </c>
      <c r="H359" s="27">
        <v>422</v>
      </c>
      <c r="I359" s="27">
        <f>+IFERROR(VLOOKUP(A359,'[1]Pending Dispatch'!$N$2:$O$651,2,0),0)</f>
        <v>56</v>
      </c>
      <c r="J359" s="27">
        <f t="shared" si="5"/>
        <v>366</v>
      </c>
      <c r="K359" s="28">
        <v>0.60150000000000003</v>
      </c>
      <c r="L359" s="28">
        <v>0.12751799999999999</v>
      </c>
      <c r="M359" s="26">
        <v>668</v>
      </c>
      <c r="N359" s="26">
        <v>244488</v>
      </c>
    </row>
    <row r="360" spans="1:16" ht="15" customHeight="1" x14ac:dyDescent="0.3">
      <c r="A360" s="25" t="s">
        <v>689</v>
      </c>
      <c r="B360" s="26" t="s">
        <v>690</v>
      </c>
      <c r="C360" s="26" t="s">
        <v>666</v>
      </c>
      <c r="D360" s="27">
        <v>100</v>
      </c>
      <c r="E360" s="27">
        <v>8693</v>
      </c>
      <c r="F360" s="27">
        <v>100</v>
      </c>
      <c r="G360" s="27">
        <v>3500</v>
      </c>
      <c r="H360" s="27">
        <v>5293</v>
      </c>
      <c r="I360" s="27">
        <f>+IFERROR(VLOOKUP(A360,'[1]Pending Dispatch'!$N$2:$O$651,2,0),0)</f>
        <v>3750</v>
      </c>
      <c r="J360" s="27">
        <f t="shared" si="5"/>
        <v>1543</v>
      </c>
      <c r="K360" s="28">
        <v>7.3540000000000008E-2</v>
      </c>
      <c r="L360" s="28">
        <v>0.12229702000000002</v>
      </c>
      <c r="M360" s="26">
        <v>0</v>
      </c>
      <c r="N360" s="26">
        <v>0</v>
      </c>
      <c r="P360" s="3">
        <v>8</v>
      </c>
    </row>
    <row r="361" spans="1:16" ht="15" customHeight="1" x14ac:dyDescent="0.3">
      <c r="A361" s="25" t="s">
        <v>691</v>
      </c>
      <c r="B361" s="26" t="s">
        <v>692</v>
      </c>
      <c r="C361" s="26" t="s">
        <v>666</v>
      </c>
      <c r="D361" s="27">
        <v>80</v>
      </c>
      <c r="E361" s="27">
        <v>2704</v>
      </c>
      <c r="F361" s="27">
        <v>0</v>
      </c>
      <c r="G361" s="27">
        <v>2080</v>
      </c>
      <c r="H361" s="27">
        <v>624</v>
      </c>
      <c r="I361" s="27">
        <f>+IFERROR(VLOOKUP(A361,'[1]Pending Dispatch'!$N$2:$O$651,2,0),0)</f>
        <v>820</v>
      </c>
      <c r="J361" s="27">
        <f t="shared" si="5"/>
        <v>-196</v>
      </c>
      <c r="K361" s="28">
        <v>0.11699</v>
      </c>
      <c r="L361" s="28">
        <v>0.46842795999999998</v>
      </c>
      <c r="M361" s="26">
        <v>0</v>
      </c>
      <c r="N361" s="26">
        <v>0</v>
      </c>
    </row>
    <row r="362" spans="1:16" ht="15" customHeight="1" x14ac:dyDescent="0.3">
      <c r="A362" s="25" t="s">
        <v>693</v>
      </c>
      <c r="B362" s="26" t="s">
        <v>694</v>
      </c>
      <c r="C362" s="26" t="s">
        <v>666</v>
      </c>
      <c r="D362" s="27">
        <v>50</v>
      </c>
      <c r="E362" s="27">
        <v>1080</v>
      </c>
      <c r="F362" s="27">
        <v>5700</v>
      </c>
      <c r="G362" s="27">
        <v>2650</v>
      </c>
      <c r="H362" s="27">
        <v>4130</v>
      </c>
      <c r="I362" s="27">
        <f>+IFERROR(VLOOKUP(A362,'[1]Pending Dispatch'!$N$2:$O$651,2,0),0)</f>
        <v>2800</v>
      </c>
      <c r="J362" s="27">
        <f t="shared" si="5"/>
        <v>1330</v>
      </c>
      <c r="K362" s="28">
        <v>0.19097</v>
      </c>
      <c r="L362" s="28">
        <v>7.6387999999999994E-3</v>
      </c>
      <c r="M362" s="26">
        <v>0</v>
      </c>
      <c r="N362" s="26">
        <v>0</v>
      </c>
    </row>
    <row r="363" spans="1:16" ht="15" customHeight="1" x14ac:dyDescent="0.3">
      <c r="A363" s="25" t="s">
        <v>695</v>
      </c>
      <c r="B363" s="26" t="s">
        <v>696</v>
      </c>
      <c r="C363" s="26" t="s">
        <v>666</v>
      </c>
      <c r="D363" s="27">
        <v>30</v>
      </c>
      <c r="E363" s="27">
        <v>1684</v>
      </c>
      <c r="F363" s="27">
        <v>0</v>
      </c>
      <c r="G363" s="27">
        <v>360</v>
      </c>
      <c r="H363" s="27">
        <v>1324</v>
      </c>
      <c r="I363" s="27">
        <f>+IFERROR(VLOOKUP(A363,'[1]Pending Dispatch'!$N$2:$O$651,2,0),0)</f>
        <v>480</v>
      </c>
      <c r="J363" s="27">
        <f t="shared" si="5"/>
        <v>844</v>
      </c>
      <c r="K363" s="28">
        <v>0.27331</v>
      </c>
      <c r="L363" s="28">
        <v>0.96861063999999997</v>
      </c>
      <c r="M363" s="26">
        <v>0</v>
      </c>
      <c r="N363" s="26">
        <v>0</v>
      </c>
    </row>
    <row r="364" spans="1:16" ht="15" customHeight="1" x14ac:dyDescent="0.3">
      <c r="A364" s="25" t="s">
        <v>697</v>
      </c>
      <c r="B364" s="26" t="s">
        <v>698</v>
      </c>
      <c r="C364" s="26" t="s">
        <v>666</v>
      </c>
      <c r="D364" s="27">
        <v>20</v>
      </c>
      <c r="E364" s="27">
        <v>1105</v>
      </c>
      <c r="F364" s="27">
        <v>0</v>
      </c>
      <c r="G364" s="27">
        <v>365</v>
      </c>
      <c r="H364" s="27">
        <v>740</v>
      </c>
      <c r="I364" s="27">
        <f>+IFERROR(VLOOKUP(A364,'[1]Pending Dispatch'!$N$2:$O$651,2,0),0)</f>
        <v>160</v>
      </c>
      <c r="J364" s="27">
        <f t="shared" si="5"/>
        <v>580</v>
      </c>
      <c r="K364" s="28">
        <v>0.37495999999999996</v>
      </c>
      <c r="L364" s="28">
        <v>0.24934839999999997</v>
      </c>
      <c r="M364" s="26">
        <v>0</v>
      </c>
      <c r="N364" s="26">
        <v>0</v>
      </c>
    </row>
    <row r="365" spans="1:16" ht="15" customHeight="1" x14ac:dyDescent="0.3">
      <c r="A365" s="25" t="s">
        <v>699</v>
      </c>
      <c r="B365" s="26" t="s">
        <v>700</v>
      </c>
      <c r="C365" s="26" t="s">
        <v>666</v>
      </c>
      <c r="D365" s="27">
        <v>15</v>
      </c>
      <c r="E365" s="27">
        <v>124</v>
      </c>
      <c r="F365" s="27">
        <v>15</v>
      </c>
      <c r="G365" s="27">
        <v>35</v>
      </c>
      <c r="H365" s="27">
        <v>104</v>
      </c>
      <c r="I365" s="27">
        <f>+IFERROR(VLOOKUP(A365,'[1]Pending Dispatch'!$N$2:$O$651,2,0),0)</f>
        <v>75</v>
      </c>
      <c r="J365" s="27">
        <f t="shared" si="5"/>
        <v>29</v>
      </c>
      <c r="K365" s="28">
        <v>0.60150000000000003</v>
      </c>
      <c r="L365" s="28">
        <v>0.36932100000000001</v>
      </c>
      <c r="M365" s="26">
        <v>0</v>
      </c>
      <c r="N365" s="26">
        <v>0</v>
      </c>
      <c r="P365" s="3">
        <v>5</v>
      </c>
    </row>
    <row r="366" spans="1:16" ht="15" customHeight="1" x14ac:dyDescent="0.3">
      <c r="A366" s="25" t="s">
        <v>701</v>
      </c>
      <c r="B366" s="26" t="s">
        <v>702</v>
      </c>
      <c r="C366" s="26" t="s">
        <v>666</v>
      </c>
      <c r="D366" s="27">
        <v>108</v>
      </c>
      <c r="E366" s="27">
        <v>1195</v>
      </c>
      <c r="F366" s="27">
        <v>0</v>
      </c>
      <c r="G366" s="27">
        <v>432</v>
      </c>
      <c r="H366" s="27">
        <v>763</v>
      </c>
      <c r="I366" s="27">
        <f>+IFERROR(VLOOKUP(A366,'[1]Pending Dispatch'!$N$2:$O$651,2,0),0)</f>
        <v>50</v>
      </c>
      <c r="J366" s="27">
        <f t="shared" si="5"/>
        <v>713</v>
      </c>
      <c r="K366" s="28">
        <v>7.1199999999999999E-2</v>
      </c>
      <c r="L366" s="28">
        <v>7.7394400000000002E-2</v>
      </c>
      <c r="M366" s="26">
        <v>0</v>
      </c>
      <c r="N366" s="26">
        <v>0</v>
      </c>
    </row>
    <row r="367" spans="1:16" ht="15" customHeight="1" x14ac:dyDescent="0.3">
      <c r="A367" s="25" t="s">
        <v>703</v>
      </c>
      <c r="B367" s="26" t="s">
        <v>704</v>
      </c>
      <c r="C367" s="26" t="s">
        <v>666</v>
      </c>
      <c r="D367" s="27">
        <v>68</v>
      </c>
      <c r="E367" s="27">
        <v>2169</v>
      </c>
      <c r="F367" s="27">
        <v>0</v>
      </c>
      <c r="G367" s="27">
        <v>136</v>
      </c>
      <c r="H367" s="27">
        <v>2033</v>
      </c>
      <c r="I367" s="27">
        <f>+IFERROR(VLOOKUP(A367,'[1]Pending Dispatch'!$N$2:$O$651,2,0),0)</f>
        <v>68</v>
      </c>
      <c r="J367" s="27">
        <f t="shared" si="5"/>
        <v>1965</v>
      </c>
      <c r="K367" s="28">
        <v>0.11456000000000001</v>
      </c>
      <c r="L367" s="28">
        <v>0.1552288</v>
      </c>
      <c r="M367" s="26">
        <v>0</v>
      </c>
      <c r="N367" s="26">
        <v>0</v>
      </c>
      <c r="P367" s="39" t="s">
        <v>705</v>
      </c>
    </row>
    <row r="368" spans="1:16" ht="15" customHeight="1" x14ac:dyDescent="0.3">
      <c r="A368" s="25" t="s">
        <v>706</v>
      </c>
      <c r="B368" s="26" t="s">
        <v>707</v>
      </c>
      <c r="C368" s="26" t="s">
        <v>666</v>
      </c>
      <c r="D368" s="27">
        <v>40</v>
      </c>
      <c r="E368" s="27">
        <v>1854</v>
      </c>
      <c r="F368" s="27">
        <v>0</v>
      </c>
      <c r="G368" s="27">
        <v>120</v>
      </c>
      <c r="H368" s="27">
        <v>1734</v>
      </c>
      <c r="I368" s="27">
        <f>+IFERROR(VLOOKUP(A368,'[1]Pending Dispatch'!$N$2:$O$651,2,0),0)</f>
        <v>40</v>
      </c>
      <c r="J368" s="27">
        <f t="shared" si="5"/>
        <v>1694</v>
      </c>
      <c r="K368" s="28">
        <v>0.18159999999999998</v>
      </c>
      <c r="L368" s="28">
        <v>0.40950799999999998</v>
      </c>
      <c r="M368" s="26">
        <v>0</v>
      </c>
      <c r="N368" s="26">
        <v>0</v>
      </c>
    </row>
    <row r="369" spans="1:16" s="29" customFormat="1" ht="15" customHeight="1" x14ac:dyDescent="0.3">
      <c r="A369" s="40" t="s">
        <v>708</v>
      </c>
      <c r="B369" s="41" t="s">
        <v>709</v>
      </c>
      <c r="C369" s="26" t="s">
        <v>666</v>
      </c>
      <c r="D369" s="42">
        <v>28</v>
      </c>
      <c r="E369" s="42">
        <v>0</v>
      </c>
      <c r="F369" s="27">
        <v>0</v>
      </c>
      <c r="G369" s="27">
        <v>0</v>
      </c>
      <c r="H369" s="42">
        <v>0</v>
      </c>
      <c r="I369" s="27">
        <f>+IFERROR(VLOOKUP(A369,'[1]Pending Dispatch'!$N$2:$O$651,2,0),0)</f>
        <v>0</v>
      </c>
      <c r="J369" s="27">
        <f t="shared" si="5"/>
        <v>0</v>
      </c>
      <c r="K369" s="43">
        <v>0.26</v>
      </c>
      <c r="L369" s="43">
        <v>0</v>
      </c>
      <c r="M369" s="41">
        <v>0</v>
      </c>
      <c r="N369" s="41">
        <v>0</v>
      </c>
      <c r="P369" s="30" t="s">
        <v>710</v>
      </c>
    </row>
    <row r="370" spans="1:16" s="29" customFormat="1" ht="15" customHeight="1" x14ac:dyDescent="0.3">
      <c r="A370" s="40" t="s">
        <v>711</v>
      </c>
      <c r="B370" s="41" t="s">
        <v>712</v>
      </c>
      <c r="C370" s="26" t="s">
        <v>666</v>
      </c>
      <c r="D370" s="42">
        <v>16</v>
      </c>
      <c r="E370" s="42">
        <v>0</v>
      </c>
      <c r="F370" s="27">
        <v>0</v>
      </c>
      <c r="G370" s="27">
        <v>0</v>
      </c>
      <c r="H370" s="42">
        <v>0</v>
      </c>
      <c r="I370" s="27">
        <f>+IFERROR(VLOOKUP(A370,'[1]Pending Dispatch'!$N$2:$O$651,2,0),0)</f>
        <v>0</v>
      </c>
      <c r="J370" s="27">
        <f t="shared" si="5"/>
        <v>0</v>
      </c>
      <c r="K370" s="43">
        <v>0.39985999999999999</v>
      </c>
      <c r="L370" s="43">
        <v>0</v>
      </c>
      <c r="M370" s="41">
        <v>0</v>
      </c>
      <c r="N370" s="41">
        <v>0</v>
      </c>
      <c r="P370" s="30" t="s">
        <v>710</v>
      </c>
    </row>
    <row r="371" spans="1:16" s="29" customFormat="1" ht="15" customHeight="1" x14ac:dyDescent="0.3">
      <c r="A371" s="40" t="s">
        <v>713</v>
      </c>
      <c r="B371" s="41" t="s">
        <v>714</v>
      </c>
      <c r="C371" s="26" t="s">
        <v>666</v>
      </c>
      <c r="D371" s="42">
        <v>10</v>
      </c>
      <c r="E371" s="42">
        <v>0</v>
      </c>
      <c r="F371" s="27">
        <v>0</v>
      </c>
      <c r="G371" s="27">
        <v>0</v>
      </c>
      <c r="H371" s="42">
        <v>0</v>
      </c>
      <c r="I371" s="27">
        <f>+IFERROR(VLOOKUP(A371,'[1]Pending Dispatch'!$N$2:$O$651,2,0),0)</f>
        <v>0</v>
      </c>
      <c r="J371" s="27">
        <f t="shared" si="5"/>
        <v>0</v>
      </c>
      <c r="K371" s="43">
        <v>0.60150000000000003</v>
      </c>
      <c r="L371" s="43">
        <v>0</v>
      </c>
      <c r="M371" s="41">
        <v>0</v>
      </c>
      <c r="N371" s="41">
        <v>0</v>
      </c>
      <c r="P371" s="30" t="s">
        <v>710</v>
      </c>
    </row>
    <row r="372" spans="1:16" ht="15" customHeight="1" x14ac:dyDescent="0.3">
      <c r="A372" s="25" t="s">
        <v>715</v>
      </c>
      <c r="B372" s="26" t="s">
        <v>716</v>
      </c>
      <c r="C372" s="26" t="s">
        <v>666</v>
      </c>
      <c r="D372" s="27">
        <v>0</v>
      </c>
      <c r="E372" s="27">
        <v>300</v>
      </c>
      <c r="F372" s="27">
        <v>0</v>
      </c>
      <c r="G372" s="27">
        <v>0</v>
      </c>
      <c r="H372" s="27">
        <v>300</v>
      </c>
      <c r="I372" s="27">
        <f>+IFERROR(VLOOKUP(A372,'[1]Pending Dispatch'!$N$2:$O$651,2,0),0)</f>
        <v>0</v>
      </c>
      <c r="J372" s="27">
        <f t="shared" si="5"/>
        <v>300</v>
      </c>
      <c r="K372" s="28">
        <v>0</v>
      </c>
      <c r="L372" s="28">
        <v>0</v>
      </c>
      <c r="M372" s="26">
        <v>0</v>
      </c>
      <c r="N372" s="26">
        <v>0</v>
      </c>
    </row>
    <row r="373" spans="1:16" ht="15" customHeight="1" x14ac:dyDescent="0.3">
      <c r="A373" s="25" t="s">
        <v>717</v>
      </c>
      <c r="B373" s="26" t="s">
        <v>718</v>
      </c>
      <c r="C373" s="26" t="s">
        <v>666</v>
      </c>
      <c r="D373" s="27">
        <v>68</v>
      </c>
      <c r="E373" s="27">
        <v>400</v>
      </c>
      <c r="F373" s="27">
        <v>0</v>
      </c>
      <c r="G373" s="27">
        <v>0</v>
      </c>
      <c r="H373" s="27">
        <v>400</v>
      </c>
      <c r="I373" s="27">
        <f>+IFERROR(VLOOKUP(A373,'[1]Pending Dispatch'!$N$2:$O$651,2,0),0)</f>
        <v>0</v>
      </c>
      <c r="J373" s="27">
        <f t="shared" si="5"/>
        <v>400</v>
      </c>
      <c r="K373" s="28">
        <v>0</v>
      </c>
      <c r="L373" s="28">
        <v>0</v>
      </c>
      <c r="M373" s="26">
        <v>0</v>
      </c>
      <c r="N373" s="26">
        <v>0</v>
      </c>
    </row>
    <row r="374" spans="1:16" ht="15" customHeight="1" x14ac:dyDescent="0.3">
      <c r="A374" s="25" t="s">
        <v>719</v>
      </c>
      <c r="B374" s="26" t="s">
        <v>720</v>
      </c>
      <c r="C374" s="26" t="s">
        <v>666</v>
      </c>
      <c r="D374" s="27">
        <v>40</v>
      </c>
      <c r="E374" s="27">
        <v>440</v>
      </c>
      <c r="F374" s="27">
        <v>0</v>
      </c>
      <c r="G374" s="27">
        <v>0</v>
      </c>
      <c r="H374" s="27">
        <v>440</v>
      </c>
      <c r="I374" s="27">
        <f>+IFERROR(VLOOKUP(A374,'[1]Pending Dispatch'!$N$2:$O$651,2,0),0)</f>
        <v>0</v>
      </c>
      <c r="J374" s="27">
        <f t="shared" si="5"/>
        <v>440</v>
      </c>
      <c r="K374" s="28">
        <v>0</v>
      </c>
      <c r="L374" s="28">
        <v>0</v>
      </c>
      <c r="M374" s="26">
        <v>0</v>
      </c>
      <c r="N374" s="26">
        <v>0</v>
      </c>
    </row>
    <row r="375" spans="1:16" ht="15" customHeight="1" x14ac:dyDescent="0.3">
      <c r="A375" s="25" t="s">
        <v>721</v>
      </c>
      <c r="B375" s="26" t="s">
        <v>680</v>
      </c>
      <c r="C375" s="26" t="s">
        <v>666</v>
      </c>
      <c r="D375" s="27">
        <v>68</v>
      </c>
      <c r="E375" s="27">
        <v>1612</v>
      </c>
      <c r="F375" s="27">
        <v>0</v>
      </c>
      <c r="G375" s="27">
        <v>204</v>
      </c>
      <c r="H375" s="27">
        <v>1408</v>
      </c>
      <c r="I375" s="27">
        <f>+IFERROR(VLOOKUP(A375,'[1]Pending Dispatch'!$N$2:$O$651,2,0),0)</f>
        <v>204</v>
      </c>
      <c r="J375" s="27">
        <f t="shared" si="5"/>
        <v>1204</v>
      </c>
      <c r="K375" s="28">
        <v>0.112</v>
      </c>
      <c r="L375" s="28">
        <v>0.308448</v>
      </c>
      <c r="M375" s="26">
        <v>132</v>
      </c>
      <c r="N375" s="26">
        <v>158928</v>
      </c>
    </row>
    <row r="376" spans="1:16" ht="15" customHeight="1" x14ac:dyDescent="0.3">
      <c r="A376" s="25" t="s">
        <v>722</v>
      </c>
      <c r="B376" s="26" t="s">
        <v>682</v>
      </c>
      <c r="C376" s="26" t="s">
        <v>666</v>
      </c>
      <c r="D376" s="27">
        <v>40</v>
      </c>
      <c r="E376" s="27">
        <v>80</v>
      </c>
      <c r="F376" s="27">
        <v>1280</v>
      </c>
      <c r="G376" s="27">
        <v>640</v>
      </c>
      <c r="H376" s="27">
        <v>720</v>
      </c>
      <c r="I376" s="27">
        <f>+IFERROR(VLOOKUP(A376,'[1]Pending Dispatch'!$N$2:$O$651,2,0),0)</f>
        <v>240</v>
      </c>
      <c r="J376" s="27">
        <f t="shared" si="5"/>
        <v>480</v>
      </c>
      <c r="K376" s="28">
        <v>0.16700000000000001</v>
      </c>
      <c r="L376" s="28">
        <v>0.11322600000000001</v>
      </c>
      <c r="M376" s="26">
        <v>234</v>
      </c>
      <c r="N376" s="26">
        <v>112320</v>
      </c>
    </row>
    <row r="377" spans="1:16" ht="15" customHeight="1" x14ac:dyDescent="0.3">
      <c r="A377" s="25" t="s">
        <v>723</v>
      </c>
      <c r="B377" s="26" t="s">
        <v>684</v>
      </c>
      <c r="C377" s="26" t="s">
        <v>666</v>
      </c>
      <c r="D377" s="27">
        <v>28</v>
      </c>
      <c r="E377" s="27">
        <v>169</v>
      </c>
      <c r="F377" s="27">
        <v>420</v>
      </c>
      <c r="G377" s="27">
        <v>0</v>
      </c>
      <c r="H377" s="27">
        <v>589</v>
      </c>
      <c r="I377" s="27">
        <f>+IFERROR(VLOOKUP(A377,'[1]Pending Dispatch'!$N$2:$O$651,2,0),0)</f>
        <v>0</v>
      </c>
      <c r="J377" s="27">
        <f t="shared" si="5"/>
        <v>589</v>
      </c>
      <c r="K377" s="28">
        <v>0.27600000000000002</v>
      </c>
      <c r="L377" s="28">
        <v>6.9828000000000001E-2</v>
      </c>
      <c r="M377" s="26">
        <v>308</v>
      </c>
      <c r="N377" s="26">
        <v>181412</v>
      </c>
    </row>
    <row r="378" spans="1:16" ht="15" customHeight="1" x14ac:dyDescent="0.3">
      <c r="A378" s="25" t="s">
        <v>724</v>
      </c>
      <c r="B378" s="26" t="s">
        <v>686</v>
      </c>
      <c r="C378" s="26" t="s">
        <v>666</v>
      </c>
      <c r="D378" s="27">
        <v>16</v>
      </c>
      <c r="E378" s="27">
        <v>776</v>
      </c>
      <c r="F378" s="27">
        <v>0</v>
      </c>
      <c r="G378" s="27">
        <v>0</v>
      </c>
      <c r="H378" s="27">
        <v>776</v>
      </c>
      <c r="I378" s="27">
        <f>+IFERROR(VLOOKUP(A378,'[1]Pending Dispatch'!$N$2:$O$651,2,0),0)</f>
        <v>0</v>
      </c>
      <c r="J378" s="27">
        <f t="shared" si="5"/>
        <v>776</v>
      </c>
      <c r="K378" s="28">
        <v>0.89</v>
      </c>
      <c r="L378" s="28">
        <v>0.77607999999999999</v>
      </c>
      <c r="M378" s="26">
        <v>454</v>
      </c>
      <c r="N378" s="26">
        <v>352304</v>
      </c>
      <c r="P378" s="39" t="s">
        <v>725</v>
      </c>
    </row>
    <row r="379" spans="1:16" ht="15" customHeight="1" x14ac:dyDescent="0.3">
      <c r="A379" s="25" t="s">
        <v>726</v>
      </c>
      <c r="B379" s="26" t="s">
        <v>688</v>
      </c>
      <c r="C379" s="26" t="s">
        <v>666</v>
      </c>
      <c r="D379" s="27">
        <v>10</v>
      </c>
      <c r="E379" s="27">
        <v>30</v>
      </c>
      <c r="F379" s="27">
        <v>0</v>
      </c>
      <c r="G379" s="27">
        <v>0</v>
      </c>
      <c r="H379" s="27">
        <v>30</v>
      </c>
      <c r="I379" s="27">
        <f>+IFERROR(VLOOKUP(A379,'[1]Pending Dispatch'!$N$2:$O$651,2,0),0)</f>
        <v>0</v>
      </c>
      <c r="J379" s="27">
        <f t="shared" si="5"/>
        <v>30</v>
      </c>
      <c r="K379" s="28">
        <v>0</v>
      </c>
      <c r="L379" s="28">
        <v>0</v>
      </c>
      <c r="M379" s="26"/>
      <c r="N379" s="26">
        <v>0</v>
      </c>
    </row>
    <row r="380" spans="1:16" ht="15" customHeight="1" x14ac:dyDescent="0.3">
      <c r="A380" s="25" t="s">
        <v>727</v>
      </c>
      <c r="B380" s="26" t="s">
        <v>692</v>
      </c>
      <c r="C380" s="26" t="s">
        <v>666</v>
      </c>
      <c r="D380" s="27">
        <v>80</v>
      </c>
      <c r="E380" s="27">
        <v>1750</v>
      </c>
      <c r="F380" s="27">
        <v>720</v>
      </c>
      <c r="G380" s="27">
        <v>1600</v>
      </c>
      <c r="H380" s="27">
        <v>870</v>
      </c>
      <c r="I380" s="27">
        <f>+IFERROR(VLOOKUP(A380,'[1]Pending Dispatch'!$N$2:$O$651,2,0),0)</f>
        <v>2000</v>
      </c>
      <c r="J380" s="27">
        <f t="shared" si="5"/>
        <v>-1130</v>
      </c>
      <c r="K380" s="28">
        <v>0.112</v>
      </c>
      <c r="L380" s="28">
        <v>2.2400000000000003E-2</v>
      </c>
      <c r="M380" s="26"/>
      <c r="N380" s="26">
        <v>0</v>
      </c>
    </row>
    <row r="381" spans="1:16" ht="15" customHeight="1" x14ac:dyDescent="0.3">
      <c r="A381" s="25" t="s">
        <v>728</v>
      </c>
      <c r="B381" s="26" t="s">
        <v>694</v>
      </c>
      <c r="C381" s="26" t="s">
        <v>666</v>
      </c>
      <c r="D381" s="27">
        <v>50</v>
      </c>
      <c r="E381" s="27">
        <v>520</v>
      </c>
      <c r="F381" s="27">
        <v>5000</v>
      </c>
      <c r="G381" s="27">
        <v>2300</v>
      </c>
      <c r="H381" s="27">
        <v>3220</v>
      </c>
      <c r="I381" s="27">
        <f>+IFERROR(VLOOKUP(A381,'[1]Pending Dispatch'!$N$2:$O$651,2,0),0)</f>
        <v>4190</v>
      </c>
      <c r="J381" s="27">
        <f t="shared" si="5"/>
        <v>-970</v>
      </c>
      <c r="K381" s="28">
        <v>0.17280000000000001</v>
      </c>
      <c r="L381" s="28">
        <v>0.32832</v>
      </c>
      <c r="M381" s="26"/>
      <c r="N381" s="26">
        <v>0</v>
      </c>
    </row>
    <row r="382" spans="1:16" ht="15" customHeight="1" x14ac:dyDescent="0.3">
      <c r="A382" s="25" t="s">
        <v>729</v>
      </c>
      <c r="B382" s="26" t="s">
        <v>696</v>
      </c>
      <c r="C382" s="26" t="s">
        <v>666</v>
      </c>
      <c r="D382" s="27">
        <v>30</v>
      </c>
      <c r="E382" s="27">
        <v>84</v>
      </c>
      <c r="F382" s="27">
        <v>870</v>
      </c>
      <c r="G382" s="27">
        <v>90</v>
      </c>
      <c r="H382" s="27">
        <v>864</v>
      </c>
      <c r="I382" s="27">
        <f>+IFERROR(VLOOKUP(A382,'[1]Pending Dispatch'!$N$2:$O$651,2,0),0)</f>
        <v>1980</v>
      </c>
      <c r="J382" s="27">
        <f t="shared" si="5"/>
        <v>-1116</v>
      </c>
      <c r="K382" s="28">
        <v>0.27689999999999998</v>
      </c>
      <c r="L382" s="28">
        <v>6.6455999999999998E-3</v>
      </c>
      <c r="M382" s="26"/>
      <c r="N382" s="26">
        <v>0</v>
      </c>
      <c r="P382" s="3">
        <v>2</v>
      </c>
    </row>
    <row r="383" spans="1:16" ht="15" customHeight="1" x14ac:dyDescent="0.3">
      <c r="A383" s="25" t="s">
        <v>730</v>
      </c>
      <c r="B383" s="26" t="s">
        <v>698</v>
      </c>
      <c r="C383" s="26" t="s">
        <v>666</v>
      </c>
      <c r="D383" s="27">
        <v>20</v>
      </c>
      <c r="E383" s="27">
        <v>100</v>
      </c>
      <c r="F383" s="27">
        <v>640</v>
      </c>
      <c r="G383" s="27">
        <v>120</v>
      </c>
      <c r="H383" s="27">
        <v>620</v>
      </c>
      <c r="I383" s="27">
        <f>+IFERROR(VLOOKUP(A383,'[1]Pending Dispatch'!$N$2:$O$651,2,0),0)</f>
        <v>620</v>
      </c>
      <c r="J383" s="27">
        <f t="shared" si="5"/>
        <v>0</v>
      </c>
      <c r="K383" s="28">
        <v>0.44650000000000001</v>
      </c>
      <c r="L383" s="28">
        <v>0.10715999999999999</v>
      </c>
      <c r="M383" s="26"/>
      <c r="N383" s="26">
        <v>0</v>
      </c>
    </row>
    <row r="384" spans="1:16" ht="15" customHeight="1" x14ac:dyDescent="0.3">
      <c r="A384" s="25" t="s">
        <v>731</v>
      </c>
      <c r="B384" s="26" t="s">
        <v>700</v>
      </c>
      <c r="C384" s="26" t="s">
        <v>666</v>
      </c>
      <c r="D384" s="27">
        <v>15</v>
      </c>
      <c r="E384" s="27">
        <v>15</v>
      </c>
      <c r="F384" s="27">
        <v>1155</v>
      </c>
      <c r="G384" s="27">
        <v>0</v>
      </c>
      <c r="H384" s="27">
        <v>1170</v>
      </c>
      <c r="I384" s="27">
        <f>+IFERROR(VLOOKUP(A384,'[1]Pending Dispatch'!$N$2:$O$651,2,0),0)</f>
        <v>945</v>
      </c>
      <c r="J384" s="27">
        <f t="shared" si="5"/>
        <v>225</v>
      </c>
      <c r="K384" s="28">
        <v>0</v>
      </c>
      <c r="L384" s="28">
        <v>0</v>
      </c>
      <c r="M384" s="26"/>
      <c r="N384" s="26">
        <v>0</v>
      </c>
    </row>
    <row r="385" spans="1:14" ht="15" customHeight="1" x14ac:dyDescent="0.3">
      <c r="A385" s="25" t="s">
        <v>732</v>
      </c>
      <c r="B385" s="26" t="s">
        <v>733</v>
      </c>
      <c r="C385" s="26" t="s">
        <v>666</v>
      </c>
      <c r="D385" s="27">
        <v>200</v>
      </c>
      <c r="E385" s="27">
        <v>878</v>
      </c>
      <c r="F385" s="27">
        <v>630</v>
      </c>
      <c r="G385" s="27">
        <v>1400</v>
      </c>
      <c r="H385" s="27">
        <v>108</v>
      </c>
      <c r="I385" s="27">
        <f>+IFERROR(VLOOKUP(A385,'[1]Pending Dispatch'!$N$2:$O$651,2,0),0)</f>
        <v>1800</v>
      </c>
      <c r="J385" s="27">
        <f t="shared" si="5"/>
        <v>-1692</v>
      </c>
      <c r="K385" s="28">
        <v>5.7349999999999991E-2</v>
      </c>
      <c r="L385" s="28">
        <v>0.16447979999999998</v>
      </c>
      <c r="M385" s="26">
        <v>30.2</v>
      </c>
      <c r="N385" s="26">
        <v>-31770.399999999998</v>
      </c>
    </row>
    <row r="386" spans="1:14" ht="15" customHeight="1" x14ac:dyDescent="0.3">
      <c r="A386" s="25" t="s">
        <v>734</v>
      </c>
      <c r="B386" s="26" t="s">
        <v>735</v>
      </c>
      <c r="C386" s="26" t="s">
        <v>666</v>
      </c>
      <c r="D386" s="27">
        <v>120</v>
      </c>
      <c r="E386" s="27">
        <v>240</v>
      </c>
      <c r="F386" s="27">
        <v>4410</v>
      </c>
      <c r="G386" s="27">
        <v>3030</v>
      </c>
      <c r="H386" s="27">
        <v>1620</v>
      </c>
      <c r="I386" s="27">
        <f>+IFERROR(VLOOKUP(A386,'[1]Pending Dispatch'!$N$2:$O$651,2,0),0)</f>
        <v>650</v>
      </c>
      <c r="J386" s="27">
        <f t="shared" si="5"/>
        <v>970</v>
      </c>
      <c r="K386" s="28">
        <v>7.8449999999999992E-2</v>
      </c>
      <c r="L386" s="28">
        <v>1.7808149999999998E-2</v>
      </c>
      <c r="M386" s="26">
        <v>40.6</v>
      </c>
      <c r="N386" s="26">
        <v>39382</v>
      </c>
    </row>
    <row r="387" spans="1:14" ht="15" customHeight="1" x14ac:dyDescent="0.3">
      <c r="A387" s="25" t="s">
        <v>736</v>
      </c>
      <c r="B387" s="26" t="s">
        <v>737</v>
      </c>
      <c r="C387" s="26" t="s">
        <v>666</v>
      </c>
      <c r="D387" s="27">
        <v>80</v>
      </c>
      <c r="E387" s="27">
        <v>1521</v>
      </c>
      <c r="F387" s="27">
        <v>9130</v>
      </c>
      <c r="G387" s="27">
        <v>10470</v>
      </c>
      <c r="H387" s="27">
        <v>181</v>
      </c>
      <c r="I387" s="27">
        <f>+IFERROR(VLOOKUP(A387,'[1]Pending Dispatch'!$N$2:$O$651,2,0),0)</f>
        <v>12880</v>
      </c>
      <c r="J387" s="27">
        <f t="shared" si="5"/>
        <v>-12699</v>
      </c>
      <c r="K387" s="28">
        <v>0.10955000000000001</v>
      </c>
      <c r="L387" s="28">
        <v>7.0659750000000007E-2</v>
      </c>
      <c r="M387" s="26">
        <v>56.8</v>
      </c>
      <c r="N387" s="26">
        <v>-554311.19999999995</v>
      </c>
    </row>
    <row r="388" spans="1:14" ht="15" customHeight="1" x14ac:dyDescent="0.3">
      <c r="A388" s="25" t="s">
        <v>738</v>
      </c>
      <c r="B388" s="26" t="s">
        <v>739</v>
      </c>
      <c r="C388" s="26" t="s">
        <v>666</v>
      </c>
      <c r="D388" s="27">
        <v>60</v>
      </c>
      <c r="E388" s="27">
        <v>462</v>
      </c>
      <c r="F388" s="27">
        <v>300</v>
      </c>
      <c r="G388" s="27">
        <v>480</v>
      </c>
      <c r="H388" s="27">
        <v>282</v>
      </c>
      <c r="I388" s="27">
        <f>+IFERROR(VLOOKUP(A388,'[1]Pending Dispatch'!$N$2:$O$651,2,0),0)</f>
        <v>630</v>
      </c>
      <c r="J388" s="27">
        <f t="shared" si="5"/>
        <v>-348</v>
      </c>
      <c r="K388" s="28">
        <v>0.1676</v>
      </c>
      <c r="L388" s="28">
        <v>9.16772E-2</v>
      </c>
      <c r="M388" s="26"/>
      <c r="N388" s="26">
        <v>0</v>
      </c>
    </row>
    <row r="389" spans="1:14" ht="15" customHeight="1" x14ac:dyDescent="0.3">
      <c r="A389" s="25" t="s">
        <v>740</v>
      </c>
      <c r="B389" s="26" t="s">
        <v>741</v>
      </c>
      <c r="C389" s="26" t="s">
        <v>666</v>
      </c>
      <c r="D389" s="27">
        <v>30</v>
      </c>
      <c r="E389" s="27">
        <v>367</v>
      </c>
      <c r="F389" s="27">
        <v>850</v>
      </c>
      <c r="G389" s="27">
        <v>600</v>
      </c>
      <c r="H389" s="27">
        <v>617</v>
      </c>
      <c r="I389" s="27">
        <f>+IFERROR(VLOOKUP(A389,'[1]Pending Dispatch'!$N$2:$O$651,2,0),0)</f>
        <v>540</v>
      </c>
      <c r="J389" s="27">
        <f t="shared" si="5"/>
        <v>77</v>
      </c>
      <c r="K389" s="28">
        <v>0.2898</v>
      </c>
      <c r="L389" s="28">
        <v>0.32370659999999996</v>
      </c>
      <c r="M389" s="26">
        <v>150.80000000000001</v>
      </c>
      <c r="N389" s="26">
        <v>11611.6</v>
      </c>
    </row>
    <row r="390" spans="1:14" ht="15" customHeight="1" x14ac:dyDescent="0.3">
      <c r="A390" s="25" t="s">
        <v>742</v>
      </c>
      <c r="B390" s="26" t="s">
        <v>743</v>
      </c>
      <c r="C390" s="26" t="s">
        <v>666</v>
      </c>
      <c r="D390" s="27">
        <v>20</v>
      </c>
      <c r="E390" s="27">
        <v>126</v>
      </c>
      <c r="F390" s="27">
        <v>260</v>
      </c>
      <c r="G390" s="27">
        <v>153</v>
      </c>
      <c r="H390" s="27">
        <v>233</v>
      </c>
      <c r="I390" s="27">
        <f>+IFERROR(VLOOKUP(A390,'[1]Pending Dispatch'!$N$2:$O$651,2,0),0)</f>
        <v>110</v>
      </c>
      <c r="J390" s="27">
        <f t="shared" ref="J390:J453" si="6">+H390-I390</f>
        <v>123</v>
      </c>
      <c r="K390" s="28">
        <v>0.50519999999999998</v>
      </c>
      <c r="L390" s="28">
        <v>0.27836520000000003</v>
      </c>
      <c r="M390" s="26">
        <v>261.2</v>
      </c>
      <c r="N390" s="26">
        <v>32127.599999999999</v>
      </c>
    </row>
    <row r="391" spans="1:14" ht="15" customHeight="1" x14ac:dyDescent="0.3">
      <c r="A391" s="33" t="s">
        <v>744</v>
      </c>
      <c r="B391" s="34" t="s">
        <v>745</v>
      </c>
      <c r="C391" s="34" t="s">
        <v>666</v>
      </c>
      <c r="D391" s="35">
        <v>500</v>
      </c>
      <c r="E391" s="35">
        <v>4552</v>
      </c>
      <c r="F391" s="35">
        <v>14648</v>
      </c>
      <c r="G391" s="35">
        <v>16000</v>
      </c>
      <c r="H391" s="35">
        <v>3200</v>
      </c>
      <c r="I391" s="27">
        <f>+IFERROR(VLOOKUP(A391,'[1]Pending Dispatch'!$N$2:$O$651,2,0),0)</f>
        <v>9550</v>
      </c>
      <c r="J391" s="27">
        <f t="shared" si="6"/>
        <v>-6350</v>
      </c>
      <c r="K391" s="36">
        <v>2.0750000000000001E-2</v>
      </c>
      <c r="L391" s="36">
        <v>0.158779</v>
      </c>
      <c r="M391" s="34">
        <v>176</v>
      </c>
      <c r="N391" s="34">
        <v>-1029600</v>
      </c>
    </row>
    <row r="392" spans="1:14" ht="15" customHeight="1" x14ac:dyDescent="0.3">
      <c r="A392" s="25" t="s">
        <v>746</v>
      </c>
      <c r="B392" s="26" t="s">
        <v>747</v>
      </c>
      <c r="C392" s="26" t="s">
        <v>666</v>
      </c>
      <c r="D392" s="27">
        <v>600</v>
      </c>
      <c r="E392" s="27">
        <v>4981</v>
      </c>
      <c r="F392" s="27">
        <v>16250</v>
      </c>
      <c r="G392" s="27">
        <v>18800</v>
      </c>
      <c r="H392" s="27">
        <v>2431</v>
      </c>
      <c r="I392" s="27">
        <f>+IFERROR(VLOOKUP(A392,'[1]Pending Dispatch'!$N$2:$O$651,2,0),0)</f>
        <v>6581</v>
      </c>
      <c r="J392" s="27">
        <f t="shared" si="6"/>
        <v>-4150</v>
      </c>
      <c r="K392" s="28">
        <v>2.9749999999999999E-2</v>
      </c>
      <c r="L392" s="28">
        <v>6.7859749999999996E-2</v>
      </c>
      <c r="M392" s="26">
        <v>15.6</v>
      </c>
      <c r="N392" s="26">
        <v>-64740</v>
      </c>
    </row>
    <row r="393" spans="1:14" ht="15" customHeight="1" x14ac:dyDescent="0.3">
      <c r="A393" s="25" t="s">
        <v>748</v>
      </c>
      <c r="B393" s="26" t="s">
        <v>749</v>
      </c>
      <c r="C393" s="26" t="s">
        <v>666</v>
      </c>
      <c r="D393" s="27">
        <v>300</v>
      </c>
      <c r="E393" s="27">
        <v>1498</v>
      </c>
      <c r="F393" s="27">
        <v>29950</v>
      </c>
      <c r="G393" s="27">
        <v>24050</v>
      </c>
      <c r="H393" s="27">
        <v>7398</v>
      </c>
      <c r="I393" s="27">
        <f>+IFERROR(VLOOKUP(A393,'[1]Pending Dispatch'!$N$2:$O$651,2,0),0)</f>
        <v>16023</v>
      </c>
      <c r="J393" s="27">
        <f t="shared" si="6"/>
        <v>-8625</v>
      </c>
      <c r="K393" s="28">
        <v>4.7500000000000001E-2</v>
      </c>
      <c r="L393" s="28">
        <v>1.1187674999999999</v>
      </c>
      <c r="M393" s="26">
        <v>24.8</v>
      </c>
      <c r="N393" s="26">
        <v>-228780</v>
      </c>
    </row>
    <row r="394" spans="1:14" ht="15" customHeight="1" x14ac:dyDescent="0.3">
      <c r="A394" s="25" t="s">
        <v>750</v>
      </c>
      <c r="B394" s="26" t="s">
        <v>751</v>
      </c>
      <c r="C394" s="26" t="s">
        <v>666</v>
      </c>
      <c r="D394" s="27">
        <v>200</v>
      </c>
      <c r="E394" s="27">
        <v>5936</v>
      </c>
      <c r="F394" s="27">
        <v>0</v>
      </c>
      <c r="G394" s="27">
        <v>3430</v>
      </c>
      <c r="H394" s="27">
        <v>2506</v>
      </c>
      <c r="I394" s="27">
        <f>+IFERROR(VLOOKUP(A394,'[1]Pending Dispatch'!$N$2:$O$651,2,0),0)</f>
        <v>3000</v>
      </c>
      <c r="J394" s="27">
        <f t="shared" si="6"/>
        <v>-494</v>
      </c>
      <c r="K394" s="28">
        <v>7.0349999999999996E-2</v>
      </c>
      <c r="L394" s="28">
        <v>0.32403209999999993</v>
      </c>
      <c r="M394" s="26">
        <v>328</v>
      </c>
      <c r="N394" s="26">
        <v>-162032</v>
      </c>
    </row>
    <row r="395" spans="1:14" ht="15" customHeight="1" x14ac:dyDescent="0.3">
      <c r="A395" s="25" t="s">
        <v>752</v>
      </c>
      <c r="B395" s="26" t="s">
        <v>753</v>
      </c>
      <c r="C395" s="26" t="s">
        <v>666</v>
      </c>
      <c r="D395" s="27">
        <v>150</v>
      </c>
      <c r="E395" s="27">
        <v>3959</v>
      </c>
      <c r="F395" s="27">
        <v>0</v>
      </c>
      <c r="G395" s="27">
        <v>3310</v>
      </c>
      <c r="H395" s="27">
        <v>649</v>
      </c>
      <c r="I395" s="27">
        <f>+IFERROR(VLOOKUP(A395,'[1]Pending Dispatch'!$N$2:$O$651,2,0),0)</f>
        <v>750</v>
      </c>
      <c r="J395" s="27">
        <f t="shared" si="6"/>
        <v>-101</v>
      </c>
      <c r="K395" s="28">
        <v>9.06E-2</v>
      </c>
      <c r="L395" s="28">
        <v>2.2831199999999999E-2</v>
      </c>
      <c r="M395" s="26">
        <v>45.5</v>
      </c>
      <c r="N395" s="26">
        <v>-4595.5</v>
      </c>
    </row>
    <row r="396" spans="1:14" ht="15" customHeight="1" x14ac:dyDescent="0.3">
      <c r="A396" s="25" t="s">
        <v>754</v>
      </c>
      <c r="B396" s="26" t="s">
        <v>755</v>
      </c>
      <c r="C396" s="26" t="s">
        <v>666</v>
      </c>
      <c r="D396" s="27">
        <v>50</v>
      </c>
      <c r="E396" s="27">
        <v>734</v>
      </c>
      <c r="F396" s="27">
        <v>820</v>
      </c>
      <c r="G396" s="27">
        <v>970</v>
      </c>
      <c r="H396" s="27">
        <v>584</v>
      </c>
      <c r="I396" s="27">
        <f>+IFERROR(VLOOKUP(A396,'[1]Pending Dispatch'!$N$2:$O$651,2,0),0)</f>
        <v>190</v>
      </c>
      <c r="J396" s="27">
        <f t="shared" si="6"/>
        <v>394</v>
      </c>
      <c r="K396" s="28">
        <v>0.13385</v>
      </c>
      <c r="L396" s="28">
        <v>1.71328E-2</v>
      </c>
      <c r="M396" s="26">
        <v>68.400000000000006</v>
      </c>
      <c r="N396" s="26">
        <v>26949.600000000002</v>
      </c>
    </row>
    <row r="397" spans="1:14" ht="15" customHeight="1" x14ac:dyDescent="0.3">
      <c r="A397" s="25" t="s">
        <v>756</v>
      </c>
      <c r="B397" s="26" t="s">
        <v>757</v>
      </c>
      <c r="C397" s="26" t="s">
        <v>666</v>
      </c>
      <c r="D397" s="27">
        <v>25</v>
      </c>
      <c r="E397" s="27">
        <v>445</v>
      </c>
      <c r="F397" s="27">
        <v>0</v>
      </c>
      <c r="G397" s="27">
        <v>0</v>
      </c>
      <c r="H397" s="27">
        <v>445</v>
      </c>
      <c r="I397" s="27">
        <f>+IFERROR(VLOOKUP(A397,'[1]Pending Dispatch'!$N$2:$O$651,2,0),0)</f>
        <v>140</v>
      </c>
      <c r="J397" s="27">
        <f t="shared" si="6"/>
        <v>305</v>
      </c>
      <c r="K397" s="28">
        <v>0.28999999999999998</v>
      </c>
      <c r="L397" s="28">
        <v>1.218E-2</v>
      </c>
      <c r="M397" s="26">
        <v>168</v>
      </c>
      <c r="N397" s="26">
        <v>51240</v>
      </c>
    </row>
    <row r="398" spans="1:14" ht="15" customHeight="1" x14ac:dyDescent="0.3">
      <c r="A398" s="25" t="s">
        <v>758</v>
      </c>
      <c r="B398" s="26" t="s">
        <v>759</v>
      </c>
      <c r="C398" s="26" t="s">
        <v>666</v>
      </c>
      <c r="D398" s="27">
        <v>18</v>
      </c>
      <c r="E398" s="27">
        <v>6</v>
      </c>
      <c r="F398" s="27">
        <v>467</v>
      </c>
      <c r="G398" s="27">
        <v>65</v>
      </c>
      <c r="H398" s="27">
        <v>408</v>
      </c>
      <c r="I398" s="27">
        <f>+IFERROR(VLOOKUP(A398,'[1]Pending Dispatch'!$N$2:$O$651,2,0),0)</f>
        <v>0</v>
      </c>
      <c r="J398" s="27">
        <f t="shared" si="6"/>
        <v>408</v>
      </c>
      <c r="K398" s="28">
        <v>0.40360000000000001</v>
      </c>
      <c r="L398" s="28">
        <v>5.4889600000000004E-2</v>
      </c>
      <c r="M398" s="26">
        <v>228</v>
      </c>
      <c r="N398" s="26">
        <v>93024</v>
      </c>
    </row>
    <row r="399" spans="1:14" ht="15" customHeight="1" x14ac:dyDescent="0.3">
      <c r="A399" s="25" t="s">
        <v>760</v>
      </c>
      <c r="B399" s="26" t="s">
        <v>761</v>
      </c>
      <c r="C399" s="26" t="s">
        <v>666</v>
      </c>
      <c r="D399" s="27">
        <v>10</v>
      </c>
      <c r="E399" s="27">
        <v>244</v>
      </c>
      <c r="F399" s="27">
        <v>0</v>
      </c>
      <c r="G399" s="27">
        <v>150</v>
      </c>
      <c r="H399" s="27">
        <v>94</v>
      </c>
      <c r="I399" s="27">
        <f>+IFERROR(VLOOKUP(A399,'[1]Pending Dispatch'!$N$2:$O$651,2,0),0)</f>
        <v>10</v>
      </c>
      <c r="J399" s="27">
        <f t="shared" si="6"/>
        <v>84</v>
      </c>
      <c r="K399" s="28">
        <v>0.62879999999999991</v>
      </c>
      <c r="L399" s="28">
        <v>2.6409599999999998E-2</v>
      </c>
      <c r="M399" s="26">
        <v>362</v>
      </c>
      <c r="N399" s="26">
        <v>30408</v>
      </c>
    </row>
    <row r="400" spans="1:14" ht="15" customHeight="1" x14ac:dyDescent="0.3">
      <c r="A400" s="25" t="s">
        <v>762</v>
      </c>
      <c r="B400" s="26" t="s">
        <v>763</v>
      </c>
      <c r="C400" s="26" t="s">
        <v>666</v>
      </c>
      <c r="D400" s="27">
        <v>250</v>
      </c>
      <c r="E400" s="27">
        <v>4457</v>
      </c>
      <c r="F400" s="27">
        <v>0</v>
      </c>
      <c r="G400" s="27">
        <v>250</v>
      </c>
      <c r="H400" s="27">
        <v>4207</v>
      </c>
      <c r="I400" s="27">
        <f>+IFERROR(VLOOKUP(A400,'[1]Pending Dispatch'!$N$2:$O$651,2,0),0)</f>
        <v>1000</v>
      </c>
      <c r="J400" s="27">
        <f t="shared" si="6"/>
        <v>3207</v>
      </c>
      <c r="K400" s="28">
        <v>4.0299999999999996E-2</v>
      </c>
      <c r="L400" s="28">
        <v>3.6955099999999998E-2</v>
      </c>
      <c r="M400" s="26">
        <v>19.899999999999999</v>
      </c>
      <c r="N400" s="26">
        <v>63819.299999999996</v>
      </c>
    </row>
    <row r="401" spans="1:14" ht="15" customHeight="1" x14ac:dyDescent="0.3">
      <c r="A401" s="33" t="s">
        <v>764</v>
      </c>
      <c r="B401" s="34" t="s">
        <v>765</v>
      </c>
      <c r="C401" s="34" t="s">
        <v>666</v>
      </c>
      <c r="D401" s="35">
        <v>300</v>
      </c>
      <c r="E401" s="35">
        <v>9680</v>
      </c>
      <c r="F401" s="35">
        <v>24574</v>
      </c>
      <c r="G401" s="35">
        <v>25560</v>
      </c>
      <c r="H401" s="35">
        <v>8694</v>
      </c>
      <c r="I401" s="27">
        <f>+IFERROR(VLOOKUP(A401,'[1]Pending Dispatch'!$N$2:$O$651,2,0),0)</f>
        <v>18350</v>
      </c>
      <c r="J401" s="27">
        <f t="shared" si="6"/>
        <v>-9656</v>
      </c>
      <c r="K401" s="36">
        <v>2.9499999999999998E-2</v>
      </c>
      <c r="L401" s="36">
        <v>0.13186499999999998</v>
      </c>
      <c r="M401" s="34">
        <v>13.9</v>
      </c>
      <c r="N401" s="34">
        <v>52041.599999999999</v>
      </c>
    </row>
    <row r="402" spans="1:14" ht="15" customHeight="1" x14ac:dyDescent="0.3">
      <c r="A402" s="33" t="s">
        <v>766</v>
      </c>
      <c r="B402" s="34" t="s">
        <v>767</v>
      </c>
      <c r="C402" s="34" t="s">
        <v>666</v>
      </c>
      <c r="D402" s="35">
        <v>400</v>
      </c>
      <c r="E402" s="35">
        <v>150</v>
      </c>
      <c r="F402" s="35">
        <v>46400</v>
      </c>
      <c r="G402" s="35">
        <v>24450</v>
      </c>
      <c r="H402" s="35">
        <v>22100</v>
      </c>
      <c r="I402" s="27">
        <f>+IFERROR(VLOOKUP(A402,'[1]Pending Dispatch'!$N$2:$O$651,2,0),0)</f>
        <v>13111</v>
      </c>
      <c r="J402" s="27">
        <f t="shared" si="6"/>
        <v>8989</v>
      </c>
      <c r="K402" s="36">
        <v>4.1250000000000002E-2</v>
      </c>
      <c r="L402" s="36">
        <v>1.0116149999999999</v>
      </c>
      <c r="M402" s="34">
        <v>19.600000000000001</v>
      </c>
      <c r="N402" s="34">
        <v>176184.40000000002</v>
      </c>
    </row>
    <row r="403" spans="1:14" ht="15" customHeight="1" x14ac:dyDescent="0.3">
      <c r="A403" s="25" t="s">
        <v>768</v>
      </c>
      <c r="B403" s="26" t="s">
        <v>769</v>
      </c>
      <c r="C403" s="26" t="s">
        <v>666</v>
      </c>
      <c r="D403" s="27">
        <v>250</v>
      </c>
      <c r="E403" s="27">
        <v>21285</v>
      </c>
      <c r="F403" s="27">
        <v>57825</v>
      </c>
      <c r="G403" s="27">
        <v>56150</v>
      </c>
      <c r="H403" s="27">
        <v>22960</v>
      </c>
      <c r="I403" s="27">
        <f>+IFERROR(VLOOKUP(A403,'[1]Pending Dispatch'!$N$2:$O$651,2,0),0)</f>
        <v>37525</v>
      </c>
      <c r="J403" s="27">
        <f t="shared" si="6"/>
        <v>-14565</v>
      </c>
      <c r="K403" s="28">
        <v>7.2950000000000001E-2</v>
      </c>
      <c r="L403" s="28">
        <v>1.9689204999999999</v>
      </c>
      <c r="M403" s="26">
        <v>568</v>
      </c>
      <c r="N403" s="26">
        <v>-2308920</v>
      </c>
    </row>
    <row r="404" spans="1:14" ht="15" customHeight="1" x14ac:dyDescent="0.3">
      <c r="A404" s="25" t="s">
        <v>770</v>
      </c>
      <c r="B404" s="26" t="s">
        <v>771</v>
      </c>
      <c r="C404" s="26" t="s">
        <v>666</v>
      </c>
      <c r="D404" s="27">
        <v>150</v>
      </c>
      <c r="E404" s="27">
        <v>610</v>
      </c>
      <c r="F404" s="27">
        <v>4790</v>
      </c>
      <c r="G404" s="27">
        <v>3233</v>
      </c>
      <c r="H404" s="27">
        <v>2167</v>
      </c>
      <c r="I404" s="27">
        <f>+IFERROR(VLOOKUP(A404,'[1]Pending Dispatch'!$N$2:$O$651,2,0),0)</f>
        <v>3000</v>
      </c>
      <c r="J404" s="27">
        <f t="shared" si="6"/>
        <v>-833</v>
      </c>
      <c r="K404" s="28">
        <v>0.1113</v>
      </c>
      <c r="L404" s="28">
        <v>0.45410400000000001</v>
      </c>
      <c r="M404" s="26">
        <v>52.9</v>
      </c>
      <c r="N404" s="26">
        <v>-44065.7</v>
      </c>
    </row>
    <row r="405" spans="1:14" ht="15" customHeight="1" x14ac:dyDescent="0.3">
      <c r="A405" s="33" t="s">
        <v>772</v>
      </c>
      <c r="B405" s="34" t="s">
        <v>773</v>
      </c>
      <c r="C405" s="34" t="s">
        <v>666</v>
      </c>
      <c r="D405" s="35">
        <v>100</v>
      </c>
      <c r="E405" s="35">
        <v>306</v>
      </c>
      <c r="F405" s="35">
        <v>4080</v>
      </c>
      <c r="G405" s="35">
        <v>3280</v>
      </c>
      <c r="H405" s="35">
        <v>1106</v>
      </c>
      <c r="I405" s="27">
        <f>+IFERROR(VLOOKUP(A405,'[1]Pending Dispatch'!$N$2:$O$651,2,0),0)</f>
        <v>1250</v>
      </c>
      <c r="J405" s="27">
        <f t="shared" si="6"/>
        <v>-144</v>
      </c>
      <c r="K405" s="36">
        <v>0.14649999999999999</v>
      </c>
      <c r="L405" s="36">
        <v>0.82684599999999997</v>
      </c>
      <c r="M405" s="34">
        <v>68.8</v>
      </c>
      <c r="N405" s="34">
        <v>-9907.1999999999989</v>
      </c>
    </row>
    <row r="406" spans="1:14" ht="15" customHeight="1" x14ac:dyDescent="0.3">
      <c r="A406" s="25" t="s">
        <v>774</v>
      </c>
      <c r="B406" s="26" t="s">
        <v>775</v>
      </c>
      <c r="C406" s="26" t="s">
        <v>666</v>
      </c>
      <c r="D406" s="27">
        <v>50</v>
      </c>
      <c r="E406" s="27">
        <v>1530</v>
      </c>
      <c r="F406" s="27">
        <v>0</v>
      </c>
      <c r="G406" s="27">
        <v>758</v>
      </c>
      <c r="H406" s="27">
        <v>772</v>
      </c>
      <c r="I406" s="27">
        <f>+IFERROR(VLOOKUP(A406,'[1]Pending Dispatch'!$N$2:$O$651,2,0),0)</f>
        <v>610</v>
      </c>
      <c r="J406" s="27">
        <f t="shared" si="6"/>
        <v>162</v>
      </c>
      <c r="K406" s="28">
        <v>0.21609999999999999</v>
      </c>
      <c r="L406" s="28">
        <v>0.30253999999999998</v>
      </c>
      <c r="M406" s="26">
        <v>103.4</v>
      </c>
      <c r="N406" s="26">
        <v>16750.8</v>
      </c>
    </row>
    <row r="407" spans="1:14" ht="15" customHeight="1" x14ac:dyDescent="0.3">
      <c r="A407" s="25" t="s">
        <v>776</v>
      </c>
      <c r="B407" s="26" t="s">
        <v>777</v>
      </c>
      <c r="C407" s="26" t="s">
        <v>666</v>
      </c>
      <c r="D407" s="27">
        <v>15</v>
      </c>
      <c r="E407" s="27">
        <v>152</v>
      </c>
      <c r="F407" s="27">
        <v>0</v>
      </c>
      <c r="G407" s="27">
        <v>0</v>
      </c>
      <c r="H407" s="27">
        <v>152</v>
      </c>
      <c r="I407" s="27">
        <f>+IFERROR(VLOOKUP(A407,'[1]Pending Dispatch'!$N$2:$O$651,2,0),0)</f>
        <v>40</v>
      </c>
      <c r="J407" s="27">
        <f t="shared" si="6"/>
        <v>112</v>
      </c>
      <c r="K407" s="28">
        <v>0.49149999999999999</v>
      </c>
      <c r="L407" s="28">
        <v>0.11157049999999999</v>
      </c>
      <c r="M407" s="26">
        <v>848</v>
      </c>
      <c r="N407" s="26">
        <v>94976</v>
      </c>
    </row>
    <row r="408" spans="1:14" ht="15" customHeight="1" x14ac:dyDescent="0.3">
      <c r="A408" s="25" t="s">
        <v>778</v>
      </c>
      <c r="B408" s="26" t="s">
        <v>779</v>
      </c>
      <c r="C408" s="26" t="s">
        <v>666</v>
      </c>
      <c r="D408" s="27">
        <v>10</v>
      </c>
      <c r="E408" s="27">
        <v>30</v>
      </c>
      <c r="F408" s="27">
        <v>190</v>
      </c>
      <c r="G408" s="27">
        <v>70</v>
      </c>
      <c r="H408" s="27">
        <v>150</v>
      </c>
      <c r="I408" s="27">
        <f>+IFERROR(VLOOKUP(A408,'[1]Pending Dispatch'!$N$2:$O$651,2,0),0)</f>
        <v>0</v>
      </c>
      <c r="J408" s="27">
        <f t="shared" si="6"/>
        <v>150</v>
      </c>
      <c r="K408" s="28">
        <v>0.78579999999999994</v>
      </c>
      <c r="L408" s="28">
        <v>0.17759079999999997</v>
      </c>
      <c r="M408" s="26">
        <v>398</v>
      </c>
      <c r="N408" s="26">
        <v>59700</v>
      </c>
    </row>
    <row r="409" spans="1:14" ht="15" customHeight="1" x14ac:dyDescent="0.3">
      <c r="A409" s="25" t="s">
        <v>780</v>
      </c>
      <c r="B409" s="26" t="s">
        <v>781</v>
      </c>
      <c r="C409" s="26" t="s">
        <v>666</v>
      </c>
      <c r="D409" s="27">
        <v>5</v>
      </c>
      <c r="E409" s="27">
        <v>169</v>
      </c>
      <c r="F409" s="27">
        <v>0</v>
      </c>
      <c r="G409" s="27">
        <v>0</v>
      </c>
      <c r="H409" s="27">
        <v>169</v>
      </c>
      <c r="I409" s="27">
        <f>+IFERROR(VLOOKUP(A409,'[1]Pending Dispatch'!$N$2:$O$651,2,0),0)</f>
        <v>0</v>
      </c>
      <c r="J409" s="27">
        <f t="shared" si="6"/>
        <v>169</v>
      </c>
      <c r="K409" s="28">
        <v>1.2849999999999999</v>
      </c>
      <c r="L409" s="28">
        <v>0.23515499999999998</v>
      </c>
      <c r="M409" s="26">
        <v>664</v>
      </c>
      <c r="N409" s="26">
        <v>112216</v>
      </c>
    </row>
    <row r="410" spans="1:14" ht="15" customHeight="1" x14ac:dyDescent="0.3">
      <c r="A410" s="25" t="s">
        <v>782</v>
      </c>
      <c r="B410" s="26" t="s">
        <v>783</v>
      </c>
      <c r="C410" s="26" t="s">
        <v>666</v>
      </c>
      <c r="D410" s="27">
        <v>400</v>
      </c>
      <c r="E410" s="27">
        <v>2731</v>
      </c>
      <c r="F410" s="27">
        <v>8900</v>
      </c>
      <c r="G410" s="27">
        <v>10420</v>
      </c>
      <c r="H410" s="27">
        <v>1211</v>
      </c>
      <c r="I410" s="27">
        <f>+IFERROR(VLOOKUP(A410,'[1]Pending Dispatch'!$N$2:$O$651,2,0),0)</f>
        <v>8900</v>
      </c>
      <c r="J410" s="27">
        <f t="shared" si="6"/>
        <v>-7689</v>
      </c>
      <c r="K410" s="28">
        <v>4.1700000000000001E-2</v>
      </c>
      <c r="L410" s="28">
        <v>0.22451280000000001</v>
      </c>
      <c r="M410" s="26">
        <v>19.600000000000001</v>
      </c>
      <c r="N410" s="26">
        <v>-150704.40000000002</v>
      </c>
    </row>
    <row r="411" spans="1:14" ht="15" customHeight="1" x14ac:dyDescent="0.3">
      <c r="A411" s="25" t="s">
        <v>784</v>
      </c>
      <c r="B411" s="26" t="s">
        <v>785</v>
      </c>
      <c r="C411" s="26" t="s">
        <v>666</v>
      </c>
      <c r="D411" s="27">
        <v>300</v>
      </c>
      <c r="E411" s="27">
        <v>19700</v>
      </c>
      <c r="F411" s="27">
        <v>1500</v>
      </c>
      <c r="G411" s="27">
        <v>12900</v>
      </c>
      <c r="H411" s="27">
        <v>8300</v>
      </c>
      <c r="I411" s="27">
        <f>+IFERROR(VLOOKUP(A411,'[1]Pending Dispatch'!$N$2:$O$651,2,0),0)</f>
        <v>5899</v>
      </c>
      <c r="J411" s="27">
        <f t="shared" si="6"/>
        <v>2401</v>
      </c>
      <c r="K411" s="28">
        <v>5.7200000000000001E-2</v>
      </c>
      <c r="L411" s="28">
        <v>0.66781000000000001</v>
      </c>
      <c r="M411" s="26">
        <v>29.4</v>
      </c>
      <c r="N411" s="26">
        <v>70589.399999999994</v>
      </c>
    </row>
    <row r="412" spans="1:14" ht="15" customHeight="1" x14ac:dyDescent="0.3">
      <c r="A412" s="33" t="s">
        <v>786</v>
      </c>
      <c r="B412" s="34" t="s">
        <v>787</v>
      </c>
      <c r="C412" s="34" t="s">
        <v>666</v>
      </c>
      <c r="D412" s="35">
        <v>150</v>
      </c>
      <c r="E412" s="35">
        <v>2980</v>
      </c>
      <c r="F412" s="35">
        <v>17350</v>
      </c>
      <c r="G412" s="35">
        <v>19050</v>
      </c>
      <c r="H412" s="35">
        <v>1280</v>
      </c>
      <c r="I412" s="27">
        <f>+IFERROR(VLOOKUP(A412,'[1]Pending Dispatch'!$N$2:$O$651,2,0),0)</f>
        <v>16600</v>
      </c>
      <c r="J412" s="27">
        <f t="shared" si="6"/>
        <v>-15320</v>
      </c>
      <c r="K412" s="36">
        <v>9.4E-2</v>
      </c>
      <c r="L412" s="36">
        <v>0.33896399999999999</v>
      </c>
      <c r="M412" s="34">
        <v>1398</v>
      </c>
      <c r="N412" s="34">
        <v>-13029360</v>
      </c>
    </row>
    <row r="413" spans="1:14" ht="15" customHeight="1" x14ac:dyDescent="0.3">
      <c r="A413" s="25" t="s">
        <v>788</v>
      </c>
      <c r="B413" s="26" t="s">
        <v>789</v>
      </c>
      <c r="C413" s="26" t="s">
        <v>666</v>
      </c>
      <c r="D413" s="27">
        <v>80</v>
      </c>
      <c r="E413" s="27">
        <v>107</v>
      </c>
      <c r="F413" s="27">
        <v>3150</v>
      </c>
      <c r="G413" s="27">
        <v>1060</v>
      </c>
      <c r="H413" s="27">
        <v>2197</v>
      </c>
      <c r="I413" s="27">
        <f>+IFERROR(VLOOKUP(A413,'[1]Pending Dispatch'!$N$2:$O$651,2,0),0)</f>
        <v>1680</v>
      </c>
      <c r="J413" s="27">
        <f t="shared" si="6"/>
        <v>517</v>
      </c>
      <c r="K413" s="28">
        <v>0.14610000000000001</v>
      </c>
      <c r="L413" s="28">
        <v>0.29468369999999999</v>
      </c>
      <c r="M413" s="26">
        <v>69.900000000000006</v>
      </c>
      <c r="N413" s="26">
        <v>36138.300000000003</v>
      </c>
    </row>
    <row r="414" spans="1:14" ht="15" customHeight="1" x14ac:dyDescent="0.3">
      <c r="A414" s="25" t="s">
        <v>790</v>
      </c>
      <c r="B414" s="26" t="s">
        <v>791</v>
      </c>
      <c r="C414" s="26" t="s">
        <v>666</v>
      </c>
      <c r="D414" s="27">
        <v>50</v>
      </c>
      <c r="E414" s="27">
        <v>2153</v>
      </c>
      <c r="F414" s="27">
        <v>0</v>
      </c>
      <c r="G414" s="27">
        <v>1350</v>
      </c>
      <c r="H414" s="27">
        <v>803</v>
      </c>
      <c r="I414" s="27">
        <f>+IFERROR(VLOOKUP(A414,'[1]Pending Dispatch'!$N$2:$O$651,2,0),0)</f>
        <v>950</v>
      </c>
      <c r="J414" s="27">
        <f t="shared" si="6"/>
        <v>-147</v>
      </c>
      <c r="K414" s="28">
        <v>0.19400000000000001</v>
      </c>
      <c r="L414" s="28">
        <v>0.577538</v>
      </c>
      <c r="M414" s="26">
        <v>91.8</v>
      </c>
      <c r="N414" s="26">
        <v>-13494.6</v>
      </c>
    </row>
    <row r="415" spans="1:14" ht="15" customHeight="1" x14ac:dyDescent="0.3">
      <c r="A415" s="25" t="s">
        <v>792</v>
      </c>
      <c r="B415" s="26" t="s">
        <v>793</v>
      </c>
      <c r="C415" s="26" t="s">
        <v>666</v>
      </c>
      <c r="D415" s="27">
        <v>40</v>
      </c>
      <c r="E415" s="27">
        <v>254</v>
      </c>
      <c r="F415" s="27">
        <v>950</v>
      </c>
      <c r="G415" s="27">
        <v>440</v>
      </c>
      <c r="H415" s="27">
        <v>764</v>
      </c>
      <c r="I415" s="27">
        <f>+IFERROR(VLOOKUP(A415,'[1]Pending Dispatch'!$N$2:$O$651,2,0),0)</f>
        <v>660</v>
      </c>
      <c r="J415" s="27">
        <f t="shared" si="6"/>
        <v>104</v>
      </c>
      <c r="K415" s="28">
        <v>0.29480000000000001</v>
      </c>
      <c r="L415" s="28">
        <v>0.13383919999999999</v>
      </c>
      <c r="M415" s="26">
        <v>141.6</v>
      </c>
      <c r="N415" s="26">
        <v>26054.399999999998</v>
      </c>
    </row>
    <row r="416" spans="1:14" ht="15" customHeight="1" x14ac:dyDescent="0.3">
      <c r="A416" s="25" t="s">
        <v>794</v>
      </c>
      <c r="B416" s="26" t="s">
        <v>795</v>
      </c>
      <c r="C416" s="26" t="s">
        <v>666</v>
      </c>
      <c r="D416" s="27">
        <v>10</v>
      </c>
      <c r="E416" s="27">
        <v>441</v>
      </c>
      <c r="F416" s="27">
        <v>0</v>
      </c>
      <c r="G416" s="27">
        <v>0</v>
      </c>
      <c r="H416" s="27">
        <v>441</v>
      </c>
      <c r="I416" s="27">
        <f>+IFERROR(VLOOKUP(A416,'[1]Pending Dispatch'!$N$2:$O$651,2,0),0)</f>
        <v>35</v>
      </c>
      <c r="J416" s="27">
        <f t="shared" si="6"/>
        <v>406</v>
      </c>
      <c r="K416" s="28">
        <v>0.6472</v>
      </c>
      <c r="L416" s="28">
        <v>0.31777519999999998</v>
      </c>
      <c r="M416" s="26">
        <v>338</v>
      </c>
      <c r="N416" s="26">
        <v>137228</v>
      </c>
    </row>
    <row r="417" spans="1:14" ht="15" customHeight="1" x14ac:dyDescent="0.3">
      <c r="A417" s="25" t="s">
        <v>796</v>
      </c>
      <c r="B417" s="26" t="s">
        <v>797</v>
      </c>
      <c r="C417" s="26" t="s">
        <v>666</v>
      </c>
      <c r="D417" s="27">
        <v>6</v>
      </c>
      <c r="E417" s="27">
        <v>0</v>
      </c>
      <c r="F417" s="27">
        <v>294</v>
      </c>
      <c r="G417" s="27">
        <v>21</v>
      </c>
      <c r="H417" s="27">
        <v>273</v>
      </c>
      <c r="I417" s="27">
        <f>+IFERROR(VLOOKUP(A417,'[1]Pending Dispatch'!$N$2:$O$651,2,0),0)</f>
        <v>24</v>
      </c>
      <c r="J417" s="27">
        <f t="shared" si="6"/>
        <v>249</v>
      </c>
      <c r="K417" s="28">
        <v>0.9869</v>
      </c>
      <c r="L417" s="28">
        <v>5.1318800000000005E-2</v>
      </c>
      <c r="M417" s="26">
        <v>548</v>
      </c>
      <c r="N417" s="26">
        <v>136452</v>
      </c>
    </row>
    <row r="418" spans="1:14" ht="15" customHeight="1" x14ac:dyDescent="0.3">
      <c r="A418" s="25" t="s">
        <v>798</v>
      </c>
      <c r="B418" s="26" t="s">
        <v>799</v>
      </c>
      <c r="C418" s="26" t="s">
        <v>666</v>
      </c>
      <c r="D418" s="27">
        <v>4</v>
      </c>
      <c r="E418" s="27">
        <v>82</v>
      </c>
      <c r="F418" s="27">
        <v>0</v>
      </c>
      <c r="G418" s="27">
        <v>0</v>
      </c>
      <c r="H418" s="27">
        <v>82</v>
      </c>
      <c r="I418" s="27">
        <f>+IFERROR(VLOOKUP(A418,'[1]Pending Dispatch'!$N$2:$O$651,2,0),0)</f>
        <v>8</v>
      </c>
      <c r="J418" s="27">
        <f t="shared" si="6"/>
        <v>74</v>
      </c>
      <c r="K418" s="28">
        <v>1.605</v>
      </c>
      <c r="L418" s="28">
        <v>0.16370999999999999</v>
      </c>
      <c r="M418" s="26">
        <v>888</v>
      </c>
      <c r="N418" s="26">
        <v>65712</v>
      </c>
    </row>
    <row r="419" spans="1:14" ht="15" customHeight="1" x14ac:dyDescent="0.3">
      <c r="A419" s="25" t="s">
        <v>800</v>
      </c>
      <c r="B419" s="26" t="s">
        <v>801</v>
      </c>
      <c r="C419" s="26" t="s">
        <v>666</v>
      </c>
      <c r="D419" s="27">
        <v>150</v>
      </c>
      <c r="E419" s="27">
        <v>3061</v>
      </c>
      <c r="F419" s="27">
        <v>0</v>
      </c>
      <c r="G419" s="27">
        <v>900</v>
      </c>
      <c r="H419" s="27">
        <v>2161</v>
      </c>
      <c r="I419" s="27">
        <f>+IFERROR(VLOOKUP(A419,'[1]Pending Dispatch'!$N$2:$O$651,2,0),0)</f>
        <v>675</v>
      </c>
      <c r="J419" s="27">
        <f t="shared" si="6"/>
        <v>1486</v>
      </c>
      <c r="K419" s="28">
        <v>7.4249999999999997E-2</v>
      </c>
      <c r="L419" s="28">
        <v>0.11738924999999999</v>
      </c>
      <c r="M419" s="26">
        <v>112.5</v>
      </c>
      <c r="N419" s="26">
        <v>167625</v>
      </c>
    </row>
    <row r="420" spans="1:14" ht="15" customHeight="1" x14ac:dyDescent="0.3">
      <c r="A420" s="25" t="s">
        <v>802</v>
      </c>
      <c r="B420" s="26" t="s">
        <v>803</v>
      </c>
      <c r="C420" s="26" t="s">
        <v>666</v>
      </c>
      <c r="D420" s="27">
        <v>150</v>
      </c>
      <c r="E420" s="27">
        <v>3754</v>
      </c>
      <c r="F420" s="27">
        <v>0</v>
      </c>
      <c r="G420" s="27">
        <v>3601</v>
      </c>
      <c r="H420" s="27">
        <v>153</v>
      </c>
      <c r="I420" s="27">
        <f>+IFERROR(VLOOKUP(A420,'[1]Pending Dispatch'!$N$2:$O$651,2,0),0)</f>
        <v>1100</v>
      </c>
      <c r="J420" s="27">
        <f t="shared" si="6"/>
        <v>-947</v>
      </c>
      <c r="K420" s="28">
        <v>7.0999999999999994E-2</v>
      </c>
      <c r="L420" s="28">
        <v>9.4429999999999986E-2</v>
      </c>
      <c r="M420" s="26">
        <v>110</v>
      </c>
      <c r="N420" s="26">
        <v>-104170</v>
      </c>
    </row>
    <row r="421" spans="1:14" ht="15" customHeight="1" x14ac:dyDescent="0.3">
      <c r="A421" s="25" t="s">
        <v>804</v>
      </c>
      <c r="B421" s="26" t="s">
        <v>805</v>
      </c>
      <c r="C421" s="26" t="s">
        <v>666</v>
      </c>
      <c r="D421" s="27">
        <v>100</v>
      </c>
      <c r="E421" s="27">
        <v>140</v>
      </c>
      <c r="F421" s="27">
        <v>4640</v>
      </c>
      <c r="G421" s="27">
        <v>2000</v>
      </c>
      <c r="H421" s="27">
        <v>2780</v>
      </c>
      <c r="I421" s="27">
        <f>+IFERROR(VLOOKUP(A421,'[1]Pending Dispatch'!$N$2:$O$651,2,0),0)</f>
        <v>600</v>
      </c>
      <c r="J421" s="27">
        <f t="shared" si="6"/>
        <v>2180</v>
      </c>
      <c r="K421" s="28">
        <v>0.10125000000000001</v>
      </c>
      <c r="L421" s="28">
        <v>0.46261125000000003</v>
      </c>
      <c r="M421" s="26">
        <v>174</v>
      </c>
      <c r="N421" s="26">
        <v>379320</v>
      </c>
    </row>
    <row r="422" spans="1:14" ht="15" customHeight="1" x14ac:dyDescent="0.3">
      <c r="A422" s="33" t="s">
        <v>806</v>
      </c>
      <c r="B422" s="34" t="s">
        <v>807</v>
      </c>
      <c r="C422" s="34" t="s">
        <v>666</v>
      </c>
      <c r="D422" s="35">
        <v>50</v>
      </c>
      <c r="E422" s="35">
        <v>935</v>
      </c>
      <c r="F422" s="35">
        <v>3870</v>
      </c>
      <c r="G422" s="35">
        <v>2650</v>
      </c>
      <c r="H422" s="35">
        <v>2155</v>
      </c>
      <c r="I422" s="27">
        <f>+IFERROR(VLOOKUP(A422,'[1]Pending Dispatch'!$N$2:$O$651,2,0),0)</f>
        <v>1450</v>
      </c>
      <c r="J422" s="27">
        <f t="shared" si="6"/>
        <v>705</v>
      </c>
      <c r="K422" s="36">
        <v>0.16300000000000001</v>
      </c>
      <c r="L422" s="36">
        <v>0.108069</v>
      </c>
      <c r="M422" s="34">
        <v>242</v>
      </c>
      <c r="N422" s="34">
        <v>294514</v>
      </c>
    </row>
    <row r="423" spans="1:14" ht="15" customHeight="1" x14ac:dyDescent="0.3">
      <c r="A423" s="25" t="s">
        <v>808</v>
      </c>
      <c r="B423" s="26" t="s">
        <v>809</v>
      </c>
      <c r="C423" s="26" t="s">
        <v>666</v>
      </c>
      <c r="D423" s="27">
        <v>40</v>
      </c>
      <c r="E423" s="27">
        <v>355</v>
      </c>
      <c r="F423" s="27">
        <v>384</v>
      </c>
      <c r="G423" s="27">
        <v>367</v>
      </c>
      <c r="H423" s="27">
        <v>372</v>
      </c>
      <c r="I423" s="27">
        <f>+IFERROR(VLOOKUP(A423,'[1]Pending Dispatch'!$N$2:$O$651,2,0),0)</f>
        <v>360</v>
      </c>
      <c r="J423" s="27">
        <f t="shared" si="6"/>
        <v>12</v>
      </c>
      <c r="K423" s="28">
        <v>0.23035</v>
      </c>
      <c r="L423" s="28">
        <v>8.2695649999999996E-2</v>
      </c>
      <c r="M423" s="26">
        <v>399</v>
      </c>
      <c r="N423" s="26">
        <v>4788</v>
      </c>
    </row>
    <row r="424" spans="1:14" ht="15" customHeight="1" x14ac:dyDescent="0.3">
      <c r="A424" s="33" t="s">
        <v>810</v>
      </c>
      <c r="B424" s="34" t="s">
        <v>811</v>
      </c>
      <c r="C424" s="34" t="s">
        <v>666</v>
      </c>
      <c r="D424" s="35">
        <v>30</v>
      </c>
      <c r="E424" s="35">
        <v>39</v>
      </c>
      <c r="F424" s="35">
        <v>216</v>
      </c>
      <c r="G424" s="35">
        <v>210</v>
      </c>
      <c r="H424" s="35">
        <v>45</v>
      </c>
      <c r="I424" s="27">
        <f>+IFERROR(VLOOKUP(A424,'[1]Pending Dispatch'!$N$2:$O$651,2,0),0)</f>
        <v>210</v>
      </c>
      <c r="J424" s="27">
        <f t="shared" si="6"/>
        <v>-165</v>
      </c>
      <c r="K424" s="36">
        <v>0.26100000000000001</v>
      </c>
      <c r="L424" s="36">
        <v>3.8106000000000001E-2</v>
      </c>
      <c r="M424" s="34">
        <v>488</v>
      </c>
      <c r="N424" s="34">
        <v>119072</v>
      </c>
    </row>
    <row r="425" spans="1:14" ht="15" customHeight="1" x14ac:dyDescent="0.3">
      <c r="A425" s="25" t="s">
        <v>812</v>
      </c>
      <c r="B425" s="26" t="s">
        <v>813</v>
      </c>
      <c r="C425" s="26" t="s">
        <v>666</v>
      </c>
      <c r="D425" s="27">
        <v>20</v>
      </c>
      <c r="E425" s="27">
        <v>294</v>
      </c>
      <c r="F425" s="27">
        <v>0</v>
      </c>
      <c r="G425" s="27">
        <v>60</v>
      </c>
      <c r="H425" s="27">
        <v>234</v>
      </c>
      <c r="I425" s="27">
        <f>+IFERROR(VLOOKUP(A425,'[1]Pending Dispatch'!$N$2:$O$651,2,0),0)</f>
        <v>0</v>
      </c>
      <c r="J425" s="27">
        <f t="shared" si="6"/>
        <v>234</v>
      </c>
      <c r="K425" s="28">
        <v>0.46044999999999997</v>
      </c>
      <c r="L425" s="28">
        <v>0.15609255</v>
      </c>
      <c r="M425" s="26">
        <v>799</v>
      </c>
      <c r="N425" s="26">
        <v>186966</v>
      </c>
    </row>
    <row r="426" spans="1:14" ht="15" customHeight="1" x14ac:dyDescent="0.3">
      <c r="A426" s="25" t="s">
        <v>814</v>
      </c>
      <c r="B426" s="26" t="s">
        <v>815</v>
      </c>
      <c r="C426" s="26" t="s">
        <v>666</v>
      </c>
      <c r="D426" s="27">
        <v>200</v>
      </c>
      <c r="E426" s="27">
        <v>4421</v>
      </c>
      <c r="F426" s="27">
        <v>5782</v>
      </c>
      <c r="G426" s="27">
        <v>7000</v>
      </c>
      <c r="H426" s="27">
        <v>3203</v>
      </c>
      <c r="I426" s="27">
        <f>+IFERROR(VLOOKUP(A426,'[1]Pending Dispatch'!$N$2:$O$651,2,0),0)</f>
        <v>3600</v>
      </c>
      <c r="J426" s="27">
        <f t="shared" si="6"/>
        <v>-397</v>
      </c>
      <c r="K426" s="28">
        <v>4.4120000000000006E-2</v>
      </c>
      <c r="L426" s="28">
        <v>1.4250760000000001E-2</v>
      </c>
      <c r="M426" s="26">
        <v>58</v>
      </c>
      <c r="N426" s="26">
        <v>-23026</v>
      </c>
    </row>
    <row r="427" spans="1:14" ht="15" customHeight="1" x14ac:dyDescent="0.3">
      <c r="A427" s="25" t="s">
        <v>816</v>
      </c>
      <c r="B427" s="26" t="s">
        <v>817</v>
      </c>
      <c r="C427" s="26" t="s">
        <v>666</v>
      </c>
      <c r="D427" s="27">
        <v>150</v>
      </c>
      <c r="E427" s="27">
        <v>825</v>
      </c>
      <c r="F427" s="27">
        <v>0</v>
      </c>
      <c r="G427" s="27">
        <v>600</v>
      </c>
      <c r="H427" s="27">
        <v>225</v>
      </c>
      <c r="I427" s="27">
        <f>+IFERROR(VLOOKUP(A427,'[1]Pending Dispatch'!$N$2:$O$651,2,0),0)</f>
        <v>300</v>
      </c>
      <c r="J427" s="27">
        <f t="shared" si="6"/>
        <v>-75</v>
      </c>
      <c r="K427" s="28">
        <v>7.2999999999999995E-2</v>
      </c>
      <c r="L427" s="28">
        <v>0.11132499999999999</v>
      </c>
      <c r="M427" s="26">
        <v>114</v>
      </c>
      <c r="N427" s="26">
        <v>-8550</v>
      </c>
    </row>
    <row r="428" spans="1:14" ht="15" customHeight="1" x14ac:dyDescent="0.3">
      <c r="A428" s="25" t="s">
        <v>818</v>
      </c>
      <c r="B428" s="26" t="s">
        <v>819</v>
      </c>
      <c r="C428" s="26" t="s">
        <v>666</v>
      </c>
      <c r="D428" s="27">
        <v>75</v>
      </c>
      <c r="E428" s="27">
        <v>1260</v>
      </c>
      <c r="F428" s="27">
        <v>0</v>
      </c>
      <c r="G428" s="27">
        <v>1054</v>
      </c>
      <c r="H428" s="27">
        <v>206</v>
      </c>
      <c r="I428" s="27">
        <f>+IFERROR(VLOOKUP(A428,'[1]Pending Dispatch'!$N$2:$O$651,2,0),0)</f>
        <v>1125</v>
      </c>
      <c r="J428" s="27">
        <f t="shared" si="6"/>
        <v>-919</v>
      </c>
      <c r="K428" s="28">
        <v>0.122</v>
      </c>
      <c r="L428" s="28">
        <v>0.10809199999999999</v>
      </c>
      <c r="M428" s="26">
        <v>174</v>
      </c>
      <c r="N428" s="26">
        <v>-159732</v>
      </c>
    </row>
    <row r="429" spans="1:14" ht="15" customHeight="1" x14ac:dyDescent="0.3">
      <c r="A429" s="25" t="s">
        <v>820</v>
      </c>
      <c r="B429" s="26" t="s">
        <v>821</v>
      </c>
      <c r="C429" s="26" t="s">
        <v>666</v>
      </c>
      <c r="D429" s="27">
        <v>40</v>
      </c>
      <c r="E429" s="27">
        <v>457</v>
      </c>
      <c r="F429" s="27">
        <v>0</v>
      </c>
      <c r="G429" s="27">
        <v>430</v>
      </c>
      <c r="H429" s="27">
        <v>27</v>
      </c>
      <c r="I429" s="27">
        <f>+IFERROR(VLOOKUP(A429,'[1]Pending Dispatch'!$N$2:$O$651,2,0),0)</f>
        <v>280</v>
      </c>
      <c r="J429" s="27">
        <f t="shared" si="6"/>
        <v>-253</v>
      </c>
      <c r="K429" s="28">
        <v>0.19419999999999998</v>
      </c>
      <c r="L429" s="28">
        <v>3.6897999999999996E-3</v>
      </c>
      <c r="M429" s="26">
        <v>298</v>
      </c>
      <c r="N429" s="26">
        <v>-75096</v>
      </c>
    </row>
    <row r="430" spans="1:14" ht="15" customHeight="1" x14ac:dyDescent="0.3">
      <c r="A430" s="25" t="s">
        <v>822</v>
      </c>
      <c r="B430" s="26" t="s">
        <v>823</v>
      </c>
      <c r="C430" s="26" t="s">
        <v>666</v>
      </c>
      <c r="D430" s="27">
        <v>30</v>
      </c>
      <c r="E430" s="27">
        <v>131</v>
      </c>
      <c r="F430" s="27">
        <v>720</v>
      </c>
      <c r="G430" s="27">
        <v>240</v>
      </c>
      <c r="H430" s="27">
        <v>611</v>
      </c>
      <c r="I430" s="27">
        <f>+IFERROR(VLOOKUP(A430,'[1]Pending Dispatch'!$N$2:$O$651,2,0),0)</f>
        <v>90</v>
      </c>
      <c r="J430" s="27">
        <f t="shared" si="6"/>
        <v>521</v>
      </c>
      <c r="K430" s="28">
        <v>0.3</v>
      </c>
      <c r="L430" s="28">
        <v>0.16829999999999998</v>
      </c>
      <c r="M430" s="26">
        <v>468</v>
      </c>
      <c r="N430" s="26">
        <v>243828</v>
      </c>
    </row>
    <row r="431" spans="1:14" ht="15" customHeight="1" x14ac:dyDescent="0.3">
      <c r="A431" s="25" t="s">
        <v>824</v>
      </c>
      <c r="B431" s="26" t="s">
        <v>825</v>
      </c>
      <c r="C431" s="26" t="s">
        <v>666</v>
      </c>
      <c r="D431" s="27">
        <v>20</v>
      </c>
      <c r="E431" s="27">
        <v>55</v>
      </c>
      <c r="F431" s="27">
        <v>0</v>
      </c>
      <c r="G431" s="27">
        <v>0</v>
      </c>
      <c r="H431" s="27">
        <v>55</v>
      </c>
      <c r="I431" s="27">
        <f>+IFERROR(VLOOKUP(A431,'[1]Pending Dispatch'!$N$2:$O$651,2,0),0)</f>
        <v>0</v>
      </c>
      <c r="J431" s="27">
        <f t="shared" si="6"/>
        <v>55</v>
      </c>
      <c r="K431" s="28">
        <v>0.43019999999999997</v>
      </c>
      <c r="L431" s="28">
        <v>5.1623999999999996E-2</v>
      </c>
      <c r="M431" s="26">
        <v>658</v>
      </c>
      <c r="N431" s="26">
        <v>36190</v>
      </c>
    </row>
    <row r="432" spans="1:14" ht="15" customHeight="1" x14ac:dyDescent="0.3">
      <c r="A432" s="25" t="s">
        <v>826</v>
      </c>
      <c r="B432" s="26" t="s">
        <v>827</v>
      </c>
      <c r="C432" s="26" t="s">
        <v>666</v>
      </c>
      <c r="D432" s="27">
        <v>300</v>
      </c>
      <c r="E432" s="27">
        <v>1425</v>
      </c>
      <c r="F432" s="27">
        <v>0</v>
      </c>
      <c r="G432" s="27">
        <v>900</v>
      </c>
      <c r="H432" s="27">
        <v>525</v>
      </c>
      <c r="I432" s="27">
        <f>+IFERROR(VLOOKUP(A432,'[1]Pending Dispatch'!$N$2:$O$651,2,0),0)</f>
        <v>0</v>
      </c>
      <c r="J432" s="27">
        <f t="shared" si="6"/>
        <v>525</v>
      </c>
      <c r="K432" s="28">
        <v>3.2250000000000001E-2</v>
      </c>
      <c r="L432" s="28">
        <v>2.4187500000000003E-3</v>
      </c>
      <c r="M432" s="26">
        <v>15.8</v>
      </c>
      <c r="N432" s="26">
        <v>8374</v>
      </c>
    </row>
    <row r="433" spans="1:14" ht="15" customHeight="1" x14ac:dyDescent="0.3">
      <c r="A433" s="25" t="s">
        <v>828</v>
      </c>
      <c r="B433" s="26" t="s">
        <v>829</v>
      </c>
      <c r="C433" s="26" t="s">
        <v>666</v>
      </c>
      <c r="D433" s="27">
        <v>200</v>
      </c>
      <c r="E433" s="27">
        <v>590</v>
      </c>
      <c r="F433" s="27">
        <v>0</v>
      </c>
      <c r="G433" s="27">
        <v>0</v>
      </c>
      <c r="H433" s="27">
        <v>590</v>
      </c>
      <c r="I433" s="27">
        <f>+IFERROR(VLOOKUP(A433,'[1]Pending Dispatch'!$N$2:$O$651,2,0),0)</f>
        <v>200</v>
      </c>
      <c r="J433" s="27">
        <f t="shared" si="6"/>
        <v>390</v>
      </c>
      <c r="K433" s="28">
        <v>5.7750000000000003E-2</v>
      </c>
      <c r="L433" s="28">
        <v>2.8297500000000003E-2</v>
      </c>
      <c r="M433" s="26">
        <v>116</v>
      </c>
      <c r="N433" s="26">
        <v>45240</v>
      </c>
    </row>
    <row r="434" spans="1:14" ht="15" customHeight="1" x14ac:dyDescent="0.3">
      <c r="A434" s="25" t="s">
        <v>830</v>
      </c>
      <c r="B434" s="26" t="s">
        <v>831</v>
      </c>
      <c r="C434" s="26" t="s">
        <v>666</v>
      </c>
      <c r="D434" s="27">
        <v>600</v>
      </c>
      <c r="E434" s="27">
        <v>5283</v>
      </c>
      <c r="F434" s="27">
        <v>2600</v>
      </c>
      <c r="G434" s="27">
        <v>5600</v>
      </c>
      <c r="H434" s="27">
        <v>2283</v>
      </c>
      <c r="I434" s="27">
        <f>+IFERROR(VLOOKUP(A434,'[1]Pending Dispatch'!$N$2:$O$651,2,0),0)</f>
        <v>800</v>
      </c>
      <c r="J434" s="27">
        <f t="shared" si="6"/>
        <v>1483</v>
      </c>
      <c r="K434" s="28">
        <v>2.0550000000000002E-2</v>
      </c>
      <c r="L434" s="28">
        <v>2.2255650000000002E-2</v>
      </c>
      <c r="M434" s="26">
        <v>114</v>
      </c>
      <c r="N434" s="26">
        <v>169062</v>
      </c>
    </row>
    <row r="435" spans="1:14" ht="15" customHeight="1" x14ac:dyDescent="0.3">
      <c r="A435" s="25" t="s">
        <v>832</v>
      </c>
      <c r="B435" s="26" t="s">
        <v>833</v>
      </c>
      <c r="C435" s="26" t="s">
        <v>666</v>
      </c>
      <c r="D435" s="27">
        <v>600</v>
      </c>
      <c r="E435" s="27">
        <v>5389</v>
      </c>
      <c r="F435" s="27">
        <v>0</v>
      </c>
      <c r="G435" s="27">
        <v>4200</v>
      </c>
      <c r="H435" s="27">
        <v>1189</v>
      </c>
      <c r="I435" s="27">
        <f>+IFERROR(VLOOKUP(A435,'[1]Pending Dispatch'!$N$2:$O$651,2,0),0)</f>
        <v>625</v>
      </c>
      <c r="J435" s="27">
        <f t="shared" si="6"/>
        <v>564</v>
      </c>
      <c r="K435" s="28">
        <v>2.9600000000000001E-2</v>
      </c>
      <c r="L435" s="28">
        <v>2.4834400000000003E-2</v>
      </c>
      <c r="M435" s="26">
        <v>178</v>
      </c>
      <c r="N435" s="26">
        <v>100392</v>
      </c>
    </row>
    <row r="436" spans="1:14" ht="15" customHeight="1" x14ac:dyDescent="0.3">
      <c r="A436" s="25" t="s">
        <v>834</v>
      </c>
      <c r="B436" s="26" t="s">
        <v>835</v>
      </c>
      <c r="C436" s="26" t="s">
        <v>666</v>
      </c>
      <c r="D436" s="27">
        <v>300</v>
      </c>
      <c r="E436" s="27">
        <v>37</v>
      </c>
      <c r="F436" s="27">
        <v>11775</v>
      </c>
      <c r="G436" s="27">
        <v>7050</v>
      </c>
      <c r="H436" s="27">
        <v>4762</v>
      </c>
      <c r="I436" s="27">
        <f>+IFERROR(VLOOKUP(A436,'[1]Pending Dispatch'!$N$2:$O$651,2,0),0)</f>
        <v>2570</v>
      </c>
      <c r="J436" s="27">
        <f t="shared" si="6"/>
        <v>2192</v>
      </c>
      <c r="K436" s="28">
        <v>5.0250000000000003E-2</v>
      </c>
      <c r="L436" s="28">
        <v>0.10251</v>
      </c>
      <c r="M436" s="26">
        <v>23.8</v>
      </c>
      <c r="N436" s="26">
        <v>52169.599999999999</v>
      </c>
    </row>
    <row r="437" spans="1:14" ht="15" customHeight="1" x14ac:dyDescent="0.3">
      <c r="A437" s="25" t="s">
        <v>836</v>
      </c>
      <c r="B437" s="26" t="s">
        <v>837</v>
      </c>
      <c r="C437" s="26" t="s">
        <v>666</v>
      </c>
      <c r="D437" s="27">
        <v>120</v>
      </c>
      <c r="E437" s="27">
        <v>515</v>
      </c>
      <c r="F437" s="27">
        <v>0</v>
      </c>
      <c r="G437" s="27">
        <v>439</v>
      </c>
      <c r="H437" s="27">
        <v>76</v>
      </c>
      <c r="I437" s="27">
        <f>+IFERROR(VLOOKUP(A437,'[1]Pending Dispatch'!$N$2:$O$651,2,0),0)</f>
        <v>460</v>
      </c>
      <c r="J437" s="27">
        <f t="shared" si="6"/>
        <v>-384</v>
      </c>
      <c r="K437" s="28">
        <v>6.8699999999999997E-2</v>
      </c>
      <c r="L437" s="28">
        <v>0.1315605</v>
      </c>
      <c r="M437" s="26">
        <v>32.6</v>
      </c>
      <c r="N437" s="26">
        <v>-12518.400000000001</v>
      </c>
    </row>
    <row r="438" spans="1:14" ht="15" customHeight="1" x14ac:dyDescent="0.3">
      <c r="A438" s="25" t="s">
        <v>838</v>
      </c>
      <c r="B438" s="26" t="s">
        <v>839</v>
      </c>
      <c r="C438" s="26" t="s">
        <v>666</v>
      </c>
      <c r="D438" s="27">
        <v>80</v>
      </c>
      <c r="E438" s="27">
        <v>941</v>
      </c>
      <c r="F438" s="27">
        <v>3</v>
      </c>
      <c r="G438" s="27">
        <v>260</v>
      </c>
      <c r="H438" s="27">
        <v>684</v>
      </c>
      <c r="I438" s="27">
        <f>+IFERROR(VLOOKUP(A438,'[1]Pending Dispatch'!$N$2:$O$651,2,0),0)</f>
        <v>340</v>
      </c>
      <c r="J438" s="27">
        <f t="shared" si="6"/>
        <v>344</v>
      </c>
      <c r="K438" s="28">
        <v>9.2700000000000005E-2</v>
      </c>
      <c r="L438" s="28">
        <v>4.1066100000000001E-2</v>
      </c>
      <c r="M438" s="26">
        <v>44.4</v>
      </c>
      <c r="N438" s="26">
        <v>15273.6</v>
      </c>
    </row>
    <row r="439" spans="1:14" ht="15" customHeight="1" x14ac:dyDescent="0.3">
      <c r="A439" s="25" t="s">
        <v>840</v>
      </c>
      <c r="B439" s="26" t="s">
        <v>841</v>
      </c>
      <c r="C439" s="26" t="s">
        <v>666</v>
      </c>
      <c r="D439" s="27">
        <v>60</v>
      </c>
      <c r="E439" s="27">
        <v>827</v>
      </c>
      <c r="F439" s="27">
        <v>0</v>
      </c>
      <c r="G439" s="27">
        <v>61</v>
      </c>
      <c r="H439" s="27">
        <v>766</v>
      </c>
      <c r="I439" s="27">
        <f>+IFERROR(VLOOKUP(A439,'[1]Pending Dispatch'!$N$2:$O$651,2,0),0)</f>
        <v>0</v>
      </c>
      <c r="J439" s="27">
        <f t="shared" si="6"/>
        <v>766</v>
      </c>
      <c r="K439" s="28">
        <v>0.129</v>
      </c>
      <c r="L439" s="28">
        <v>9.2493000000000006E-2</v>
      </c>
      <c r="M439" s="26">
        <v>178</v>
      </c>
      <c r="N439" s="26">
        <v>136348</v>
      </c>
    </row>
    <row r="440" spans="1:14" ht="15" customHeight="1" x14ac:dyDescent="0.3">
      <c r="A440" s="25" t="s">
        <v>842</v>
      </c>
      <c r="B440" s="26" t="s">
        <v>843</v>
      </c>
      <c r="C440" s="26" t="s">
        <v>666</v>
      </c>
      <c r="D440" s="27">
        <v>30</v>
      </c>
      <c r="E440" s="27">
        <v>438</v>
      </c>
      <c r="F440" s="27">
        <v>0</v>
      </c>
      <c r="G440" s="27">
        <v>1</v>
      </c>
      <c r="H440" s="27">
        <v>437</v>
      </c>
      <c r="I440" s="27">
        <f>+IFERROR(VLOOKUP(A440,'[1]Pending Dispatch'!$N$2:$O$651,2,0),0)</f>
        <v>6</v>
      </c>
      <c r="J440" s="27">
        <f t="shared" si="6"/>
        <v>431</v>
      </c>
      <c r="K440" s="28">
        <v>0.19490000000000002</v>
      </c>
      <c r="L440" s="28">
        <v>9.7060200000000013E-2</v>
      </c>
      <c r="M440" s="26">
        <v>106.8</v>
      </c>
      <c r="N440" s="26">
        <v>46030.799999999996</v>
      </c>
    </row>
    <row r="441" spans="1:14" ht="15" customHeight="1" x14ac:dyDescent="0.3">
      <c r="A441" s="25" t="s">
        <v>844</v>
      </c>
      <c r="B441" s="26" t="s">
        <v>845</v>
      </c>
      <c r="C441" s="26" t="s">
        <v>666</v>
      </c>
      <c r="D441" s="27">
        <v>20</v>
      </c>
      <c r="E441" s="27">
        <v>110</v>
      </c>
      <c r="F441" s="27">
        <v>0</v>
      </c>
      <c r="G441" s="27">
        <v>7</v>
      </c>
      <c r="H441" s="27">
        <v>103</v>
      </c>
      <c r="I441" s="27">
        <f>+IFERROR(VLOOKUP(A441,'[1]Pending Dispatch'!$N$2:$O$651,2,0),0)</f>
        <v>2</v>
      </c>
      <c r="J441" s="27">
        <f t="shared" si="6"/>
        <v>101</v>
      </c>
      <c r="K441" s="28">
        <v>0.33350000000000002</v>
      </c>
      <c r="L441" s="28">
        <v>3.6685000000000002E-2</v>
      </c>
      <c r="M441" s="26">
        <v>218</v>
      </c>
      <c r="N441" s="26">
        <v>22018</v>
      </c>
    </row>
    <row r="442" spans="1:14" ht="15" customHeight="1" x14ac:dyDescent="0.3">
      <c r="A442" s="25" t="s">
        <v>846</v>
      </c>
      <c r="B442" s="26" t="s">
        <v>847</v>
      </c>
      <c r="C442" s="26" t="s">
        <v>666</v>
      </c>
      <c r="D442" s="27">
        <v>10</v>
      </c>
      <c r="E442" s="27">
        <v>109</v>
      </c>
      <c r="F442" s="27">
        <v>2</v>
      </c>
      <c r="G442" s="27">
        <v>0</v>
      </c>
      <c r="H442" s="27">
        <v>111</v>
      </c>
      <c r="I442" s="27">
        <f>+IFERROR(VLOOKUP(A442,'[1]Pending Dispatch'!$N$2:$O$651,2,0),0)</f>
        <v>10</v>
      </c>
      <c r="J442" s="27">
        <f t="shared" si="6"/>
        <v>101</v>
      </c>
      <c r="K442" s="28">
        <v>0.5625</v>
      </c>
      <c r="L442" s="28">
        <v>6.1312499999999999E-2</v>
      </c>
      <c r="M442" s="26">
        <v>398</v>
      </c>
      <c r="N442" s="26">
        <v>40198</v>
      </c>
    </row>
    <row r="443" spans="1:14" ht="15" customHeight="1" x14ac:dyDescent="0.3">
      <c r="A443" s="25" t="s">
        <v>848</v>
      </c>
      <c r="B443" s="26" t="s">
        <v>849</v>
      </c>
      <c r="C443" s="26" t="s">
        <v>666</v>
      </c>
      <c r="D443" s="27">
        <v>800</v>
      </c>
      <c r="E443" s="27">
        <v>2907</v>
      </c>
      <c r="F443" s="27">
        <v>10100</v>
      </c>
      <c r="G443" s="27">
        <v>9500</v>
      </c>
      <c r="H443" s="27">
        <v>3507</v>
      </c>
      <c r="I443" s="27">
        <f>+IFERROR(VLOOKUP(A443,'[1]Pending Dispatch'!$N$2:$O$651,2,0),0)</f>
        <v>0</v>
      </c>
      <c r="J443" s="27">
        <f t="shared" si="6"/>
        <v>3507</v>
      </c>
      <c r="K443" s="28">
        <v>1.4919999999999999E-2</v>
      </c>
      <c r="L443" s="28">
        <v>9.7084439999999994E-2</v>
      </c>
      <c r="M443" s="26">
        <v>7.5</v>
      </c>
      <c r="N443" s="26">
        <v>26302.5</v>
      </c>
    </row>
    <row r="444" spans="1:14" ht="15" customHeight="1" x14ac:dyDescent="0.3">
      <c r="A444" s="25" t="s">
        <v>850</v>
      </c>
      <c r="B444" s="26" t="s">
        <v>851</v>
      </c>
      <c r="C444" s="26" t="s">
        <v>666</v>
      </c>
      <c r="D444" s="27">
        <v>400</v>
      </c>
      <c r="E444" s="27">
        <v>38</v>
      </c>
      <c r="F444" s="27">
        <v>3350</v>
      </c>
      <c r="G444" s="27">
        <v>2750</v>
      </c>
      <c r="H444" s="27">
        <v>638</v>
      </c>
      <c r="I444" s="27">
        <f>+IFERROR(VLOOKUP(A444,'[1]Pending Dispatch'!$N$2:$O$651,2,0),0)</f>
        <v>769</v>
      </c>
      <c r="J444" s="27">
        <f t="shared" si="6"/>
        <v>-131</v>
      </c>
      <c r="K444" s="28">
        <v>2.3E-2</v>
      </c>
      <c r="L444" s="28">
        <v>8.9239999999999996E-3</v>
      </c>
      <c r="M444" s="26">
        <v>10.9</v>
      </c>
      <c r="N444" s="26">
        <v>-1427.9</v>
      </c>
    </row>
    <row r="445" spans="1:14" ht="15" customHeight="1" x14ac:dyDescent="0.3">
      <c r="A445" s="25" t="s">
        <v>852</v>
      </c>
      <c r="B445" s="26" t="s">
        <v>853</v>
      </c>
      <c r="C445" s="26" t="s">
        <v>666</v>
      </c>
      <c r="D445" s="27">
        <v>400</v>
      </c>
      <c r="E445" s="27">
        <v>925</v>
      </c>
      <c r="F445" s="27">
        <v>11500</v>
      </c>
      <c r="G445" s="27">
        <v>9300</v>
      </c>
      <c r="H445" s="27">
        <v>3125</v>
      </c>
      <c r="I445" s="27">
        <f>+IFERROR(VLOOKUP(A445,'[1]Pending Dispatch'!$N$2:$O$651,2,0),0)</f>
        <v>3003</v>
      </c>
      <c r="J445" s="27">
        <f t="shared" si="6"/>
        <v>122</v>
      </c>
      <c r="K445" s="28">
        <v>4.2500000000000003E-2</v>
      </c>
      <c r="L445" s="28">
        <v>3.7187499999999998E-2</v>
      </c>
      <c r="M445" s="26">
        <v>20.399999999999999</v>
      </c>
      <c r="N445" s="26">
        <v>2488.7999999999997</v>
      </c>
    </row>
    <row r="446" spans="1:14" ht="15" customHeight="1" x14ac:dyDescent="0.3">
      <c r="A446" s="33" t="s">
        <v>854</v>
      </c>
      <c r="B446" s="34" t="s">
        <v>855</v>
      </c>
      <c r="C446" s="34" t="s">
        <v>666</v>
      </c>
      <c r="D446" s="35">
        <v>120</v>
      </c>
      <c r="E446" s="35">
        <v>1415</v>
      </c>
      <c r="F446" s="35">
        <v>3</v>
      </c>
      <c r="G446" s="35">
        <v>1200</v>
      </c>
      <c r="H446" s="35">
        <v>218</v>
      </c>
      <c r="I446" s="27">
        <f>+IFERROR(VLOOKUP(A446,'[1]Pending Dispatch'!$N$2:$O$651,2,0),0)</f>
        <v>240</v>
      </c>
      <c r="J446" s="27">
        <f t="shared" si="6"/>
        <v>-22</v>
      </c>
      <c r="K446" s="36">
        <v>5.9749999999999998E-2</v>
      </c>
      <c r="L446" s="36">
        <v>2.300375E-2</v>
      </c>
      <c r="M446" s="34">
        <v>29.2</v>
      </c>
      <c r="N446" s="34">
        <v>-642.4</v>
      </c>
    </row>
    <row r="447" spans="1:14" ht="15" customHeight="1" x14ac:dyDescent="0.3">
      <c r="A447" s="25" t="s">
        <v>856</v>
      </c>
      <c r="B447" s="26" t="s">
        <v>857</v>
      </c>
      <c r="C447" s="26" t="s">
        <v>666</v>
      </c>
      <c r="D447" s="27">
        <v>80</v>
      </c>
      <c r="E447" s="27">
        <v>1244</v>
      </c>
      <c r="F447" s="27">
        <v>0</v>
      </c>
      <c r="G447" s="27">
        <v>640</v>
      </c>
      <c r="H447" s="27">
        <v>604</v>
      </c>
      <c r="I447" s="27">
        <f>+IFERROR(VLOOKUP(A447,'[1]Pending Dispatch'!$N$2:$O$651,2,0),0)</f>
        <v>240</v>
      </c>
      <c r="J447" s="27">
        <f t="shared" si="6"/>
        <v>364</v>
      </c>
      <c r="K447" s="28">
        <v>7.5200000000000003E-2</v>
      </c>
      <c r="L447" s="28">
        <v>2.06048E-2</v>
      </c>
      <c r="M447" s="26">
        <v>36.200000000000003</v>
      </c>
      <c r="N447" s="26">
        <v>13176.800000000001</v>
      </c>
    </row>
    <row r="448" spans="1:14" ht="15" customHeight="1" x14ac:dyDescent="0.3">
      <c r="A448" s="25" t="s">
        <v>858</v>
      </c>
      <c r="B448" s="26" t="s">
        <v>859</v>
      </c>
      <c r="C448" s="26" t="s">
        <v>666</v>
      </c>
      <c r="D448" s="27">
        <v>60</v>
      </c>
      <c r="E448" s="27">
        <v>1427</v>
      </c>
      <c r="F448" s="27">
        <v>0</v>
      </c>
      <c r="G448" s="27">
        <v>60</v>
      </c>
      <c r="H448" s="27">
        <v>1367</v>
      </c>
      <c r="I448" s="27">
        <f>+IFERROR(VLOOKUP(A448,'[1]Pending Dispatch'!$N$2:$O$651,2,0),0)</f>
        <v>0</v>
      </c>
      <c r="J448" s="27">
        <f t="shared" si="6"/>
        <v>1367</v>
      </c>
      <c r="K448" s="28">
        <v>0.10920000000000001</v>
      </c>
      <c r="L448" s="28">
        <v>7.0652400000000004E-2</v>
      </c>
      <c r="M448" s="26">
        <v>54.6</v>
      </c>
      <c r="N448" s="26">
        <v>74638.2</v>
      </c>
    </row>
    <row r="449" spans="1:14" ht="15" customHeight="1" x14ac:dyDescent="0.3">
      <c r="A449" s="25" t="s">
        <v>860</v>
      </c>
      <c r="B449" s="26" t="s">
        <v>861</v>
      </c>
      <c r="C449" s="26" t="s">
        <v>666</v>
      </c>
      <c r="D449" s="27">
        <v>30</v>
      </c>
      <c r="E449" s="27">
        <v>60</v>
      </c>
      <c r="F449" s="27">
        <v>1</v>
      </c>
      <c r="G449" s="27">
        <v>0</v>
      </c>
      <c r="H449" s="27">
        <v>61</v>
      </c>
      <c r="I449" s="27">
        <f>+IFERROR(VLOOKUP(A449,'[1]Pending Dispatch'!$N$2:$O$651,2,0),0)</f>
        <v>5</v>
      </c>
      <c r="J449" s="27">
        <f t="shared" si="6"/>
        <v>56</v>
      </c>
      <c r="K449" s="28">
        <v>0.20150000000000001</v>
      </c>
      <c r="L449" s="28">
        <v>1.209E-2</v>
      </c>
      <c r="M449" s="26">
        <v>109</v>
      </c>
      <c r="N449" s="26">
        <v>6104</v>
      </c>
    </row>
    <row r="450" spans="1:14" ht="15" customHeight="1" x14ac:dyDescent="0.3">
      <c r="A450" s="25" t="s">
        <v>862</v>
      </c>
      <c r="B450" s="26" t="s">
        <v>863</v>
      </c>
      <c r="C450" s="26" t="s">
        <v>666</v>
      </c>
      <c r="D450" s="27">
        <v>24</v>
      </c>
      <c r="E450" s="27">
        <v>273</v>
      </c>
      <c r="F450" s="27">
        <v>0</v>
      </c>
      <c r="G450" s="27">
        <v>0</v>
      </c>
      <c r="H450" s="27">
        <v>273</v>
      </c>
      <c r="I450" s="27">
        <f>+IFERROR(VLOOKUP(A450,'[1]Pending Dispatch'!$N$2:$O$651,2,0),0)</f>
        <v>0</v>
      </c>
      <c r="J450" s="27">
        <f t="shared" si="6"/>
        <v>273</v>
      </c>
      <c r="K450" s="28">
        <v>0.27429999999999999</v>
      </c>
      <c r="L450" s="28">
        <v>7.4883900000000003E-2</v>
      </c>
      <c r="M450" s="26">
        <v>154</v>
      </c>
      <c r="N450" s="26">
        <v>42042</v>
      </c>
    </row>
    <row r="451" spans="1:14" ht="15" customHeight="1" x14ac:dyDescent="0.3">
      <c r="A451" s="25" t="s">
        <v>864</v>
      </c>
      <c r="B451" s="26" t="s">
        <v>865</v>
      </c>
      <c r="C451" s="26" t="s">
        <v>666</v>
      </c>
      <c r="D451" s="27">
        <v>13</v>
      </c>
      <c r="E451" s="27">
        <v>81</v>
      </c>
      <c r="F451" s="27">
        <v>0</v>
      </c>
      <c r="G451" s="27">
        <v>1</v>
      </c>
      <c r="H451" s="27">
        <v>80</v>
      </c>
      <c r="I451" s="27">
        <f>+IFERROR(VLOOKUP(A451,'[1]Pending Dispatch'!$N$2:$O$651,2,0),0)</f>
        <v>0</v>
      </c>
      <c r="J451" s="27">
        <f t="shared" si="6"/>
        <v>80</v>
      </c>
      <c r="K451" s="28">
        <v>0.55149999999999999</v>
      </c>
      <c r="L451" s="28">
        <v>4.4671500000000003E-2</v>
      </c>
      <c r="M451" s="26">
        <v>298</v>
      </c>
      <c r="N451" s="26">
        <v>23840</v>
      </c>
    </row>
    <row r="452" spans="1:14" ht="15" customHeight="1" x14ac:dyDescent="0.3">
      <c r="A452" s="25" t="s">
        <v>866</v>
      </c>
      <c r="B452" s="26" t="s">
        <v>867</v>
      </c>
      <c r="C452" s="26" t="s">
        <v>666</v>
      </c>
      <c r="D452" s="27">
        <v>300</v>
      </c>
      <c r="E452" s="27">
        <v>711</v>
      </c>
      <c r="F452" s="27">
        <v>2400</v>
      </c>
      <c r="G452" s="27">
        <v>600</v>
      </c>
      <c r="H452" s="27">
        <v>2511</v>
      </c>
      <c r="I452" s="27">
        <f>+IFERROR(VLOOKUP(A452,'[1]Pending Dispatch'!$N$2:$O$651,2,0),0)</f>
        <v>1800</v>
      </c>
      <c r="J452" s="27">
        <f t="shared" si="6"/>
        <v>711</v>
      </c>
      <c r="K452" s="28">
        <v>5.45E-2</v>
      </c>
      <c r="L452" s="28">
        <v>0.15592449999999999</v>
      </c>
      <c r="M452" s="26">
        <v>28.8</v>
      </c>
      <c r="N452" s="26">
        <v>52156.800000000003</v>
      </c>
    </row>
    <row r="453" spans="1:14" ht="15" customHeight="1" x14ac:dyDescent="0.3">
      <c r="A453" s="33" t="s">
        <v>868</v>
      </c>
      <c r="B453" s="34" t="s">
        <v>869</v>
      </c>
      <c r="C453" s="34" t="s">
        <v>666</v>
      </c>
      <c r="D453" s="35">
        <v>100</v>
      </c>
      <c r="E453" s="35">
        <v>1179</v>
      </c>
      <c r="F453" s="35">
        <v>4975</v>
      </c>
      <c r="G453" s="35">
        <v>2500</v>
      </c>
      <c r="H453" s="35">
        <v>3654</v>
      </c>
      <c r="I453" s="27">
        <f>+IFERROR(VLOOKUP(A453,'[1]Pending Dispatch'!$N$2:$O$651,2,0),0)</f>
        <v>1900</v>
      </c>
      <c r="J453" s="27">
        <f t="shared" si="6"/>
        <v>1754</v>
      </c>
      <c r="K453" s="36">
        <v>8.5250000000000006E-2</v>
      </c>
      <c r="L453" s="36">
        <v>0.23051600000000003</v>
      </c>
      <c r="M453" s="34">
        <v>43.8</v>
      </c>
      <c r="N453" s="34">
        <v>89965.2</v>
      </c>
    </row>
    <row r="454" spans="1:14" ht="15" customHeight="1" x14ac:dyDescent="0.3">
      <c r="A454" s="25" t="s">
        <v>870</v>
      </c>
      <c r="B454" s="26" t="s">
        <v>871</v>
      </c>
      <c r="C454" s="26" t="s">
        <v>666</v>
      </c>
      <c r="D454" s="27">
        <v>75</v>
      </c>
      <c r="E454" s="27">
        <v>46</v>
      </c>
      <c r="F454" s="27">
        <v>6375</v>
      </c>
      <c r="G454" s="27">
        <v>3300</v>
      </c>
      <c r="H454" s="27">
        <v>3121</v>
      </c>
      <c r="I454" s="27">
        <f>+IFERROR(VLOOKUP(A454,'[1]Pending Dispatch'!$N$2:$O$651,2,0),0)</f>
        <v>1050</v>
      </c>
      <c r="J454" s="27">
        <f t="shared" ref="J454:J517" si="7">+H454-I454</f>
        <v>2071</v>
      </c>
      <c r="K454" s="28">
        <v>8.8999999999999996E-2</v>
      </c>
      <c r="L454" s="28">
        <v>0.10644399999999998</v>
      </c>
      <c r="M454" s="26">
        <v>46</v>
      </c>
      <c r="N454" s="26">
        <v>95266</v>
      </c>
    </row>
    <row r="455" spans="1:14" ht="15" customHeight="1" x14ac:dyDescent="0.3">
      <c r="A455" s="25" t="s">
        <v>872</v>
      </c>
      <c r="B455" s="26" t="s">
        <v>873</v>
      </c>
      <c r="C455" s="26" t="s">
        <v>666</v>
      </c>
      <c r="D455" s="27">
        <v>50</v>
      </c>
      <c r="E455" s="27">
        <v>128</v>
      </c>
      <c r="F455" s="27">
        <v>0</v>
      </c>
      <c r="G455" s="27">
        <v>100</v>
      </c>
      <c r="H455" s="27">
        <v>28</v>
      </c>
      <c r="I455" s="27">
        <f>+IFERROR(VLOOKUP(A455,'[1]Pending Dispatch'!$N$2:$O$651,2,0),0)</f>
        <v>0</v>
      </c>
      <c r="J455" s="27">
        <f t="shared" si="7"/>
        <v>28</v>
      </c>
      <c r="K455" s="28">
        <v>0.12884999999999999</v>
      </c>
      <c r="L455" s="28">
        <v>2.9377799999999996E-2</v>
      </c>
      <c r="M455" s="26">
        <v>74.400000000000006</v>
      </c>
      <c r="N455" s="26">
        <v>2083.2000000000003</v>
      </c>
    </row>
    <row r="456" spans="1:14" ht="15" customHeight="1" x14ac:dyDescent="0.3">
      <c r="A456" s="25" t="s">
        <v>874</v>
      </c>
      <c r="B456" s="26" t="s">
        <v>875</v>
      </c>
      <c r="C456" s="26" t="s">
        <v>666</v>
      </c>
      <c r="D456" s="27">
        <v>50</v>
      </c>
      <c r="E456" s="27">
        <v>724</v>
      </c>
      <c r="F456" s="27">
        <v>0</v>
      </c>
      <c r="G456" s="27">
        <v>50</v>
      </c>
      <c r="H456" s="27">
        <v>674</v>
      </c>
      <c r="I456" s="27">
        <f>+IFERROR(VLOOKUP(A456,'[1]Pending Dispatch'!$N$2:$O$651,2,0),0)</f>
        <v>0</v>
      </c>
      <c r="J456" s="27">
        <f t="shared" si="7"/>
        <v>674</v>
      </c>
      <c r="K456" s="28">
        <v>0.1308</v>
      </c>
      <c r="L456" s="28">
        <v>2.6160000000000003E-3</v>
      </c>
      <c r="M456" s="26">
        <v>74.400000000000006</v>
      </c>
      <c r="N456" s="26">
        <v>50145.600000000006</v>
      </c>
    </row>
    <row r="457" spans="1:14" ht="15" customHeight="1" x14ac:dyDescent="0.3">
      <c r="A457" s="25" t="s">
        <v>876</v>
      </c>
      <c r="B457" s="26" t="s">
        <v>877</v>
      </c>
      <c r="C457" s="26" t="s">
        <v>666</v>
      </c>
      <c r="D457" s="27">
        <v>40</v>
      </c>
      <c r="E457" s="27">
        <v>96</v>
      </c>
      <c r="F457" s="27">
        <v>11</v>
      </c>
      <c r="G457" s="27">
        <v>80</v>
      </c>
      <c r="H457" s="27">
        <v>27</v>
      </c>
      <c r="I457" s="27">
        <f>+IFERROR(VLOOKUP(A457,'[1]Pending Dispatch'!$N$2:$O$651,2,0),0)</f>
        <v>0</v>
      </c>
      <c r="J457" s="27">
        <f t="shared" si="7"/>
        <v>27</v>
      </c>
      <c r="K457" s="28">
        <v>0.16500000000000001</v>
      </c>
      <c r="L457" s="28">
        <v>1.9140000000000001E-2</v>
      </c>
      <c r="M457" s="26">
        <v>89.4</v>
      </c>
      <c r="N457" s="26">
        <v>2413.8000000000002</v>
      </c>
    </row>
    <row r="458" spans="1:14" ht="15" customHeight="1" x14ac:dyDescent="0.3">
      <c r="A458" s="25" t="s">
        <v>878</v>
      </c>
      <c r="B458" s="26" t="s">
        <v>879</v>
      </c>
      <c r="C458" s="26" t="s">
        <v>666</v>
      </c>
      <c r="D458" s="27">
        <v>40</v>
      </c>
      <c r="E458" s="27">
        <v>195</v>
      </c>
      <c r="F458" s="27">
        <v>1270</v>
      </c>
      <c r="G458" s="27">
        <v>640</v>
      </c>
      <c r="H458" s="27">
        <v>825</v>
      </c>
      <c r="I458" s="27">
        <f>+IFERROR(VLOOKUP(A458,'[1]Pending Dispatch'!$N$2:$O$651,2,0),0)</f>
        <v>0</v>
      </c>
      <c r="J458" s="27">
        <f t="shared" si="7"/>
        <v>825</v>
      </c>
      <c r="K458" s="28">
        <v>0.16980000000000001</v>
      </c>
      <c r="L458" s="28">
        <v>0.191025</v>
      </c>
      <c r="M458" s="26">
        <v>96</v>
      </c>
      <c r="N458" s="26">
        <v>79200</v>
      </c>
    </row>
    <row r="459" spans="1:14" ht="15" customHeight="1" x14ac:dyDescent="0.3">
      <c r="A459" s="25" t="s">
        <v>880</v>
      </c>
      <c r="B459" s="26" t="s">
        <v>881</v>
      </c>
      <c r="C459" s="26" t="s">
        <v>666</v>
      </c>
      <c r="D459" s="27">
        <v>50</v>
      </c>
      <c r="E459" s="27">
        <v>531</v>
      </c>
      <c r="F459" s="27">
        <v>0</v>
      </c>
      <c r="G459" s="27">
        <v>0</v>
      </c>
      <c r="H459" s="27">
        <v>531</v>
      </c>
      <c r="I459" s="27">
        <f>+IFERROR(VLOOKUP(A459,'[1]Pending Dispatch'!$N$2:$O$651,2,0),0)</f>
        <v>0</v>
      </c>
      <c r="J459" s="27">
        <f t="shared" si="7"/>
        <v>531</v>
      </c>
      <c r="K459" s="28">
        <v>0.24280000000000002</v>
      </c>
      <c r="L459" s="28">
        <v>0.12892680000000001</v>
      </c>
      <c r="M459" s="26">
        <v>138</v>
      </c>
      <c r="N459" s="26">
        <v>73278</v>
      </c>
    </row>
    <row r="460" spans="1:14" ht="15" customHeight="1" x14ac:dyDescent="0.3">
      <c r="A460" s="25" t="s">
        <v>882</v>
      </c>
      <c r="B460" s="26" t="s">
        <v>883</v>
      </c>
      <c r="C460" s="26" t="s">
        <v>666</v>
      </c>
      <c r="D460" s="27">
        <v>40</v>
      </c>
      <c r="E460" s="27">
        <v>325</v>
      </c>
      <c r="F460" s="27">
        <v>0</v>
      </c>
      <c r="G460" s="27">
        <v>90</v>
      </c>
      <c r="H460" s="27">
        <v>235</v>
      </c>
      <c r="I460" s="27">
        <f>+IFERROR(VLOOKUP(A460,'[1]Pending Dispatch'!$N$2:$O$651,2,0),0)</f>
        <v>0</v>
      </c>
      <c r="J460" s="27">
        <f t="shared" si="7"/>
        <v>235</v>
      </c>
      <c r="K460" s="28">
        <v>0.27300000000000002</v>
      </c>
      <c r="L460" s="28">
        <v>9.9645000000000011E-2</v>
      </c>
      <c r="M460" s="26">
        <v>152</v>
      </c>
      <c r="N460" s="26">
        <v>35720</v>
      </c>
    </row>
    <row r="461" spans="1:14" ht="15" customHeight="1" x14ac:dyDescent="0.3">
      <c r="A461" s="25" t="s">
        <v>884</v>
      </c>
      <c r="B461" s="26" t="s">
        <v>885</v>
      </c>
      <c r="C461" s="26" t="s">
        <v>666</v>
      </c>
      <c r="D461" s="27">
        <v>80</v>
      </c>
      <c r="E461" s="27">
        <v>1383</v>
      </c>
      <c r="F461" s="27">
        <v>7</v>
      </c>
      <c r="G461" s="27">
        <v>400</v>
      </c>
      <c r="H461" s="27">
        <v>990</v>
      </c>
      <c r="I461" s="27">
        <f>+IFERROR(VLOOKUP(A461,'[1]Pending Dispatch'!$N$2:$O$651,2,0),0)</f>
        <v>160</v>
      </c>
      <c r="J461" s="27">
        <f t="shared" si="7"/>
        <v>830</v>
      </c>
      <c r="K461" s="28">
        <v>8.1299999999999997E-2</v>
      </c>
      <c r="L461" s="28">
        <v>0.1754454</v>
      </c>
      <c r="M461" s="26">
        <v>46</v>
      </c>
      <c r="N461" s="26">
        <v>38180</v>
      </c>
    </row>
    <row r="462" spans="1:14" ht="15" customHeight="1" x14ac:dyDescent="0.3">
      <c r="A462" s="25" t="s">
        <v>886</v>
      </c>
      <c r="B462" s="26" t="s">
        <v>887</v>
      </c>
      <c r="C462" s="26" t="s">
        <v>666</v>
      </c>
      <c r="D462" s="27">
        <v>50</v>
      </c>
      <c r="E462" s="27">
        <v>2198</v>
      </c>
      <c r="F462" s="27">
        <v>0</v>
      </c>
      <c r="G462" s="27">
        <v>1650</v>
      </c>
      <c r="H462" s="27">
        <v>548</v>
      </c>
      <c r="I462" s="27">
        <f>+IFERROR(VLOOKUP(A462,'[1]Pending Dispatch'!$N$2:$O$651,2,0),0)</f>
        <v>750</v>
      </c>
      <c r="J462" s="27">
        <f t="shared" si="7"/>
        <v>-202</v>
      </c>
      <c r="K462" s="28">
        <v>9.2499999999999999E-2</v>
      </c>
      <c r="L462" s="28">
        <v>0.2037775</v>
      </c>
      <c r="M462" s="26">
        <v>52</v>
      </c>
      <c r="N462" s="26">
        <v>-7904</v>
      </c>
    </row>
    <row r="463" spans="1:14" ht="15" customHeight="1" x14ac:dyDescent="0.3">
      <c r="A463" s="25" t="s">
        <v>888</v>
      </c>
      <c r="B463" s="26" t="s">
        <v>889</v>
      </c>
      <c r="C463" s="26" t="s">
        <v>666</v>
      </c>
      <c r="D463" s="27">
        <v>40</v>
      </c>
      <c r="E463" s="27">
        <v>263</v>
      </c>
      <c r="F463" s="27">
        <v>0</v>
      </c>
      <c r="G463" s="27">
        <v>119</v>
      </c>
      <c r="H463" s="27">
        <v>144</v>
      </c>
      <c r="I463" s="27">
        <f>+IFERROR(VLOOKUP(A463,'[1]Pending Dispatch'!$N$2:$O$651,2,0),0)</f>
        <v>460</v>
      </c>
      <c r="J463" s="27">
        <f t="shared" si="7"/>
        <v>-316</v>
      </c>
      <c r="K463" s="28">
        <v>0.12709999999999999</v>
      </c>
      <c r="L463" s="28">
        <v>8.3631799999999992E-2</v>
      </c>
      <c r="M463" s="26">
        <v>68</v>
      </c>
      <c r="N463" s="26">
        <v>-21488</v>
      </c>
    </row>
    <row r="464" spans="1:14" ht="15" customHeight="1" x14ac:dyDescent="0.3">
      <c r="A464" s="25" t="s">
        <v>890</v>
      </c>
      <c r="B464" s="26" t="s">
        <v>891</v>
      </c>
      <c r="C464" s="26" t="s">
        <v>666</v>
      </c>
      <c r="D464" s="27">
        <v>30</v>
      </c>
      <c r="E464" s="27">
        <v>713</v>
      </c>
      <c r="F464" s="27">
        <v>500</v>
      </c>
      <c r="G464" s="27">
        <v>180</v>
      </c>
      <c r="H464" s="27">
        <v>1033</v>
      </c>
      <c r="I464" s="27">
        <f>+IFERROR(VLOOKUP(A464,'[1]Pending Dispatch'!$N$2:$O$651,2,0),0)</f>
        <v>450</v>
      </c>
      <c r="J464" s="27">
        <f t="shared" si="7"/>
        <v>583</v>
      </c>
      <c r="K464" s="28">
        <v>0.14499999999999999</v>
      </c>
      <c r="L464" s="28">
        <v>9.134999999999999E-3</v>
      </c>
      <c r="M464" s="26">
        <v>82</v>
      </c>
      <c r="N464" s="26">
        <v>47806</v>
      </c>
    </row>
    <row r="465" spans="1:14" ht="15" customHeight="1" x14ac:dyDescent="0.3">
      <c r="A465" s="25" t="s">
        <v>892</v>
      </c>
      <c r="B465" s="26" t="s">
        <v>893</v>
      </c>
      <c r="C465" s="26" t="s">
        <v>666</v>
      </c>
      <c r="D465" s="27">
        <v>20</v>
      </c>
      <c r="E465" s="27">
        <v>381</v>
      </c>
      <c r="F465" s="27">
        <v>0</v>
      </c>
      <c r="G465" s="27">
        <v>6</v>
      </c>
      <c r="H465" s="27">
        <v>375</v>
      </c>
      <c r="I465" s="27">
        <f>+IFERROR(VLOOKUP(A465,'[1]Pending Dispatch'!$N$2:$O$651,2,0),0)</f>
        <v>110</v>
      </c>
      <c r="J465" s="27">
        <f t="shared" si="7"/>
        <v>265</v>
      </c>
      <c r="K465" s="28">
        <v>0.22800000000000001</v>
      </c>
      <c r="L465" s="28">
        <v>0.108528</v>
      </c>
      <c r="M465" s="26">
        <v>124</v>
      </c>
      <c r="N465" s="26">
        <v>32860</v>
      </c>
    </row>
    <row r="466" spans="1:14" ht="15" customHeight="1" x14ac:dyDescent="0.3">
      <c r="A466" s="25" t="s">
        <v>894</v>
      </c>
      <c r="B466" s="26" t="s">
        <v>895</v>
      </c>
      <c r="C466" s="26" t="s">
        <v>666</v>
      </c>
      <c r="D466" s="27">
        <v>50</v>
      </c>
      <c r="E466" s="27">
        <v>1815</v>
      </c>
      <c r="F466" s="27">
        <v>4350</v>
      </c>
      <c r="G466" s="27">
        <v>5420</v>
      </c>
      <c r="H466" s="27">
        <v>745</v>
      </c>
      <c r="I466" s="27">
        <f>+IFERROR(VLOOKUP(A466,'[1]Pending Dispatch'!$N$2:$O$651,2,0),0)</f>
        <v>8600</v>
      </c>
      <c r="J466" s="27">
        <f t="shared" si="7"/>
        <v>-7855</v>
      </c>
      <c r="K466" s="28">
        <v>9.0499999999999997E-2</v>
      </c>
      <c r="L466" s="28">
        <v>0.224802</v>
      </c>
      <c r="M466" s="26">
        <v>98</v>
      </c>
      <c r="N466" s="26">
        <v>-426790</v>
      </c>
    </row>
    <row r="467" spans="1:14" ht="15" customHeight="1" x14ac:dyDescent="0.3">
      <c r="A467" s="25" t="s">
        <v>896</v>
      </c>
      <c r="B467" s="26" t="s">
        <v>897</v>
      </c>
      <c r="C467" s="26" t="s">
        <v>666</v>
      </c>
      <c r="D467" s="27">
        <v>30</v>
      </c>
      <c r="E467" s="27">
        <v>1282</v>
      </c>
      <c r="F467" s="27">
        <v>0</v>
      </c>
      <c r="G467" s="27">
        <v>642</v>
      </c>
      <c r="H467" s="27">
        <v>640</v>
      </c>
      <c r="I467" s="27">
        <f>+IFERROR(VLOOKUP(A467,'[1]Pending Dispatch'!$N$2:$O$651,2,0),0)</f>
        <v>420</v>
      </c>
      <c r="J467" s="27">
        <f t="shared" si="7"/>
        <v>220</v>
      </c>
      <c r="K467" s="28">
        <v>0.13025</v>
      </c>
      <c r="L467" s="28">
        <v>5.8873000000000002E-2</v>
      </c>
      <c r="M467" s="26">
        <v>168</v>
      </c>
      <c r="N467" s="26">
        <v>36960</v>
      </c>
    </row>
    <row r="468" spans="1:14" ht="15" customHeight="1" x14ac:dyDescent="0.3">
      <c r="A468" s="25" t="s">
        <v>898</v>
      </c>
      <c r="B468" s="26" t="s">
        <v>899</v>
      </c>
      <c r="C468" s="26" t="s">
        <v>666</v>
      </c>
      <c r="D468" s="27">
        <v>20</v>
      </c>
      <c r="E468" s="27">
        <v>426</v>
      </c>
      <c r="F468" s="27">
        <v>680</v>
      </c>
      <c r="G468" s="27">
        <v>790</v>
      </c>
      <c r="H468" s="27">
        <v>316</v>
      </c>
      <c r="I468" s="27">
        <f>+IFERROR(VLOOKUP(A468,'[1]Pending Dispatch'!$N$2:$O$651,2,0),0)</f>
        <v>60</v>
      </c>
      <c r="J468" s="27">
        <f t="shared" si="7"/>
        <v>256</v>
      </c>
      <c r="K468" s="28">
        <v>0.17899999999999999</v>
      </c>
      <c r="L468" s="28">
        <v>8.4487999999999994E-2</v>
      </c>
      <c r="M468" s="26">
        <v>268</v>
      </c>
      <c r="N468" s="26">
        <v>68608</v>
      </c>
    </row>
    <row r="469" spans="1:14" ht="15" customHeight="1" x14ac:dyDescent="0.3">
      <c r="A469" s="25" t="s">
        <v>900</v>
      </c>
      <c r="B469" s="26" t="s">
        <v>901</v>
      </c>
      <c r="C469" s="26" t="s">
        <v>666</v>
      </c>
      <c r="D469" s="27">
        <v>15</v>
      </c>
      <c r="E469" s="27">
        <v>739</v>
      </c>
      <c r="F469" s="27">
        <v>0</v>
      </c>
      <c r="G469" s="27">
        <v>30</v>
      </c>
      <c r="H469" s="27">
        <v>709</v>
      </c>
      <c r="I469" s="27">
        <f>+IFERROR(VLOOKUP(A469,'[1]Pending Dispatch'!$N$2:$O$651,2,0),0)</f>
        <v>110</v>
      </c>
      <c r="J469" s="27">
        <f t="shared" si="7"/>
        <v>599</v>
      </c>
      <c r="K469" s="28">
        <v>0.245</v>
      </c>
      <c r="L469" s="28">
        <v>4.165E-2</v>
      </c>
      <c r="M469" s="26">
        <v>94</v>
      </c>
      <c r="N469" s="26">
        <v>56306</v>
      </c>
    </row>
    <row r="470" spans="1:14" ht="15" customHeight="1" x14ac:dyDescent="0.3">
      <c r="A470" s="33" t="s">
        <v>902</v>
      </c>
      <c r="B470" s="34" t="s">
        <v>903</v>
      </c>
      <c r="C470" s="34" t="s">
        <v>666</v>
      </c>
      <c r="D470" s="35">
        <v>150</v>
      </c>
      <c r="E470" s="35">
        <v>1090</v>
      </c>
      <c r="F470" s="35">
        <v>0</v>
      </c>
      <c r="G470" s="35">
        <v>1052</v>
      </c>
      <c r="H470" s="35">
        <v>38</v>
      </c>
      <c r="I470" s="27">
        <f>+IFERROR(VLOOKUP(A470,'[1]Pending Dispatch'!$N$2:$O$651,2,0),0)</f>
        <v>300</v>
      </c>
      <c r="J470" s="27">
        <f t="shared" si="7"/>
        <v>-262</v>
      </c>
      <c r="K470" s="36">
        <v>4.9770000000000002E-2</v>
      </c>
      <c r="L470" s="36">
        <v>1.19448E-2</v>
      </c>
      <c r="M470" s="34">
        <v>184</v>
      </c>
      <c r="N470" s="34">
        <v>-48208</v>
      </c>
    </row>
    <row r="471" spans="1:14" ht="15" customHeight="1" x14ac:dyDescent="0.3">
      <c r="A471" s="33" t="s">
        <v>904</v>
      </c>
      <c r="B471" s="34" t="s">
        <v>308</v>
      </c>
      <c r="C471" s="34" t="s">
        <v>666</v>
      </c>
      <c r="D471" s="35">
        <v>100</v>
      </c>
      <c r="E471" s="35">
        <v>727</v>
      </c>
      <c r="F471" s="35">
        <v>0</v>
      </c>
      <c r="G471" s="35">
        <v>700</v>
      </c>
      <c r="H471" s="35">
        <v>27</v>
      </c>
      <c r="I471" s="27">
        <f>+IFERROR(VLOOKUP(A471,'[1]Pending Dispatch'!$N$2:$O$651,2,0),0)</f>
        <v>400</v>
      </c>
      <c r="J471" s="27">
        <f t="shared" si="7"/>
        <v>-373</v>
      </c>
      <c r="K471" s="36">
        <v>6.7150000000000001E-2</v>
      </c>
      <c r="L471" s="36">
        <v>9.5823049999999993E-2</v>
      </c>
      <c r="M471" s="34">
        <v>358</v>
      </c>
      <c r="N471" s="34">
        <v>-97734</v>
      </c>
    </row>
    <row r="472" spans="1:14" ht="15" customHeight="1" x14ac:dyDescent="0.3">
      <c r="A472" s="33" t="s">
        <v>905</v>
      </c>
      <c r="B472" s="34" t="s">
        <v>316</v>
      </c>
      <c r="C472" s="34" t="s">
        <v>666</v>
      </c>
      <c r="D472" s="35">
        <v>50</v>
      </c>
      <c r="E472" s="35">
        <v>90</v>
      </c>
      <c r="F472" s="35">
        <v>600</v>
      </c>
      <c r="G472" s="35">
        <v>601</v>
      </c>
      <c r="H472" s="35">
        <v>89</v>
      </c>
      <c r="I472" s="27">
        <f>+IFERROR(VLOOKUP(A472,'[1]Pending Dispatch'!$N$2:$O$651,2,0),0)</f>
        <v>200</v>
      </c>
      <c r="J472" s="27">
        <f t="shared" si="7"/>
        <v>-111</v>
      </c>
      <c r="K472" s="36">
        <v>0.1095</v>
      </c>
      <c r="L472" s="36">
        <v>4.8180000000000001E-2</v>
      </c>
      <c r="M472" s="34">
        <v>648</v>
      </c>
      <c r="N472" s="34">
        <v>-71928</v>
      </c>
    </row>
    <row r="473" spans="1:14" ht="14.25" customHeight="1" x14ac:dyDescent="0.3">
      <c r="A473" s="25" t="s">
        <v>906</v>
      </c>
      <c r="B473" s="26" t="s">
        <v>907</v>
      </c>
      <c r="C473" s="26" t="s">
        <v>666</v>
      </c>
      <c r="D473" s="27">
        <v>100</v>
      </c>
      <c r="E473" s="27">
        <v>2551</v>
      </c>
      <c r="F473" s="27">
        <v>5732</v>
      </c>
      <c r="G473" s="27">
        <v>2800</v>
      </c>
      <c r="H473" s="27">
        <v>5483</v>
      </c>
      <c r="I473" s="27">
        <f>+IFERROR(VLOOKUP(A473,'[1]Pending Dispatch'!$N$2:$O$651,2,0),0)</f>
        <v>1475</v>
      </c>
      <c r="J473" s="27">
        <f t="shared" si="7"/>
        <v>4008</v>
      </c>
      <c r="K473" s="28">
        <v>6.4259999999999998E-2</v>
      </c>
      <c r="L473" s="28">
        <v>6.5031119999999998E-2</v>
      </c>
      <c r="M473" s="26">
        <v>88</v>
      </c>
      <c r="N473" s="26">
        <v>352704</v>
      </c>
    </row>
    <row r="474" spans="1:14" ht="15.6" customHeight="1" x14ac:dyDescent="0.3">
      <c r="A474" s="25" t="s">
        <v>908</v>
      </c>
      <c r="B474" s="26" t="s">
        <v>909</v>
      </c>
      <c r="C474" s="26" t="s">
        <v>666</v>
      </c>
      <c r="D474" s="27">
        <v>75</v>
      </c>
      <c r="E474" s="27">
        <v>1613</v>
      </c>
      <c r="F474" s="27">
        <v>3425</v>
      </c>
      <c r="G474" s="27">
        <v>4275</v>
      </c>
      <c r="H474" s="27">
        <v>763</v>
      </c>
      <c r="I474" s="27">
        <f>+IFERROR(VLOOKUP(A474,'[1]Pending Dispatch'!$N$2:$O$651,2,0),0)</f>
        <v>1825</v>
      </c>
      <c r="J474" s="27">
        <f t="shared" si="7"/>
        <v>-1062</v>
      </c>
      <c r="K474" s="28">
        <v>8.0120000000000011E-2</v>
      </c>
      <c r="L474" s="28">
        <v>0.12602876000000002</v>
      </c>
      <c r="M474" s="26">
        <v>108</v>
      </c>
      <c r="N474" s="26">
        <v>-17496</v>
      </c>
    </row>
    <row r="475" spans="1:14" ht="15" customHeight="1" x14ac:dyDescent="0.3">
      <c r="A475" s="25" t="s">
        <v>910</v>
      </c>
      <c r="B475" s="26" t="s">
        <v>911</v>
      </c>
      <c r="C475" s="26" t="s">
        <v>666</v>
      </c>
      <c r="D475" s="27">
        <v>100</v>
      </c>
      <c r="E475" s="27">
        <v>1585</v>
      </c>
      <c r="F475" s="27">
        <v>2647</v>
      </c>
      <c r="G475" s="27">
        <v>3500</v>
      </c>
      <c r="H475" s="27">
        <v>732</v>
      </c>
      <c r="I475" s="27">
        <f>+IFERROR(VLOOKUP(A475,'[1]Pending Dispatch'!$N$2:$O$651,2,0),0)</f>
        <v>1250</v>
      </c>
      <c r="J475" s="27">
        <f t="shared" si="7"/>
        <v>-518</v>
      </c>
      <c r="K475" s="28">
        <v>0.10725</v>
      </c>
      <c r="L475" s="28">
        <v>7.7434500000000003E-2</v>
      </c>
      <c r="M475" s="26">
        <v>138</v>
      </c>
      <c r="N475" s="26">
        <v>-57684</v>
      </c>
    </row>
    <row r="476" spans="1:14" ht="15" customHeight="1" x14ac:dyDescent="0.3">
      <c r="A476" s="25" t="s">
        <v>912</v>
      </c>
      <c r="B476" s="26" t="s">
        <v>913</v>
      </c>
      <c r="C476" s="26" t="s">
        <v>666</v>
      </c>
      <c r="D476" s="27">
        <v>50</v>
      </c>
      <c r="E476" s="27">
        <v>464</v>
      </c>
      <c r="F476" s="27">
        <v>0</v>
      </c>
      <c r="G476" s="27">
        <v>50</v>
      </c>
      <c r="H476" s="27">
        <v>414</v>
      </c>
      <c r="I476" s="27">
        <f>+IFERROR(VLOOKUP(A476,'[1]Pending Dispatch'!$N$2:$O$651,2,0),0)</f>
        <v>100</v>
      </c>
      <c r="J476" s="27">
        <f t="shared" si="7"/>
        <v>314</v>
      </c>
      <c r="K476" s="28">
        <v>0.1305</v>
      </c>
      <c r="L476" s="28">
        <v>2.93625E-2</v>
      </c>
      <c r="M476" s="26">
        <v>204</v>
      </c>
      <c r="N476" s="26">
        <v>64056</v>
      </c>
    </row>
    <row r="477" spans="1:14" ht="15" customHeight="1" x14ac:dyDescent="0.3">
      <c r="A477" s="33" t="s">
        <v>914</v>
      </c>
      <c r="B477" s="34" t="s">
        <v>915</v>
      </c>
      <c r="C477" s="34" t="s">
        <v>666</v>
      </c>
      <c r="D477" s="35">
        <v>250</v>
      </c>
      <c r="E477" s="35">
        <v>812</v>
      </c>
      <c r="F477" s="35">
        <v>3601</v>
      </c>
      <c r="G477" s="35">
        <v>2600</v>
      </c>
      <c r="H477" s="35">
        <v>1813</v>
      </c>
      <c r="I477" s="27">
        <f>+IFERROR(VLOOKUP(A477,'[1]Pending Dispatch'!$N$2:$O$651,2,0),0)</f>
        <v>1000</v>
      </c>
      <c r="J477" s="27">
        <f t="shared" si="7"/>
        <v>813</v>
      </c>
      <c r="K477" s="36">
        <v>3.8950000000000005E-2</v>
      </c>
      <c r="L477" s="36">
        <v>1.4099900000000002E-2</v>
      </c>
      <c r="M477" s="34">
        <v>19.600000000000001</v>
      </c>
      <c r="N477" s="34">
        <v>15934.800000000001</v>
      </c>
    </row>
    <row r="478" spans="1:14" ht="15" customHeight="1" x14ac:dyDescent="0.3">
      <c r="A478" s="25" t="s">
        <v>916</v>
      </c>
      <c r="B478" s="26" t="s">
        <v>917</v>
      </c>
      <c r="C478" s="26" t="s">
        <v>666</v>
      </c>
      <c r="D478" s="27">
        <v>150</v>
      </c>
      <c r="E478" s="27">
        <v>719</v>
      </c>
      <c r="F478" s="27">
        <v>5290</v>
      </c>
      <c r="G478" s="27">
        <v>4050</v>
      </c>
      <c r="H478" s="27">
        <v>1959</v>
      </c>
      <c r="I478" s="27">
        <f>+IFERROR(VLOOKUP(A478,'[1]Pending Dispatch'!$N$2:$O$651,2,0),0)</f>
        <v>2550</v>
      </c>
      <c r="J478" s="27">
        <f t="shared" si="7"/>
        <v>-591</v>
      </c>
      <c r="K478" s="28">
        <v>6.2E-2</v>
      </c>
      <c r="L478" s="28">
        <v>0.26312799999999997</v>
      </c>
      <c r="M478" s="26">
        <v>31</v>
      </c>
      <c r="N478" s="26">
        <v>-18321</v>
      </c>
    </row>
    <row r="479" spans="1:14" ht="15" customHeight="1" x14ac:dyDescent="0.3">
      <c r="A479" s="25" t="s">
        <v>918</v>
      </c>
      <c r="B479" s="26" t="s">
        <v>919</v>
      </c>
      <c r="C479" s="26" t="s">
        <v>666</v>
      </c>
      <c r="D479" s="27">
        <v>100</v>
      </c>
      <c r="E479" s="27">
        <v>579</v>
      </c>
      <c r="F479" s="27">
        <v>16490</v>
      </c>
      <c r="G479" s="27">
        <v>11025</v>
      </c>
      <c r="H479" s="27">
        <v>6044</v>
      </c>
      <c r="I479" s="27">
        <f>+IFERROR(VLOOKUP(A479,'[1]Pending Dispatch'!$N$2:$O$651,2,0),0)</f>
        <v>3470</v>
      </c>
      <c r="J479" s="27">
        <f t="shared" si="7"/>
        <v>2574</v>
      </c>
      <c r="K479" s="28">
        <v>6.7629999999999996E-2</v>
      </c>
      <c r="L479" s="28">
        <v>0.29567835999999997</v>
      </c>
      <c r="M479" s="26">
        <v>88</v>
      </c>
      <c r="N479" s="26">
        <v>226512</v>
      </c>
    </row>
    <row r="480" spans="1:14" ht="15" customHeight="1" x14ac:dyDescent="0.3">
      <c r="A480" s="25" t="s">
        <v>920</v>
      </c>
      <c r="B480" s="26" t="s">
        <v>921</v>
      </c>
      <c r="C480" s="26" t="s">
        <v>666</v>
      </c>
      <c r="D480" s="27">
        <v>75</v>
      </c>
      <c r="E480" s="27">
        <v>2016</v>
      </c>
      <c r="F480" s="27">
        <v>2338</v>
      </c>
      <c r="G480" s="27">
        <v>3950</v>
      </c>
      <c r="H480" s="27">
        <v>404</v>
      </c>
      <c r="I480" s="27">
        <f>+IFERROR(VLOOKUP(A480,'[1]Pending Dispatch'!$N$2:$O$651,2,0),0)</f>
        <v>922</v>
      </c>
      <c r="J480" s="27">
        <f t="shared" si="7"/>
        <v>-518</v>
      </c>
      <c r="K480" s="28">
        <v>8.4250000000000005E-2</v>
      </c>
      <c r="L480" s="28">
        <v>0.16984800000000003</v>
      </c>
      <c r="M480" s="26">
        <v>104</v>
      </c>
      <c r="N480" s="26">
        <v>31928</v>
      </c>
    </row>
    <row r="481" spans="1:14" ht="15" customHeight="1" x14ac:dyDescent="0.3">
      <c r="A481" s="25" t="s">
        <v>922</v>
      </c>
      <c r="B481" s="26" t="s">
        <v>923</v>
      </c>
      <c r="C481" s="26" t="s">
        <v>666</v>
      </c>
      <c r="D481" s="27">
        <v>75</v>
      </c>
      <c r="E481" s="27">
        <v>270</v>
      </c>
      <c r="F481" s="27">
        <v>0</v>
      </c>
      <c r="G481" s="27">
        <v>75</v>
      </c>
      <c r="H481" s="27">
        <v>195</v>
      </c>
      <c r="I481" s="27">
        <f>+IFERROR(VLOOKUP(A481,'[1]Pending Dispatch'!$N$2:$O$651,2,0),0)</f>
        <v>171</v>
      </c>
      <c r="J481" s="27">
        <f t="shared" si="7"/>
        <v>24</v>
      </c>
      <c r="K481" s="28">
        <v>0.10775</v>
      </c>
      <c r="L481" s="28">
        <v>3.59885E-2</v>
      </c>
      <c r="M481" s="26">
        <v>158</v>
      </c>
      <c r="N481" s="26">
        <v>15800</v>
      </c>
    </row>
    <row r="482" spans="1:14" ht="15" customHeight="1" x14ac:dyDescent="0.3">
      <c r="A482" s="25" t="s">
        <v>924</v>
      </c>
      <c r="B482" s="26" t="s">
        <v>925</v>
      </c>
      <c r="C482" s="26" t="s">
        <v>666</v>
      </c>
      <c r="D482" s="27">
        <v>150</v>
      </c>
      <c r="E482" s="27">
        <v>2590</v>
      </c>
      <c r="F482" s="27">
        <v>16878</v>
      </c>
      <c r="G482" s="27">
        <v>16250</v>
      </c>
      <c r="H482" s="27">
        <v>3218</v>
      </c>
      <c r="I482" s="27">
        <f>+IFERROR(VLOOKUP(A482,'[1]Pending Dispatch'!$N$2:$O$651,2,0),0)</f>
        <v>5181</v>
      </c>
      <c r="J482" s="27">
        <f t="shared" si="7"/>
        <v>-1963</v>
      </c>
      <c r="K482" s="28">
        <v>6.6750000000000004E-2</v>
      </c>
      <c r="L482" s="28">
        <v>0.11561100000000001</v>
      </c>
      <c r="M482" s="26">
        <v>72</v>
      </c>
      <c r="N482" s="26">
        <v>-139752</v>
      </c>
    </row>
    <row r="483" spans="1:14" ht="15" customHeight="1" x14ac:dyDescent="0.3">
      <c r="A483" s="33" t="s">
        <v>926</v>
      </c>
      <c r="B483" s="34" t="s">
        <v>927</v>
      </c>
      <c r="C483" s="34" t="s">
        <v>666</v>
      </c>
      <c r="D483" s="35">
        <v>100</v>
      </c>
      <c r="E483" s="35">
        <v>97</v>
      </c>
      <c r="F483" s="35">
        <v>0</v>
      </c>
      <c r="G483" s="35">
        <v>0</v>
      </c>
      <c r="H483" s="35">
        <v>97</v>
      </c>
      <c r="I483" s="27">
        <f>+IFERROR(VLOOKUP(A483,'[1]Pending Dispatch'!$N$2:$O$651,2,0),0)</f>
        <v>140</v>
      </c>
      <c r="J483" s="27">
        <f t="shared" si="7"/>
        <v>-43</v>
      </c>
      <c r="K483" s="36">
        <v>9.0249999999999997E-2</v>
      </c>
      <c r="L483" s="36">
        <v>8.9979249999999997E-2</v>
      </c>
      <c r="M483" s="34">
        <v>148</v>
      </c>
      <c r="N483" s="34">
        <v>152736</v>
      </c>
    </row>
    <row r="484" spans="1:14" ht="15" customHeight="1" x14ac:dyDescent="0.3">
      <c r="A484" s="25" t="s">
        <v>928</v>
      </c>
      <c r="B484" s="26" t="s">
        <v>929</v>
      </c>
      <c r="C484" s="26" t="s">
        <v>666</v>
      </c>
      <c r="D484" s="27">
        <v>150</v>
      </c>
      <c r="E484" s="27">
        <v>2020</v>
      </c>
      <c r="F484" s="27">
        <v>3175</v>
      </c>
      <c r="G484" s="27">
        <v>3600</v>
      </c>
      <c r="H484" s="27">
        <v>1595</v>
      </c>
      <c r="I484" s="27">
        <f>+IFERROR(VLOOKUP(A484,'[1]Pending Dispatch'!$N$2:$O$651,2,0),0)</f>
        <v>1507</v>
      </c>
      <c r="J484" s="27">
        <f t="shared" si="7"/>
        <v>88</v>
      </c>
      <c r="K484" s="28">
        <v>6.13E-2</v>
      </c>
      <c r="L484" s="28">
        <v>9.9305999999999992E-2</v>
      </c>
      <c r="M484" s="26">
        <v>31.8</v>
      </c>
      <c r="N484" s="26">
        <v>2798.4</v>
      </c>
    </row>
    <row r="485" spans="1:14" ht="15" customHeight="1" x14ac:dyDescent="0.3">
      <c r="A485" s="25" t="s">
        <v>930</v>
      </c>
      <c r="B485" s="26" t="s">
        <v>931</v>
      </c>
      <c r="C485" s="26" t="s">
        <v>666</v>
      </c>
      <c r="D485" s="27">
        <v>150</v>
      </c>
      <c r="E485" s="27">
        <v>1313</v>
      </c>
      <c r="F485" s="27">
        <v>2300</v>
      </c>
      <c r="G485" s="27">
        <v>2250</v>
      </c>
      <c r="H485" s="27">
        <v>1363</v>
      </c>
      <c r="I485" s="27">
        <f>+IFERROR(VLOOKUP(A485,'[1]Pending Dispatch'!$N$2:$O$651,2,0),0)</f>
        <v>1283</v>
      </c>
      <c r="J485" s="27">
        <f t="shared" si="7"/>
        <v>80</v>
      </c>
      <c r="K485" s="28">
        <v>6.5299999999999997E-2</v>
      </c>
      <c r="L485" s="28">
        <v>0.18199109999999999</v>
      </c>
      <c r="M485" s="26">
        <v>34.4</v>
      </c>
      <c r="N485" s="26">
        <v>2752</v>
      </c>
    </row>
    <row r="486" spans="1:14" ht="15" customHeight="1" x14ac:dyDescent="0.3">
      <c r="A486" s="25" t="s">
        <v>932</v>
      </c>
      <c r="B486" s="26" t="s">
        <v>933</v>
      </c>
      <c r="C486" s="26" t="s">
        <v>666</v>
      </c>
      <c r="D486" s="27">
        <v>400</v>
      </c>
      <c r="E486" s="27">
        <v>2217</v>
      </c>
      <c r="F486" s="27">
        <v>8600</v>
      </c>
      <c r="G486" s="27">
        <v>2528</v>
      </c>
      <c r="H486" s="27">
        <v>8289</v>
      </c>
      <c r="I486" s="27">
        <f>+IFERROR(VLOOKUP(A486,'[1]Pending Dispatch'!$N$2:$O$651,2,0),0)</f>
        <v>1400</v>
      </c>
      <c r="J486" s="27">
        <f t="shared" si="7"/>
        <v>6889</v>
      </c>
      <c r="K486" s="28">
        <v>1.29E-2</v>
      </c>
      <c r="L486" s="28">
        <v>2.7309300000000002E-2</v>
      </c>
      <c r="M486" s="26">
        <v>6.6</v>
      </c>
      <c r="N486" s="26">
        <v>45467.399999999994</v>
      </c>
    </row>
    <row r="487" spans="1:14" ht="15" customHeight="1" x14ac:dyDescent="0.3">
      <c r="A487" s="25" t="s">
        <v>934</v>
      </c>
      <c r="B487" s="26" t="s">
        <v>935</v>
      </c>
      <c r="C487" s="26" t="s">
        <v>666</v>
      </c>
      <c r="D487" s="27">
        <v>300</v>
      </c>
      <c r="E487" s="27">
        <v>1072</v>
      </c>
      <c r="F487" s="27">
        <v>5963</v>
      </c>
      <c r="G487" s="27">
        <v>2200</v>
      </c>
      <c r="H487" s="27">
        <v>4835</v>
      </c>
      <c r="I487" s="27">
        <f>+IFERROR(VLOOKUP(A487,'[1]Pending Dispatch'!$N$2:$O$651,2,0),0)</f>
        <v>1500</v>
      </c>
      <c r="J487" s="27">
        <f t="shared" si="7"/>
        <v>3335</v>
      </c>
      <c r="K487" s="28">
        <v>1.7999999999999999E-2</v>
      </c>
      <c r="L487" s="28">
        <v>0.12909600000000002</v>
      </c>
      <c r="M487" s="26">
        <v>9.1999999999999993</v>
      </c>
      <c r="N487" s="26">
        <v>30681.999999999996</v>
      </c>
    </row>
    <row r="488" spans="1:14" ht="15" customHeight="1" x14ac:dyDescent="0.3">
      <c r="A488" s="25" t="s">
        <v>936</v>
      </c>
      <c r="B488" s="26" t="s">
        <v>937</v>
      </c>
      <c r="C488" s="26" t="s">
        <v>666</v>
      </c>
      <c r="D488" s="27">
        <v>300</v>
      </c>
      <c r="E488" s="27">
        <v>8300</v>
      </c>
      <c r="F488" s="27">
        <v>0</v>
      </c>
      <c r="G488" s="27">
        <v>4750</v>
      </c>
      <c r="H488" s="27">
        <v>3550</v>
      </c>
      <c r="I488" s="27">
        <f>+IFERROR(VLOOKUP(A488,'[1]Pending Dispatch'!$N$2:$O$651,2,0),0)</f>
        <v>2850</v>
      </c>
      <c r="J488" s="27">
        <f t="shared" si="7"/>
        <v>700</v>
      </c>
      <c r="K488" s="28">
        <v>2.98E-2</v>
      </c>
      <c r="L488" s="28">
        <v>6.1090000000000005E-2</v>
      </c>
      <c r="M488" s="26">
        <v>15.2</v>
      </c>
      <c r="N488" s="26">
        <v>10640</v>
      </c>
    </row>
    <row r="489" spans="1:14" ht="15" customHeight="1" x14ac:dyDescent="0.3">
      <c r="A489" s="25" t="s">
        <v>938</v>
      </c>
      <c r="B489" s="26" t="s">
        <v>939</v>
      </c>
      <c r="C489" s="26" t="s">
        <v>666</v>
      </c>
      <c r="D489" s="27">
        <v>80</v>
      </c>
      <c r="E489" s="27">
        <v>2019</v>
      </c>
      <c r="F489" s="27">
        <v>79</v>
      </c>
      <c r="G489" s="27">
        <v>270</v>
      </c>
      <c r="H489" s="27">
        <v>1828</v>
      </c>
      <c r="I489" s="27">
        <f>+IFERROR(VLOOKUP(A489,'[1]Pending Dispatch'!$N$2:$O$651,2,0),0)</f>
        <v>350</v>
      </c>
      <c r="J489" s="27">
        <f t="shared" si="7"/>
        <v>1478</v>
      </c>
      <c r="K489" s="28">
        <v>4.7799999999999995E-2</v>
      </c>
      <c r="L489" s="28">
        <v>0.19497619999999999</v>
      </c>
      <c r="M489" s="26">
        <v>24.8</v>
      </c>
      <c r="N489" s="26">
        <v>36654.400000000001</v>
      </c>
    </row>
    <row r="490" spans="1:14" ht="15" customHeight="1" x14ac:dyDescent="0.3">
      <c r="A490" s="25" t="s">
        <v>940</v>
      </c>
      <c r="B490" s="26" t="s">
        <v>941</v>
      </c>
      <c r="C490" s="26" t="s">
        <v>666</v>
      </c>
      <c r="D490" s="27">
        <v>60</v>
      </c>
      <c r="E490" s="27">
        <v>186</v>
      </c>
      <c r="F490" s="27">
        <v>1920</v>
      </c>
      <c r="G490" s="27">
        <v>200</v>
      </c>
      <c r="H490" s="27">
        <v>1906</v>
      </c>
      <c r="I490" s="27">
        <f>+IFERROR(VLOOKUP(A490,'[1]Pending Dispatch'!$N$2:$O$651,2,0),0)</f>
        <v>180</v>
      </c>
      <c r="J490" s="27">
        <f t="shared" si="7"/>
        <v>1726</v>
      </c>
      <c r="K490" s="28">
        <v>6.0100000000000001E-2</v>
      </c>
      <c r="L490" s="28">
        <v>7.6687600000000009E-2</v>
      </c>
      <c r="M490" s="26">
        <v>30.8</v>
      </c>
      <c r="N490" s="26">
        <v>110448.8</v>
      </c>
    </row>
    <row r="491" spans="1:14" ht="15" customHeight="1" x14ac:dyDescent="0.3">
      <c r="A491" s="25" t="s">
        <v>942</v>
      </c>
      <c r="B491" s="26" t="s">
        <v>943</v>
      </c>
      <c r="C491" s="26" t="s">
        <v>666</v>
      </c>
      <c r="D491" s="27">
        <v>40</v>
      </c>
      <c r="E491" s="27">
        <v>983</v>
      </c>
      <c r="F491" s="27">
        <v>0</v>
      </c>
      <c r="G491" s="27">
        <v>22</v>
      </c>
      <c r="H491" s="27">
        <v>961</v>
      </c>
      <c r="I491" s="27">
        <f>+IFERROR(VLOOKUP(A491,'[1]Pending Dispatch'!$N$2:$O$651,2,0),0)</f>
        <v>0</v>
      </c>
      <c r="J491" s="27">
        <f t="shared" si="7"/>
        <v>961</v>
      </c>
      <c r="K491" s="28">
        <v>9.4E-2</v>
      </c>
      <c r="L491" s="28">
        <v>2.8482E-2</v>
      </c>
      <c r="M491" s="26">
        <v>49.8</v>
      </c>
      <c r="N491" s="26">
        <v>47857.799999999996</v>
      </c>
    </row>
    <row r="492" spans="1:14" ht="15" customHeight="1" x14ac:dyDescent="0.3">
      <c r="A492" s="25" t="s">
        <v>944</v>
      </c>
      <c r="B492" s="26" t="s">
        <v>945</v>
      </c>
      <c r="C492" s="26" t="s">
        <v>666</v>
      </c>
      <c r="D492" s="27">
        <v>50</v>
      </c>
      <c r="E492" s="27">
        <v>1018</v>
      </c>
      <c r="F492" s="27">
        <v>0</v>
      </c>
      <c r="G492" s="27">
        <v>45</v>
      </c>
      <c r="H492" s="27">
        <v>973</v>
      </c>
      <c r="I492" s="27">
        <f>+IFERROR(VLOOKUP(A492,'[1]Pending Dispatch'!$N$2:$O$651,2,0),0)</f>
        <v>0</v>
      </c>
      <c r="J492" s="27">
        <f t="shared" si="7"/>
        <v>973</v>
      </c>
      <c r="K492" s="28">
        <v>0.18980000000000002</v>
      </c>
      <c r="L492" s="28">
        <v>0.20365540000000001</v>
      </c>
      <c r="M492" s="26">
        <v>99.4</v>
      </c>
      <c r="N492" s="26">
        <v>96716.200000000012</v>
      </c>
    </row>
    <row r="493" spans="1:14" ht="15" customHeight="1" x14ac:dyDescent="0.3">
      <c r="A493" s="25" t="s">
        <v>946</v>
      </c>
      <c r="B493" s="26" t="s">
        <v>947</v>
      </c>
      <c r="C493" s="26" t="s">
        <v>666</v>
      </c>
      <c r="D493" s="27">
        <v>15</v>
      </c>
      <c r="E493" s="27">
        <v>284</v>
      </c>
      <c r="F493" s="27">
        <v>0</v>
      </c>
      <c r="G493" s="27">
        <v>0</v>
      </c>
      <c r="H493" s="27">
        <v>284</v>
      </c>
      <c r="I493" s="27">
        <f>+IFERROR(VLOOKUP(A493,'[1]Pending Dispatch'!$N$2:$O$651,2,0),0)</f>
        <v>15</v>
      </c>
      <c r="J493" s="27">
        <f t="shared" si="7"/>
        <v>269</v>
      </c>
      <c r="K493" s="28">
        <v>0.27700000000000002</v>
      </c>
      <c r="L493" s="28">
        <v>8.8363000000000011E-2</v>
      </c>
      <c r="M493" s="26">
        <v>148</v>
      </c>
      <c r="N493" s="26">
        <v>39812</v>
      </c>
    </row>
    <row r="494" spans="1:14" ht="15" customHeight="1" x14ac:dyDescent="0.3">
      <c r="A494" s="25" t="s">
        <v>948</v>
      </c>
      <c r="B494" s="26" t="s">
        <v>949</v>
      </c>
      <c r="C494" s="26" t="s">
        <v>666</v>
      </c>
      <c r="D494" s="27">
        <v>8</v>
      </c>
      <c r="E494" s="27">
        <v>94</v>
      </c>
      <c r="F494" s="27">
        <v>0</v>
      </c>
      <c r="G494" s="27">
        <v>0</v>
      </c>
      <c r="H494" s="27">
        <v>94</v>
      </c>
      <c r="I494" s="27">
        <f>+IFERROR(VLOOKUP(A494,'[1]Pending Dispatch'!$N$2:$O$651,2,0),0)</f>
        <v>0</v>
      </c>
      <c r="J494" s="27">
        <f t="shared" si="7"/>
        <v>94</v>
      </c>
      <c r="K494" s="28">
        <v>0.47599999999999998</v>
      </c>
      <c r="L494" s="28">
        <v>5.1884E-2</v>
      </c>
      <c r="M494" s="26">
        <v>248</v>
      </c>
      <c r="N494" s="26">
        <v>23312</v>
      </c>
    </row>
    <row r="495" spans="1:14" ht="15" customHeight="1" x14ac:dyDescent="0.3">
      <c r="A495" s="25" t="s">
        <v>950</v>
      </c>
      <c r="B495" s="26" t="s">
        <v>951</v>
      </c>
      <c r="C495" s="26" t="s">
        <v>666</v>
      </c>
      <c r="D495" s="27">
        <v>100</v>
      </c>
      <c r="E495" s="27">
        <v>493</v>
      </c>
      <c r="F495" s="27">
        <v>0</v>
      </c>
      <c r="G495" s="27">
        <v>400</v>
      </c>
      <c r="H495" s="27">
        <v>93</v>
      </c>
      <c r="I495" s="27">
        <f>+IFERROR(VLOOKUP(A495,'[1]Pending Dispatch'!$N$2:$O$651,2,0),0)</f>
        <v>200</v>
      </c>
      <c r="J495" s="27">
        <f t="shared" si="7"/>
        <v>-107</v>
      </c>
      <c r="K495" s="28">
        <v>8.3000000000000004E-2</v>
      </c>
      <c r="L495" s="28">
        <v>7.7190000000000002E-3</v>
      </c>
      <c r="M495" s="26">
        <v>114</v>
      </c>
      <c r="N495" s="26">
        <v>456</v>
      </c>
    </row>
    <row r="496" spans="1:14" ht="15" customHeight="1" x14ac:dyDescent="0.3">
      <c r="A496" s="25" t="s">
        <v>952</v>
      </c>
      <c r="B496" s="26" t="s">
        <v>953</v>
      </c>
      <c r="C496" s="26" t="s">
        <v>666</v>
      </c>
      <c r="D496" s="27">
        <v>800</v>
      </c>
      <c r="E496" s="27">
        <v>0</v>
      </c>
      <c r="F496" s="27">
        <v>7500</v>
      </c>
      <c r="G496" s="27">
        <v>3600</v>
      </c>
      <c r="H496" s="27">
        <v>3900</v>
      </c>
      <c r="I496" s="27">
        <f>+IFERROR(VLOOKUP(A496,'[1]Pending Dispatch'!$N$2:$O$651,2,0),0)</f>
        <v>300</v>
      </c>
      <c r="J496" s="27">
        <f t="shared" si="7"/>
        <v>3600</v>
      </c>
      <c r="K496" s="28">
        <v>9.8000000000000014E-3</v>
      </c>
      <c r="L496" s="28">
        <v>1.2740000000000001E-2</v>
      </c>
      <c r="M496" s="26">
        <v>5.9</v>
      </c>
      <c r="N496" s="26">
        <v>21240</v>
      </c>
    </row>
    <row r="497" spans="1:14" ht="15" customHeight="1" x14ac:dyDescent="0.3">
      <c r="A497" s="25" t="s">
        <v>954</v>
      </c>
      <c r="B497" s="26" t="s">
        <v>955</v>
      </c>
      <c r="C497" s="26" t="s">
        <v>666</v>
      </c>
      <c r="D497" s="27">
        <v>500</v>
      </c>
      <c r="E497" s="27">
        <v>369</v>
      </c>
      <c r="F497" s="27">
        <v>4200</v>
      </c>
      <c r="G497" s="27">
        <v>2500</v>
      </c>
      <c r="H497" s="27">
        <v>2069</v>
      </c>
      <c r="I497" s="27">
        <f>+IFERROR(VLOOKUP(A497,'[1]Pending Dispatch'!$N$2:$O$651,2,0),0)</f>
        <v>1700</v>
      </c>
      <c r="J497" s="27">
        <f t="shared" si="7"/>
        <v>369</v>
      </c>
      <c r="K497" s="28">
        <v>2.3699999999999999E-2</v>
      </c>
      <c r="L497" s="28">
        <v>7.7475299999999997E-2</v>
      </c>
      <c r="M497" s="26">
        <v>13.9</v>
      </c>
      <c r="N497" s="26">
        <v>5129.1000000000004</v>
      </c>
    </row>
    <row r="498" spans="1:14" ht="15" customHeight="1" x14ac:dyDescent="0.3">
      <c r="A498" s="25" t="s">
        <v>956</v>
      </c>
      <c r="B498" s="26" t="s">
        <v>957</v>
      </c>
      <c r="C498" s="26" t="s">
        <v>666</v>
      </c>
      <c r="D498" s="27">
        <v>400</v>
      </c>
      <c r="E498" s="27">
        <v>3024</v>
      </c>
      <c r="F498" s="27">
        <v>1850</v>
      </c>
      <c r="G498" s="27">
        <v>3500</v>
      </c>
      <c r="H498" s="27">
        <v>1374</v>
      </c>
      <c r="I498" s="27">
        <f>+IFERROR(VLOOKUP(A498,'[1]Pending Dispatch'!$N$2:$O$651,2,0),0)</f>
        <v>400</v>
      </c>
      <c r="J498" s="27">
        <f t="shared" si="7"/>
        <v>974</v>
      </c>
      <c r="K498" s="28">
        <v>1.6250000000000001E-2</v>
      </c>
      <c r="L498" s="28">
        <v>3.8675000000000001E-2</v>
      </c>
      <c r="M498" s="26">
        <v>24</v>
      </c>
      <c r="N498" s="26">
        <v>23376</v>
      </c>
    </row>
    <row r="499" spans="1:14" ht="15" customHeight="1" x14ac:dyDescent="0.3">
      <c r="A499" s="25" t="s">
        <v>958</v>
      </c>
      <c r="B499" s="26" t="s">
        <v>959</v>
      </c>
      <c r="C499" s="26" t="s">
        <v>666</v>
      </c>
      <c r="D499" s="27">
        <v>250</v>
      </c>
      <c r="E499" s="27">
        <v>251</v>
      </c>
      <c r="F499" s="27">
        <v>1030</v>
      </c>
      <c r="G499" s="27">
        <v>250</v>
      </c>
      <c r="H499" s="27">
        <v>1031</v>
      </c>
      <c r="I499" s="27">
        <f>+IFERROR(VLOOKUP(A499,'[1]Pending Dispatch'!$N$2:$O$651,2,0),0)</f>
        <v>500</v>
      </c>
      <c r="J499" s="27">
        <f t="shared" si="7"/>
        <v>531</v>
      </c>
      <c r="K499" s="28">
        <v>4.2599999999999999E-2</v>
      </c>
      <c r="L499" s="28">
        <v>2.1768599999999999E-2</v>
      </c>
      <c r="M499" s="26">
        <v>25.8</v>
      </c>
      <c r="N499" s="26">
        <v>13699.800000000001</v>
      </c>
    </row>
    <row r="500" spans="1:14" ht="15" customHeight="1" x14ac:dyDescent="0.3">
      <c r="A500" s="25" t="s">
        <v>960</v>
      </c>
      <c r="B500" s="26" t="s">
        <v>961</v>
      </c>
      <c r="C500" s="26" t="s">
        <v>666</v>
      </c>
      <c r="D500" s="27">
        <v>250</v>
      </c>
      <c r="E500" s="27">
        <v>4150</v>
      </c>
      <c r="F500" s="27">
        <v>0</v>
      </c>
      <c r="G500" s="27">
        <v>870</v>
      </c>
      <c r="H500" s="27">
        <v>3280</v>
      </c>
      <c r="I500" s="27">
        <f>+IFERROR(VLOOKUP(A500,'[1]Pending Dispatch'!$N$2:$O$651,2,0),0)</f>
        <v>50</v>
      </c>
      <c r="J500" s="27">
        <f t="shared" si="7"/>
        <v>3230</v>
      </c>
      <c r="K500" s="28">
        <v>4.02E-2</v>
      </c>
      <c r="L500" s="28">
        <v>1.6080000000000001E-3</v>
      </c>
      <c r="M500" s="26">
        <v>22.9</v>
      </c>
      <c r="N500" s="26">
        <v>73967</v>
      </c>
    </row>
    <row r="501" spans="1:14" ht="15" customHeight="1" x14ac:dyDescent="0.3">
      <c r="A501" s="25" t="s">
        <v>962</v>
      </c>
      <c r="B501" s="26" t="s">
        <v>963</v>
      </c>
      <c r="C501" s="26" t="s">
        <v>666</v>
      </c>
      <c r="D501" s="27">
        <v>250</v>
      </c>
      <c r="E501" s="27">
        <v>677</v>
      </c>
      <c r="F501" s="27">
        <v>3110</v>
      </c>
      <c r="G501" s="27">
        <v>2350</v>
      </c>
      <c r="H501" s="27">
        <v>1437</v>
      </c>
      <c r="I501" s="27">
        <f>+IFERROR(VLOOKUP(A501,'[1]Pending Dispatch'!$N$2:$O$651,2,0),0)</f>
        <v>1775</v>
      </c>
      <c r="J501" s="27">
        <f t="shared" si="7"/>
        <v>-338</v>
      </c>
      <c r="K501" s="28">
        <v>2.8000000000000001E-2</v>
      </c>
      <c r="L501" s="28">
        <v>6.8516000000000007E-2</v>
      </c>
      <c r="M501" s="26">
        <v>14.8</v>
      </c>
      <c r="N501" s="26">
        <v>-1302.4000000000001</v>
      </c>
    </row>
    <row r="502" spans="1:14" ht="15" customHeight="1" x14ac:dyDescent="0.3">
      <c r="A502" s="25" t="s">
        <v>964</v>
      </c>
      <c r="B502" s="26" t="s">
        <v>965</v>
      </c>
      <c r="C502" s="26" t="s">
        <v>666</v>
      </c>
      <c r="D502" s="27">
        <v>200</v>
      </c>
      <c r="E502" s="27">
        <v>395</v>
      </c>
      <c r="F502" s="27">
        <v>0</v>
      </c>
      <c r="G502" s="27">
        <v>30</v>
      </c>
      <c r="H502" s="27">
        <v>365</v>
      </c>
      <c r="I502" s="27">
        <f>+IFERROR(VLOOKUP(A502,'[1]Pending Dispatch'!$N$2:$O$651,2,0),0)</f>
        <v>600</v>
      </c>
      <c r="J502" s="27">
        <f t="shared" si="7"/>
        <v>-235</v>
      </c>
      <c r="K502" s="28">
        <v>5.645E-2</v>
      </c>
      <c r="L502" s="28">
        <v>4.4877750000000001E-2</v>
      </c>
      <c r="M502" s="26">
        <v>34.200000000000003</v>
      </c>
      <c r="N502" s="26">
        <v>-8037.0000000000009</v>
      </c>
    </row>
    <row r="503" spans="1:14" ht="15" customHeight="1" x14ac:dyDescent="0.3">
      <c r="A503" s="25" t="s">
        <v>966</v>
      </c>
      <c r="B503" s="26" t="s">
        <v>967</v>
      </c>
      <c r="C503" s="26" t="s">
        <v>666</v>
      </c>
      <c r="D503" s="27">
        <v>200</v>
      </c>
      <c r="E503" s="27">
        <v>1259</v>
      </c>
      <c r="F503" s="27">
        <v>750</v>
      </c>
      <c r="G503" s="27">
        <v>1020</v>
      </c>
      <c r="H503" s="27">
        <v>989</v>
      </c>
      <c r="I503" s="27">
        <f>+IFERROR(VLOOKUP(A503,'[1]Pending Dispatch'!$N$2:$O$651,2,0),0)</f>
        <v>600</v>
      </c>
      <c r="J503" s="27">
        <f t="shared" si="7"/>
        <v>389</v>
      </c>
      <c r="K503" s="28">
        <v>5.0900000000000001E-2</v>
      </c>
      <c r="L503" s="28">
        <v>6.3828599999999999E-2</v>
      </c>
      <c r="M503" s="26">
        <v>28.4</v>
      </c>
      <c r="N503" s="26">
        <v>11047.599999999999</v>
      </c>
    </row>
    <row r="504" spans="1:14" ht="15" customHeight="1" x14ac:dyDescent="0.3">
      <c r="A504" s="25" t="s">
        <v>968</v>
      </c>
      <c r="B504" s="26" t="s">
        <v>969</v>
      </c>
      <c r="C504" s="26" t="s">
        <v>666</v>
      </c>
      <c r="D504" s="27">
        <v>100</v>
      </c>
      <c r="E504" s="27">
        <v>609</v>
      </c>
      <c r="F504" s="27">
        <v>0</v>
      </c>
      <c r="G504" s="27">
        <v>10</v>
      </c>
      <c r="H504" s="27">
        <v>599</v>
      </c>
      <c r="I504" s="27">
        <f>+IFERROR(VLOOKUP(A504,'[1]Pending Dispatch'!$N$2:$O$651,2,0),0)</f>
        <v>0</v>
      </c>
      <c r="J504" s="27">
        <f t="shared" si="7"/>
        <v>599</v>
      </c>
      <c r="K504" s="28">
        <v>9.2999999999999999E-2</v>
      </c>
      <c r="L504" s="28">
        <v>3.2457E-2</v>
      </c>
      <c r="M504" s="26">
        <v>60.2</v>
      </c>
      <c r="N504" s="26">
        <v>36059.800000000003</v>
      </c>
    </row>
    <row r="505" spans="1:14" ht="15" customHeight="1" x14ac:dyDescent="0.3">
      <c r="A505" s="25" t="s">
        <v>970</v>
      </c>
      <c r="B505" s="26" t="s">
        <v>971</v>
      </c>
      <c r="C505" s="26" t="s">
        <v>666</v>
      </c>
      <c r="D505" s="27">
        <v>100</v>
      </c>
      <c r="E505" s="27">
        <v>96</v>
      </c>
      <c r="F505" s="27">
        <v>0</v>
      </c>
      <c r="G505" s="27">
        <v>61</v>
      </c>
      <c r="H505" s="27">
        <v>35</v>
      </c>
      <c r="I505" s="27">
        <f>+IFERROR(VLOOKUP(A505,'[1]Pending Dispatch'!$N$2:$O$651,2,0),0)</f>
        <v>100</v>
      </c>
      <c r="J505" s="27">
        <f t="shared" si="7"/>
        <v>-65</v>
      </c>
      <c r="K505" s="28">
        <v>9.0499999999999997E-2</v>
      </c>
      <c r="L505" s="28">
        <v>3.258E-3</v>
      </c>
      <c r="M505" s="26">
        <v>189</v>
      </c>
      <c r="N505" s="26">
        <v>-12285</v>
      </c>
    </row>
    <row r="506" spans="1:14" ht="15" customHeight="1" x14ac:dyDescent="0.3">
      <c r="A506" s="25" t="s">
        <v>972</v>
      </c>
      <c r="B506" s="26" t="s">
        <v>973</v>
      </c>
      <c r="C506" s="26" t="s">
        <v>666</v>
      </c>
      <c r="D506" s="27">
        <v>100</v>
      </c>
      <c r="E506" s="27">
        <v>177</v>
      </c>
      <c r="F506" s="27">
        <v>1320</v>
      </c>
      <c r="G506" s="27">
        <v>372</v>
      </c>
      <c r="H506" s="27">
        <v>1125</v>
      </c>
      <c r="I506" s="27">
        <f>+IFERROR(VLOOKUP(A506,'[1]Pending Dispatch'!$N$2:$O$651,2,0),0)</f>
        <v>280</v>
      </c>
      <c r="J506" s="27">
        <f t="shared" si="7"/>
        <v>845</v>
      </c>
      <c r="K506" s="28">
        <v>0.10467499999999999</v>
      </c>
      <c r="L506" s="28">
        <v>6.3537724999999989E-2</v>
      </c>
      <c r="M506" s="26">
        <v>278</v>
      </c>
      <c r="N506" s="26">
        <v>262710</v>
      </c>
    </row>
    <row r="507" spans="1:14" ht="15" customHeight="1" x14ac:dyDescent="0.3">
      <c r="A507" s="25" t="s">
        <v>974</v>
      </c>
      <c r="B507" s="26" t="s">
        <v>975</v>
      </c>
      <c r="C507" s="26" t="s">
        <v>666</v>
      </c>
      <c r="D507" s="27">
        <v>100</v>
      </c>
      <c r="E507" s="27">
        <v>890</v>
      </c>
      <c r="F507" s="27">
        <v>0</v>
      </c>
      <c r="G507" s="27">
        <v>320</v>
      </c>
      <c r="H507" s="27">
        <v>570</v>
      </c>
      <c r="I507" s="27">
        <f>+IFERROR(VLOOKUP(A507,'[1]Pending Dispatch'!$N$2:$O$651,2,0),0)</f>
        <v>100</v>
      </c>
      <c r="J507" s="27">
        <f t="shared" si="7"/>
        <v>470</v>
      </c>
      <c r="K507" s="28">
        <v>8.7599999999999997E-2</v>
      </c>
      <c r="L507" s="28">
        <v>2.8032000000000001E-2</v>
      </c>
      <c r="M507" s="26">
        <v>412</v>
      </c>
      <c r="N507" s="26">
        <v>193640</v>
      </c>
    </row>
    <row r="508" spans="1:14" ht="15" customHeight="1" x14ac:dyDescent="0.3">
      <c r="A508" s="25" t="s">
        <v>976</v>
      </c>
      <c r="B508" s="26" t="s">
        <v>977</v>
      </c>
      <c r="C508" s="26" t="s">
        <v>666</v>
      </c>
      <c r="D508" s="27">
        <v>100</v>
      </c>
      <c r="E508" s="27">
        <v>1463</v>
      </c>
      <c r="F508" s="27">
        <v>0</v>
      </c>
      <c r="G508" s="27">
        <v>170</v>
      </c>
      <c r="H508" s="27">
        <v>1293</v>
      </c>
      <c r="I508" s="27">
        <f>+IFERROR(VLOOKUP(A508,'[1]Pending Dispatch'!$N$2:$O$651,2,0),0)</f>
        <v>100</v>
      </c>
      <c r="J508" s="27">
        <f t="shared" si="7"/>
        <v>1193</v>
      </c>
      <c r="K508" s="28">
        <v>7.0999999999999994E-2</v>
      </c>
      <c r="L508" s="28">
        <v>2.0802999999999999E-2</v>
      </c>
      <c r="M508" s="26">
        <v>278</v>
      </c>
      <c r="N508" s="26">
        <v>331654</v>
      </c>
    </row>
    <row r="509" spans="1:14" ht="15" customHeight="1" x14ac:dyDescent="0.3">
      <c r="A509" s="25" t="s">
        <v>978</v>
      </c>
      <c r="B509" s="26" t="s">
        <v>979</v>
      </c>
      <c r="C509" s="26" t="s">
        <v>666</v>
      </c>
      <c r="D509" s="27">
        <v>50</v>
      </c>
      <c r="E509" s="27">
        <v>207</v>
      </c>
      <c r="F509" s="27">
        <v>0</v>
      </c>
      <c r="G509" s="27">
        <v>50</v>
      </c>
      <c r="H509" s="27">
        <v>157</v>
      </c>
      <c r="I509" s="27">
        <f>+IFERROR(VLOOKUP(A509,'[1]Pending Dispatch'!$N$2:$O$651,2,0),0)</f>
        <v>0</v>
      </c>
      <c r="J509" s="27">
        <f t="shared" si="7"/>
        <v>157</v>
      </c>
      <c r="K509" s="28">
        <v>0.15919999999999998</v>
      </c>
      <c r="L509" s="28">
        <v>4.1710399999999995E-2</v>
      </c>
      <c r="M509" s="26">
        <v>288</v>
      </c>
      <c r="N509" s="26">
        <v>45216</v>
      </c>
    </row>
    <row r="510" spans="1:14" ht="15" customHeight="1" x14ac:dyDescent="0.3">
      <c r="A510" s="25" t="s">
        <v>980</v>
      </c>
      <c r="B510" s="26" t="s">
        <v>981</v>
      </c>
      <c r="C510" s="26" t="s">
        <v>666</v>
      </c>
      <c r="D510" s="27">
        <v>50</v>
      </c>
      <c r="E510" s="27">
        <v>168</v>
      </c>
      <c r="F510" s="27">
        <v>0</v>
      </c>
      <c r="G510" s="27">
        <v>50</v>
      </c>
      <c r="H510" s="27">
        <v>118</v>
      </c>
      <c r="I510" s="27">
        <f>+IFERROR(VLOOKUP(A510,'[1]Pending Dispatch'!$N$2:$O$651,2,0),0)</f>
        <v>35</v>
      </c>
      <c r="J510" s="27">
        <f t="shared" si="7"/>
        <v>83</v>
      </c>
      <c r="K510" s="28">
        <v>0.1103</v>
      </c>
      <c r="L510" s="28">
        <v>1.8530399999999999E-2</v>
      </c>
      <c r="M510" s="26">
        <v>898</v>
      </c>
      <c r="N510" s="26">
        <v>119434</v>
      </c>
    </row>
    <row r="511" spans="1:14" ht="15" customHeight="1" x14ac:dyDescent="0.3">
      <c r="A511" s="25" t="s">
        <v>982</v>
      </c>
      <c r="B511" s="26" t="s">
        <v>983</v>
      </c>
      <c r="C511" s="26" t="s">
        <v>666</v>
      </c>
      <c r="D511" s="27">
        <v>15</v>
      </c>
      <c r="E511" s="27">
        <v>65</v>
      </c>
      <c r="F511" s="27">
        <v>0</v>
      </c>
      <c r="G511" s="27">
        <v>48</v>
      </c>
      <c r="H511" s="27">
        <v>17</v>
      </c>
      <c r="I511" s="27">
        <f>+IFERROR(VLOOKUP(A511,'[1]Pending Dispatch'!$N$2:$O$651,2,0),0)</f>
        <v>0</v>
      </c>
      <c r="J511" s="27">
        <f t="shared" si="7"/>
        <v>17</v>
      </c>
      <c r="K511" s="28">
        <v>0.29249999999999998</v>
      </c>
      <c r="L511" s="28">
        <v>3.2174999999999995E-2</v>
      </c>
      <c r="M511" s="26">
        <v>1188</v>
      </c>
      <c r="N511" s="26">
        <v>20196</v>
      </c>
    </row>
    <row r="512" spans="1:14" ht="15" customHeight="1" x14ac:dyDescent="0.3">
      <c r="A512" s="25" t="s">
        <v>984</v>
      </c>
      <c r="B512" s="26" t="s">
        <v>985</v>
      </c>
      <c r="C512" s="26" t="s">
        <v>666</v>
      </c>
      <c r="D512" s="27">
        <v>10</v>
      </c>
      <c r="E512" s="27">
        <v>106</v>
      </c>
      <c r="F512" s="27">
        <v>0</v>
      </c>
      <c r="G512" s="27">
        <v>0</v>
      </c>
      <c r="H512" s="27">
        <v>106</v>
      </c>
      <c r="I512" s="27">
        <f>+IFERROR(VLOOKUP(A512,'[1]Pending Dispatch'!$N$2:$O$651,2,0),0)</f>
        <v>0</v>
      </c>
      <c r="J512" s="27">
        <f t="shared" si="7"/>
        <v>106</v>
      </c>
      <c r="K512" s="28">
        <v>0.43560000000000004</v>
      </c>
      <c r="L512" s="28">
        <v>5.0529600000000001E-2</v>
      </c>
      <c r="M512" s="26">
        <v>2080</v>
      </c>
      <c r="N512" s="26">
        <v>222560</v>
      </c>
    </row>
    <row r="513" spans="1:14" ht="15" customHeight="1" x14ac:dyDescent="0.3">
      <c r="A513" s="25" t="s">
        <v>986</v>
      </c>
      <c r="B513" s="26" t="s">
        <v>987</v>
      </c>
      <c r="C513" s="26" t="s">
        <v>666</v>
      </c>
      <c r="D513" s="27">
        <v>10</v>
      </c>
      <c r="E513" s="27">
        <v>109</v>
      </c>
      <c r="F513" s="27">
        <v>0</v>
      </c>
      <c r="G513" s="27">
        <v>9</v>
      </c>
      <c r="H513" s="27">
        <v>100</v>
      </c>
      <c r="I513" s="27">
        <f>+IFERROR(VLOOKUP(A513,'[1]Pending Dispatch'!$N$2:$O$651,2,0),0)</f>
        <v>0</v>
      </c>
      <c r="J513" s="27">
        <f t="shared" si="7"/>
        <v>100</v>
      </c>
      <c r="K513" s="28">
        <v>0.39910000000000001</v>
      </c>
      <c r="L513" s="28">
        <v>4.3501899999999996E-2</v>
      </c>
      <c r="M513" s="26">
        <v>276</v>
      </c>
      <c r="N513" s="26">
        <v>27600</v>
      </c>
    </row>
    <row r="514" spans="1:14" ht="15" customHeight="1" x14ac:dyDescent="0.3">
      <c r="A514" s="33" t="s">
        <v>988</v>
      </c>
      <c r="B514" s="34" t="s">
        <v>989</v>
      </c>
      <c r="C514" s="34" t="s">
        <v>666</v>
      </c>
      <c r="D514" s="35">
        <v>150</v>
      </c>
      <c r="E514" s="35">
        <v>1774</v>
      </c>
      <c r="F514" s="35">
        <v>5535</v>
      </c>
      <c r="G514" s="35">
        <v>3300</v>
      </c>
      <c r="H514" s="35">
        <v>4009</v>
      </c>
      <c r="I514" s="27">
        <f>+IFERROR(VLOOKUP(A514,'[1]Pending Dispatch'!$N$2:$O$651,2,0),0)</f>
        <v>1725</v>
      </c>
      <c r="J514" s="27">
        <f t="shared" si="7"/>
        <v>2284</v>
      </c>
      <c r="K514" s="36">
        <v>4.9250000000000002E-2</v>
      </c>
      <c r="L514" s="36">
        <v>5.9050749999999999E-2</v>
      </c>
      <c r="M514" s="34">
        <v>528</v>
      </c>
      <c r="N514" s="34">
        <v>1205952</v>
      </c>
    </row>
    <row r="515" spans="1:14" ht="15" customHeight="1" x14ac:dyDescent="0.3">
      <c r="A515" s="25" t="s">
        <v>990</v>
      </c>
      <c r="B515" s="26" t="s">
        <v>991</v>
      </c>
      <c r="C515" s="26" t="s">
        <v>666</v>
      </c>
      <c r="D515" s="27">
        <v>300</v>
      </c>
      <c r="E515" s="27">
        <v>3443</v>
      </c>
      <c r="F515" s="27">
        <v>0</v>
      </c>
      <c r="G515" s="27">
        <v>600</v>
      </c>
      <c r="H515" s="27">
        <v>2843</v>
      </c>
      <c r="I515" s="27">
        <f>+IFERROR(VLOOKUP(A515,'[1]Pending Dispatch'!$N$2:$O$651,2,0),0)</f>
        <v>0</v>
      </c>
      <c r="J515" s="27">
        <f t="shared" si="7"/>
        <v>2843</v>
      </c>
      <c r="K515" s="28">
        <v>2.7024999999999997E-2</v>
      </c>
      <c r="L515" s="28">
        <v>1.3323324999999999E-2</v>
      </c>
      <c r="M515" s="26">
        <v>15.5</v>
      </c>
      <c r="N515" s="26">
        <v>44066.5</v>
      </c>
    </row>
    <row r="516" spans="1:14" ht="15" customHeight="1" x14ac:dyDescent="0.3">
      <c r="A516" s="25" t="s">
        <v>992</v>
      </c>
      <c r="B516" s="26" t="s">
        <v>993</v>
      </c>
      <c r="C516" s="26" t="s">
        <v>666</v>
      </c>
      <c r="D516" s="27">
        <v>100</v>
      </c>
      <c r="E516" s="27">
        <v>529</v>
      </c>
      <c r="F516" s="27">
        <v>2011</v>
      </c>
      <c r="G516" s="27">
        <v>1100</v>
      </c>
      <c r="H516" s="27">
        <v>1440</v>
      </c>
      <c r="I516" s="27">
        <f>+IFERROR(VLOOKUP(A516,'[1]Pending Dispatch'!$N$2:$O$651,2,0),0)</f>
        <v>200</v>
      </c>
      <c r="J516" s="27">
        <f t="shared" si="7"/>
        <v>1240</v>
      </c>
      <c r="K516" s="28">
        <v>5.6549999999999996E-2</v>
      </c>
      <c r="L516" s="28">
        <v>3.8058149999999999E-2</v>
      </c>
      <c r="M516" s="26">
        <v>954</v>
      </c>
      <c r="N516" s="26">
        <v>1184868</v>
      </c>
    </row>
    <row r="517" spans="1:14" ht="15" customHeight="1" x14ac:dyDescent="0.3">
      <c r="A517" s="33" t="s">
        <v>994</v>
      </c>
      <c r="B517" s="34" t="s">
        <v>995</v>
      </c>
      <c r="C517" s="34" t="s">
        <v>666</v>
      </c>
      <c r="D517" s="35">
        <v>200</v>
      </c>
      <c r="E517" s="35">
        <v>1012</v>
      </c>
      <c r="F517" s="35">
        <v>4300</v>
      </c>
      <c r="G517" s="35">
        <v>1490</v>
      </c>
      <c r="H517" s="35">
        <v>3822</v>
      </c>
      <c r="I517" s="27">
        <f>+IFERROR(VLOOKUP(A517,'[1]Pending Dispatch'!$N$2:$O$651,2,0),0)</f>
        <v>1800</v>
      </c>
      <c r="J517" s="27">
        <f t="shared" si="7"/>
        <v>2022</v>
      </c>
      <c r="K517" s="36">
        <v>4.3249999999999997E-2</v>
      </c>
      <c r="L517" s="36">
        <v>0.17460024999999998</v>
      </c>
      <c r="M517" s="34">
        <v>23.8</v>
      </c>
      <c r="N517" s="34">
        <v>52883.6</v>
      </c>
    </row>
    <row r="518" spans="1:14" ht="15" customHeight="1" x14ac:dyDescent="0.3">
      <c r="A518" s="33" t="s">
        <v>996</v>
      </c>
      <c r="B518" s="34" t="s">
        <v>997</v>
      </c>
      <c r="C518" s="34" t="s">
        <v>666</v>
      </c>
      <c r="D518" s="35">
        <v>200</v>
      </c>
      <c r="E518" s="35">
        <v>2797</v>
      </c>
      <c r="F518" s="35">
        <v>1644</v>
      </c>
      <c r="G518" s="35">
        <v>4400</v>
      </c>
      <c r="H518" s="35">
        <v>41</v>
      </c>
      <c r="I518" s="27">
        <f>+IFERROR(VLOOKUP(A518,'[1]Pending Dispatch'!$N$2:$O$651,2,0),0)</f>
        <v>2600</v>
      </c>
      <c r="J518" s="27">
        <f t="shared" ref="J518:J581" si="8">+H518-I518</f>
        <v>-2559</v>
      </c>
      <c r="K518" s="36">
        <v>4.4600000000000001E-2</v>
      </c>
      <c r="L518" s="36">
        <v>7.4571200000000004E-2</v>
      </c>
      <c r="M518" s="34">
        <v>25.2</v>
      </c>
      <c r="N518" s="34">
        <v>-64486.799999999996</v>
      </c>
    </row>
    <row r="519" spans="1:14" ht="15" customHeight="1" x14ac:dyDescent="0.3">
      <c r="A519" s="25" t="s">
        <v>998</v>
      </c>
      <c r="B519" s="26" t="s">
        <v>999</v>
      </c>
      <c r="C519" s="26" t="s">
        <v>666</v>
      </c>
      <c r="D519" s="27">
        <v>120</v>
      </c>
      <c r="E519" s="27">
        <v>538</v>
      </c>
      <c r="F519" s="27">
        <v>0</v>
      </c>
      <c r="G519" s="27">
        <v>121</v>
      </c>
      <c r="H519" s="27">
        <v>417</v>
      </c>
      <c r="I519" s="27">
        <f>+IFERROR(VLOOKUP(A519,'[1]Pending Dispatch'!$N$2:$O$651,2,0),0)</f>
        <v>120</v>
      </c>
      <c r="J519" s="27">
        <f t="shared" si="8"/>
        <v>297</v>
      </c>
      <c r="K519" s="28">
        <v>5.425E-2</v>
      </c>
      <c r="L519" s="28">
        <v>2.9186499999999997E-2</v>
      </c>
      <c r="M519" s="26">
        <v>31.2</v>
      </c>
      <c r="N519" s="26">
        <v>9266.4</v>
      </c>
    </row>
    <row r="520" spans="1:14" ht="15" customHeight="1" x14ac:dyDescent="0.3">
      <c r="A520" s="25" t="s">
        <v>1000</v>
      </c>
      <c r="B520" s="26" t="s">
        <v>1001</v>
      </c>
      <c r="C520" s="26" t="s">
        <v>666</v>
      </c>
      <c r="D520" s="27">
        <v>120</v>
      </c>
      <c r="E520" s="27">
        <v>718</v>
      </c>
      <c r="F520" s="27">
        <v>0</v>
      </c>
      <c r="G520" s="27">
        <v>243</v>
      </c>
      <c r="H520" s="27">
        <v>475</v>
      </c>
      <c r="I520" s="27">
        <f>+IFERROR(VLOOKUP(A520,'[1]Pending Dispatch'!$N$2:$O$651,2,0),0)</f>
        <v>0</v>
      </c>
      <c r="J520" s="27">
        <f t="shared" si="8"/>
        <v>475</v>
      </c>
      <c r="K520" s="28">
        <v>5.6000000000000001E-2</v>
      </c>
      <c r="L520" s="28">
        <v>4.0208000000000001E-2</v>
      </c>
      <c r="M520" s="26">
        <v>1074</v>
      </c>
      <c r="N520" s="26">
        <v>510150</v>
      </c>
    </row>
    <row r="521" spans="1:14" ht="15" customHeight="1" x14ac:dyDescent="0.3">
      <c r="A521" s="25" t="s">
        <v>1002</v>
      </c>
      <c r="B521" s="26" t="s">
        <v>1003</v>
      </c>
      <c r="C521" s="26" t="s">
        <v>666</v>
      </c>
      <c r="D521" s="27">
        <v>120</v>
      </c>
      <c r="E521" s="27">
        <v>998</v>
      </c>
      <c r="F521" s="27">
        <v>6</v>
      </c>
      <c r="G521" s="27">
        <v>530</v>
      </c>
      <c r="H521" s="27">
        <v>474</v>
      </c>
      <c r="I521" s="27">
        <f>+IFERROR(VLOOKUP(A521,'[1]Pending Dispatch'!$N$2:$O$651,2,0),0)</f>
        <v>250</v>
      </c>
      <c r="J521" s="27">
        <f t="shared" si="8"/>
        <v>224</v>
      </c>
      <c r="K521" s="28">
        <v>6.3E-2</v>
      </c>
      <c r="L521" s="28">
        <v>4.0194000000000001E-2</v>
      </c>
      <c r="M521" s="26">
        <v>35.700000000000003</v>
      </c>
      <c r="N521" s="26">
        <v>7996.8000000000011</v>
      </c>
    </row>
    <row r="522" spans="1:14" ht="15" customHeight="1" x14ac:dyDescent="0.3">
      <c r="A522" s="25" t="s">
        <v>1004</v>
      </c>
      <c r="B522" s="26" t="s">
        <v>1005</v>
      </c>
      <c r="C522" s="26" t="s">
        <v>666</v>
      </c>
      <c r="D522" s="27">
        <v>100</v>
      </c>
      <c r="E522" s="27">
        <v>380</v>
      </c>
      <c r="F522" s="27">
        <v>0</v>
      </c>
      <c r="G522" s="27">
        <v>100</v>
      </c>
      <c r="H522" s="27">
        <v>280</v>
      </c>
      <c r="I522" s="27">
        <f>+IFERROR(VLOOKUP(A522,'[1]Pending Dispatch'!$N$2:$O$651,2,0),0)</f>
        <v>100</v>
      </c>
      <c r="J522" s="27">
        <f t="shared" si="8"/>
        <v>180</v>
      </c>
      <c r="K522" s="28">
        <v>7.5600000000000001E-2</v>
      </c>
      <c r="L522" s="28">
        <v>3.6287999999999994E-2</v>
      </c>
      <c r="M522" s="26">
        <v>42.6</v>
      </c>
      <c r="N522" s="26">
        <v>7668</v>
      </c>
    </row>
    <row r="523" spans="1:14" ht="15" customHeight="1" x14ac:dyDescent="0.3">
      <c r="A523" s="25" t="s">
        <v>1006</v>
      </c>
      <c r="B523" s="26" t="s">
        <v>1007</v>
      </c>
      <c r="C523" s="26" t="s">
        <v>666</v>
      </c>
      <c r="D523" s="27">
        <v>80</v>
      </c>
      <c r="E523" s="27">
        <v>535</v>
      </c>
      <c r="F523" s="27">
        <v>1500</v>
      </c>
      <c r="G523" s="27">
        <v>1060</v>
      </c>
      <c r="H523" s="27">
        <v>975</v>
      </c>
      <c r="I523" s="27">
        <f>+IFERROR(VLOOKUP(A523,'[1]Pending Dispatch'!$N$2:$O$651,2,0),0)</f>
        <v>80</v>
      </c>
      <c r="J523" s="27">
        <f t="shared" si="8"/>
        <v>895</v>
      </c>
      <c r="K523" s="28">
        <v>8.2250000000000004E-2</v>
      </c>
      <c r="L523" s="28">
        <v>0.18876375000000001</v>
      </c>
      <c r="M523" s="26">
        <v>47</v>
      </c>
      <c r="N523" s="26">
        <v>42065</v>
      </c>
    </row>
    <row r="524" spans="1:14" ht="15" customHeight="1" x14ac:dyDescent="0.3">
      <c r="A524" s="25" t="s">
        <v>1008</v>
      </c>
      <c r="B524" s="26" t="s">
        <v>1009</v>
      </c>
      <c r="C524" s="26" t="s">
        <v>666</v>
      </c>
      <c r="D524" s="27">
        <v>32</v>
      </c>
      <c r="E524" s="27">
        <v>32</v>
      </c>
      <c r="F524" s="27">
        <v>352</v>
      </c>
      <c r="G524" s="27">
        <v>320</v>
      </c>
      <c r="H524" s="27">
        <v>64</v>
      </c>
      <c r="I524" s="27">
        <f>+IFERROR(VLOOKUP(A524,'[1]Pending Dispatch'!$N$2:$O$651,2,0),0)</f>
        <v>0</v>
      </c>
      <c r="J524" s="27">
        <f t="shared" si="8"/>
        <v>64</v>
      </c>
      <c r="K524" s="28">
        <v>0.34690000000000004</v>
      </c>
      <c r="L524" s="28">
        <v>2.2201600000000002E-2</v>
      </c>
      <c r="M524" s="26">
        <v>728</v>
      </c>
      <c r="N524" s="26">
        <v>46592</v>
      </c>
    </row>
    <row r="525" spans="1:14" ht="15" customHeight="1" x14ac:dyDescent="0.3">
      <c r="A525" s="25" t="s">
        <v>1010</v>
      </c>
      <c r="B525" s="26" t="s">
        <v>1011</v>
      </c>
      <c r="C525" s="26" t="s">
        <v>666</v>
      </c>
      <c r="D525" s="27">
        <v>32</v>
      </c>
      <c r="E525" s="27">
        <v>0</v>
      </c>
      <c r="F525" s="27">
        <v>32</v>
      </c>
      <c r="G525" s="27">
        <v>32</v>
      </c>
      <c r="H525" s="27">
        <v>0</v>
      </c>
      <c r="I525" s="27">
        <f>+IFERROR(VLOOKUP(A525,'[1]Pending Dispatch'!$N$2:$O$651,2,0),0)</f>
        <v>0</v>
      </c>
      <c r="J525" s="27">
        <f t="shared" si="8"/>
        <v>0</v>
      </c>
      <c r="K525" s="28">
        <v>0.34226000000000001</v>
      </c>
      <c r="L525" s="28">
        <v>4.3809279999999999E-2</v>
      </c>
      <c r="M525" s="26">
        <v>2046</v>
      </c>
      <c r="N525" s="26">
        <v>0</v>
      </c>
    </row>
    <row r="526" spans="1:14" ht="15" customHeight="1" x14ac:dyDescent="0.3">
      <c r="A526" s="25" t="s">
        <v>1012</v>
      </c>
      <c r="B526" s="26" t="s">
        <v>1013</v>
      </c>
      <c r="C526" s="26" t="s">
        <v>666</v>
      </c>
      <c r="D526" s="27">
        <v>32</v>
      </c>
      <c r="E526" s="27">
        <v>0</v>
      </c>
      <c r="F526" s="27">
        <v>0</v>
      </c>
      <c r="G526" s="27">
        <v>0</v>
      </c>
      <c r="H526" s="27">
        <v>0</v>
      </c>
      <c r="I526" s="27">
        <f>+IFERROR(VLOOKUP(A526,'[1]Pending Dispatch'!$N$2:$O$651,2,0),0)</f>
        <v>0</v>
      </c>
      <c r="J526" s="27">
        <f t="shared" si="8"/>
        <v>0</v>
      </c>
      <c r="K526" s="28">
        <v>0.34570000000000001</v>
      </c>
      <c r="L526" s="28">
        <v>1.10624E-2</v>
      </c>
      <c r="M526" s="26">
        <v>0</v>
      </c>
      <c r="N526" s="26">
        <v>0</v>
      </c>
    </row>
    <row r="527" spans="1:14" ht="15" customHeight="1" x14ac:dyDescent="0.3">
      <c r="A527" s="25" t="s">
        <v>1014</v>
      </c>
      <c r="B527" s="26" t="s">
        <v>1015</v>
      </c>
      <c r="C527" s="26" t="s">
        <v>666</v>
      </c>
      <c r="D527" s="27">
        <v>32</v>
      </c>
      <c r="E527" s="27">
        <v>64</v>
      </c>
      <c r="F527" s="27">
        <v>0</v>
      </c>
      <c r="G527" s="27">
        <v>0</v>
      </c>
      <c r="H527" s="27">
        <v>64</v>
      </c>
      <c r="I527" s="27">
        <f>+IFERROR(VLOOKUP(A527,'[1]Pending Dispatch'!$N$2:$O$651,2,0),0)</f>
        <v>0</v>
      </c>
      <c r="J527" s="27">
        <f t="shared" si="8"/>
        <v>64</v>
      </c>
      <c r="K527" s="28">
        <v>0.32912000000000002</v>
      </c>
      <c r="L527" s="28">
        <v>2.1063680000000001E-2</v>
      </c>
      <c r="M527" s="26">
        <v>728</v>
      </c>
      <c r="N527" s="26">
        <v>46592</v>
      </c>
    </row>
    <row r="528" spans="1:14" ht="15" customHeight="1" x14ac:dyDescent="0.3">
      <c r="A528" s="33" t="s">
        <v>1016</v>
      </c>
      <c r="B528" s="34" t="s">
        <v>1017</v>
      </c>
      <c r="C528" s="34" t="s">
        <v>666</v>
      </c>
      <c r="D528" s="35">
        <v>32</v>
      </c>
      <c r="E528" s="35">
        <v>0</v>
      </c>
      <c r="F528" s="35">
        <v>352</v>
      </c>
      <c r="G528" s="35">
        <v>288</v>
      </c>
      <c r="H528" s="35">
        <v>64</v>
      </c>
      <c r="I528" s="27">
        <f>+IFERROR(VLOOKUP(A528,'[1]Pending Dispatch'!$N$2:$O$651,2,0),0)</f>
        <v>0</v>
      </c>
      <c r="J528" s="27">
        <f t="shared" si="8"/>
        <v>64</v>
      </c>
      <c r="K528" s="36">
        <v>0.314</v>
      </c>
      <c r="L528" s="36">
        <v>1.0048E-2</v>
      </c>
      <c r="M528" s="34">
        <v>748</v>
      </c>
      <c r="N528" s="34">
        <v>47872</v>
      </c>
    </row>
    <row r="529" spans="1:14" ht="15" customHeight="1" x14ac:dyDescent="0.3">
      <c r="A529" s="25" t="s">
        <v>1018</v>
      </c>
      <c r="B529" s="26" t="s">
        <v>1019</v>
      </c>
      <c r="C529" s="26" t="s">
        <v>666</v>
      </c>
      <c r="D529" s="27">
        <v>32</v>
      </c>
      <c r="E529" s="27">
        <v>0</v>
      </c>
      <c r="F529" s="27">
        <v>0</v>
      </c>
      <c r="G529" s="27">
        <v>0</v>
      </c>
      <c r="H529" s="27">
        <v>0</v>
      </c>
      <c r="I529" s="27">
        <f>+IFERROR(VLOOKUP(A529,'[1]Pending Dispatch'!$N$2:$O$651,2,0),0)</f>
        <v>32</v>
      </c>
      <c r="J529" s="27">
        <f t="shared" si="8"/>
        <v>-32</v>
      </c>
      <c r="K529" s="28">
        <v>0.3095</v>
      </c>
      <c r="L529" s="28">
        <v>9.9039999999999996E-3</v>
      </c>
      <c r="M529" s="26">
        <v>720</v>
      </c>
      <c r="N529" s="26">
        <v>-23040</v>
      </c>
    </row>
    <row r="530" spans="1:14" ht="15" customHeight="1" x14ac:dyDescent="0.3">
      <c r="A530" s="33" t="s">
        <v>1020</v>
      </c>
      <c r="B530" s="34" t="s">
        <v>1021</v>
      </c>
      <c r="C530" s="34" t="s">
        <v>666</v>
      </c>
      <c r="D530" s="35">
        <v>32</v>
      </c>
      <c r="E530" s="35">
        <v>16</v>
      </c>
      <c r="F530" s="35">
        <v>496</v>
      </c>
      <c r="G530" s="35">
        <v>512</v>
      </c>
      <c r="H530" s="35">
        <v>0</v>
      </c>
      <c r="I530" s="27">
        <f>+IFERROR(VLOOKUP(A530,'[1]Pending Dispatch'!$N$2:$O$651,2,0),0)</f>
        <v>0</v>
      </c>
      <c r="J530" s="27">
        <f t="shared" si="8"/>
        <v>0</v>
      </c>
      <c r="K530" s="36">
        <v>0.33550000000000002</v>
      </c>
      <c r="L530" s="36">
        <v>5.3680000000000004E-3</v>
      </c>
      <c r="M530" s="34">
        <v>0</v>
      </c>
      <c r="N530" s="34">
        <v>0</v>
      </c>
    </row>
    <row r="531" spans="1:14" ht="15" customHeight="1" x14ac:dyDescent="0.3">
      <c r="A531" s="33" t="s">
        <v>1022</v>
      </c>
      <c r="B531" s="34" t="s">
        <v>1023</v>
      </c>
      <c r="C531" s="34" t="s">
        <v>666</v>
      </c>
      <c r="D531" s="35">
        <v>32</v>
      </c>
      <c r="E531" s="35">
        <v>128</v>
      </c>
      <c r="F531" s="35">
        <v>640</v>
      </c>
      <c r="G531" s="35">
        <v>768</v>
      </c>
      <c r="H531" s="35">
        <v>0</v>
      </c>
      <c r="I531" s="27">
        <f>+IFERROR(VLOOKUP(A531,'[1]Pending Dispatch'!$N$2:$O$651,2,0),0)</f>
        <v>0</v>
      </c>
      <c r="J531" s="27">
        <f t="shared" si="8"/>
        <v>0</v>
      </c>
      <c r="K531" s="36">
        <v>0.32544000000000001</v>
      </c>
      <c r="L531" s="36">
        <v>6.2484480000000002E-2</v>
      </c>
      <c r="M531" s="34">
        <v>720</v>
      </c>
      <c r="N531" s="34">
        <v>0</v>
      </c>
    </row>
    <row r="532" spans="1:14" ht="15" customHeight="1" x14ac:dyDescent="0.3">
      <c r="A532" s="33" t="s">
        <v>1024</v>
      </c>
      <c r="B532" s="34" t="s">
        <v>1025</v>
      </c>
      <c r="C532" s="34" t="s">
        <v>666</v>
      </c>
      <c r="D532" s="35">
        <v>32</v>
      </c>
      <c r="E532" s="35">
        <v>20</v>
      </c>
      <c r="F532" s="35">
        <v>160</v>
      </c>
      <c r="G532" s="35">
        <v>160</v>
      </c>
      <c r="H532" s="35">
        <v>20</v>
      </c>
      <c r="I532" s="27">
        <f>+IFERROR(VLOOKUP(A532,'[1]Pending Dispatch'!$N$2:$O$651,2,0),0)</f>
        <v>0</v>
      </c>
      <c r="J532" s="27">
        <f t="shared" si="8"/>
        <v>20</v>
      </c>
      <c r="K532" s="36">
        <v>0.34970000000000001</v>
      </c>
      <c r="L532" s="36">
        <v>6.9939999999999993E-3</v>
      </c>
      <c r="M532" s="34">
        <v>0</v>
      </c>
      <c r="N532" s="34">
        <v>0</v>
      </c>
    </row>
    <row r="533" spans="1:14" ht="15" customHeight="1" x14ac:dyDescent="0.3">
      <c r="A533" s="25" t="s">
        <v>1026</v>
      </c>
      <c r="B533" s="26" t="s">
        <v>1027</v>
      </c>
      <c r="C533" s="26" t="s">
        <v>666</v>
      </c>
      <c r="D533" s="27">
        <v>32</v>
      </c>
      <c r="E533" s="27">
        <v>0</v>
      </c>
      <c r="F533" s="27">
        <v>0</v>
      </c>
      <c r="G533" s="27">
        <v>0</v>
      </c>
      <c r="H533" s="27">
        <v>0</v>
      </c>
      <c r="I533" s="27">
        <f>+IFERROR(VLOOKUP(A533,'[1]Pending Dispatch'!$N$2:$O$651,2,0),0)</f>
        <v>0</v>
      </c>
      <c r="J533" s="27">
        <f t="shared" si="8"/>
        <v>0</v>
      </c>
      <c r="K533" s="28">
        <v>0.32462000000000002</v>
      </c>
      <c r="L533" s="28">
        <v>0</v>
      </c>
      <c r="M533" s="26">
        <v>711</v>
      </c>
      <c r="N533" s="26">
        <v>0</v>
      </c>
    </row>
    <row r="534" spans="1:14" ht="15" customHeight="1" x14ac:dyDescent="0.3">
      <c r="A534" s="25" t="s">
        <v>1028</v>
      </c>
      <c r="B534" s="26" t="s">
        <v>1029</v>
      </c>
      <c r="C534" s="26" t="s">
        <v>666</v>
      </c>
      <c r="D534" s="27">
        <v>32</v>
      </c>
      <c r="E534" s="27">
        <v>14</v>
      </c>
      <c r="F534" s="27">
        <v>0</v>
      </c>
      <c r="G534" s="27">
        <v>0</v>
      </c>
      <c r="H534" s="27">
        <v>14</v>
      </c>
      <c r="I534" s="27">
        <f>+IFERROR(VLOOKUP(A534,'[1]Pending Dispatch'!$N$2:$O$651,2,0),0)</f>
        <v>0</v>
      </c>
      <c r="J534" s="27">
        <f t="shared" si="8"/>
        <v>14</v>
      </c>
      <c r="K534" s="28">
        <v>0.38100000000000001</v>
      </c>
      <c r="L534" s="28">
        <v>5.3339999999999993E-3</v>
      </c>
      <c r="M534" s="26">
        <v>0</v>
      </c>
      <c r="N534" s="26">
        <v>0</v>
      </c>
    </row>
    <row r="535" spans="1:14" ht="15" customHeight="1" x14ac:dyDescent="0.3">
      <c r="A535" s="25" t="s">
        <v>1030</v>
      </c>
      <c r="B535" s="26" t="s">
        <v>1031</v>
      </c>
      <c r="C535" s="26" t="s">
        <v>666</v>
      </c>
      <c r="D535" s="27">
        <v>32</v>
      </c>
      <c r="E535" s="27">
        <v>64</v>
      </c>
      <c r="F535" s="27">
        <v>0</v>
      </c>
      <c r="G535" s="27">
        <v>0</v>
      </c>
      <c r="H535" s="27">
        <v>64</v>
      </c>
      <c r="I535" s="27">
        <f>+IFERROR(VLOOKUP(A535,'[1]Pending Dispatch'!$N$2:$O$651,2,0),0)</f>
        <v>0</v>
      </c>
      <c r="J535" s="27">
        <f t="shared" si="8"/>
        <v>64</v>
      </c>
      <c r="K535" s="28">
        <v>0.39671000000000006</v>
      </c>
      <c r="L535" s="28">
        <v>2.5389440000000003E-2</v>
      </c>
      <c r="M535" s="26">
        <v>703</v>
      </c>
      <c r="N535" s="26">
        <v>44992</v>
      </c>
    </row>
    <row r="536" spans="1:14" ht="15" customHeight="1" x14ac:dyDescent="0.3">
      <c r="A536" s="25" t="s">
        <v>1032</v>
      </c>
      <c r="B536" s="26" t="s">
        <v>1033</v>
      </c>
      <c r="C536" s="26" t="s">
        <v>666</v>
      </c>
      <c r="D536" s="27">
        <v>32</v>
      </c>
      <c r="E536" s="27">
        <v>0</v>
      </c>
      <c r="F536" s="27">
        <v>32</v>
      </c>
      <c r="G536" s="27">
        <v>32</v>
      </c>
      <c r="H536" s="27">
        <v>0</v>
      </c>
      <c r="I536" s="27">
        <f>+IFERROR(VLOOKUP(A536,'[1]Pending Dispatch'!$N$2:$O$651,2,0),0)</f>
        <v>0</v>
      </c>
      <c r="J536" s="27">
        <f t="shared" si="8"/>
        <v>0</v>
      </c>
      <c r="K536" s="28">
        <v>0.36369999999999997</v>
      </c>
      <c r="L536" s="28">
        <v>0</v>
      </c>
      <c r="M536" s="26">
        <v>728</v>
      </c>
      <c r="N536" s="26">
        <v>0</v>
      </c>
    </row>
    <row r="537" spans="1:14" ht="15" customHeight="1" x14ac:dyDescent="0.3">
      <c r="A537" s="25" t="s">
        <v>1034</v>
      </c>
      <c r="B537" s="26" t="s">
        <v>1035</v>
      </c>
      <c r="C537" s="26" t="s">
        <v>666</v>
      </c>
      <c r="D537" s="27">
        <v>32</v>
      </c>
      <c r="E537" s="27">
        <v>32</v>
      </c>
      <c r="F537" s="27">
        <v>0</v>
      </c>
      <c r="G537" s="27">
        <v>0</v>
      </c>
      <c r="H537" s="27">
        <v>32</v>
      </c>
      <c r="I537" s="27">
        <f>+IFERROR(VLOOKUP(A537,'[1]Pending Dispatch'!$N$2:$O$651,2,0),0)</f>
        <v>0</v>
      </c>
      <c r="J537" s="27">
        <f t="shared" si="8"/>
        <v>32</v>
      </c>
      <c r="K537" s="28">
        <v>7.3799999999999991E-2</v>
      </c>
      <c r="L537" s="28">
        <v>2.3615999999999997E-3</v>
      </c>
      <c r="M537" s="26">
        <v>702</v>
      </c>
      <c r="N537" s="26">
        <v>22464</v>
      </c>
    </row>
    <row r="538" spans="1:14" ht="15" customHeight="1" x14ac:dyDescent="0.3">
      <c r="A538" s="25" t="s">
        <v>1036</v>
      </c>
      <c r="B538" s="26" t="s">
        <v>1037</v>
      </c>
      <c r="C538" s="26" t="s">
        <v>666</v>
      </c>
      <c r="D538" s="27">
        <v>32</v>
      </c>
      <c r="E538" s="27">
        <v>33</v>
      </c>
      <c r="F538" s="27">
        <v>0</v>
      </c>
      <c r="G538" s="27">
        <v>0</v>
      </c>
      <c r="H538" s="27">
        <v>33</v>
      </c>
      <c r="I538" s="27">
        <f>+IFERROR(VLOOKUP(A538,'[1]Pending Dispatch'!$N$2:$O$651,2,0),0)</f>
        <v>32</v>
      </c>
      <c r="J538" s="27">
        <f t="shared" si="8"/>
        <v>1</v>
      </c>
      <c r="K538" s="28">
        <v>0.35082000000000002</v>
      </c>
      <c r="L538" s="28">
        <v>1.1577060000000002E-2</v>
      </c>
      <c r="M538" s="26">
        <v>754</v>
      </c>
      <c r="N538" s="26">
        <v>754</v>
      </c>
    </row>
    <row r="539" spans="1:14" ht="15" customHeight="1" x14ac:dyDescent="0.3">
      <c r="A539" s="25" t="s">
        <v>1038</v>
      </c>
      <c r="B539" s="26" t="s">
        <v>1039</v>
      </c>
      <c r="C539" s="26" t="s">
        <v>666</v>
      </c>
      <c r="D539" s="27">
        <v>32</v>
      </c>
      <c r="E539" s="27">
        <v>22</v>
      </c>
      <c r="F539" s="27">
        <v>0</v>
      </c>
      <c r="G539" s="27">
        <v>0</v>
      </c>
      <c r="H539" s="27">
        <v>22</v>
      </c>
      <c r="I539" s="27">
        <f>+IFERROR(VLOOKUP(A539,'[1]Pending Dispatch'!$N$2:$O$651,2,0),0)</f>
        <v>0</v>
      </c>
      <c r="J539" s="27">
        <f t="shared" si="8"/>
        <v>22</v>
      </c>
      <c r="K539" s="28">
        <v>7.3799999999999991E-2</v>
      </c>
      <c r="L539" s="28">
        <v>1.6235999999999998E-3</v>
      </c>
      <c r="M539" s="26">
        <v>722</v>
      </c>
      <c r="N539" s="26">
        <v>15884</v>
      </c>
    </row>
    <row r="540" spans="1:14" ht="15" customHeight="1" x14ac:dyDescent="0.3">
      <c r="A540" s="25" t="s">
        <v>1040</v>
      </c>
      <c r="B540" s="26" t="s">
        <v>1041</v>
      </c>
      <c r="C540" s="26" t="s">
        <v>666</v>
      </c>
      <c r="D540" s="27">
        <v>32</v>
      </c>
      <c r="E540" s="27">
        <v>0</v>
      </c>
      <c r="F540" s="27">
        <v>0</v>
      </c>
      <c r="G540" s="27">
        <v>0</v>
      </c>
      <c r="H540" s="27">
        <v>0</v>
      </c>
      <c r="I540" s="27">
        <f>+IFERROR(VLOOKUP(A540,'[1]Pending Dispatch'!$N$2:$O$651,2,0),0)</f>
        <v>0</v>
      </c>
      <c r="J540" s="27">
        <f t="shared" si="8"/>
        <v>0</v>
      </c>
      <c r="K540" s="28">
        <v>0.33637</v>
      </c>
      <c r="L540" s="28">
        <v>1.076384E-2</v>
      </c>
      <c r="M540" s="26">
        <v>750</v>
      </c>
      <c r="N540" s="26">
        <v>0</v>
      </c>
    </row>
    <row r="541" spans="1:14" ht="15" customHeight="1" x14ac:dyDescent="0.3">
      <c r="A541" s="25" t="s">
        <v>1042</v>
      </c>
      <c r="B541" s="26" t="s">
        <v>1043</v>
      </c>
      <c r="C541" s="26" t="s">
        <v>666</v>
      </c>
      <c r="D541" s="27">
        <v>32</v>
      </c>
      <c r="E541" s="27">
        <v>32</v>
      </c>
      <c r="F541" s="27">
        <v>0</v>
      </c>
      <c r="G541" s="27">
        <v>0</v>
      </c>
      <c r="H541" s="27">
        <v>32</v>
      </c>
      <c r="I541" s="27">
        <f>+IFERROR(VLOOKUP(A541,'[1]Pending Dispatch'!$N$2:$O$651,2,0),0)</f>
        <v>0</v>
      </c>
      <c r="J541" s="27">
        <f t="shared" si="8"/>
        <v>32</v>
      </c>
      <c r="K541" s="28">
        <v>7.3799999999999991E-2</v>
      </c>
      <c r="L541" s="28">
        <v>2.3615999999999997E-3</v>
      </c>
      <c r="M541" s="26">
        <v>712</v>
      </c>
      <c r="N541" s="26">
        <v>22784</v>
      </c>
    </row>
    <row r="542" spans="1:14" ht="15" customHeight="1" x14ac:dyDescent="0.3">
      <c r="A542" s="25" t="s">
        <v>1044</v>
      </c>
      <c r="B542" s="26" t="s">
        <v>1045</v>
      </c>
      <c r="C542" s="26" t="s">
        <v>666</v>
      </c>
      <c r="D542" s="27">
        <v>32</v>
      </c>
      <c r="E542" s="27">
        <v>49</v>
      </c>
      <c r="F542" s="27">
        <v>96</v>
      </c>
      <c r="G542" s="27">
        <v>0</v>
      </c>
      <c r="H542" s="27">
        <v>145</v>
      </c>
      <c r="I542" s="27">
        <f>+IFERROR(VLOOKUP(A542,'[1]Pending Dispatch'!$N$2:$O$651,2,0),0)</f>
        <v>64</v>
      </c>
      <c r="J542" s="27">
        <f t="shared" si="8"/>
        <v>81</v>
      </c>
      <c r="K542" s="28">
        <v>0.34932000000000002</v>
      </c>
      <c r="L542" s="28">
        <v>5.9384399999999997E-3</v>
      </c>
      <c r="M542" s="26">
        <v>750</v>
      </c>
      <c r="N542" s="26">
        <v>60750</v>
      </c>
    </row>
    <row r="543" spans="1:14" ht="15" customHeight="1" x14ac:dyDescent="0.3">
      <c r="A543" s="25" t="s">
        <v>1046</v>
      </c>
      <c r="B543" s="26" t="s">
        <v>1047</v>
      </c>
      <c r="C543" s="26" t="s">
        <v>666</v>
      </c>
      <c r="D543" s="27">
        <v>32</v>
      </c>
      <c r="E543" s="27">
        <v>0</v>
      </c>
      <c r="F543" s="27">
        <v>0</v>
      </c>
      <c r="G543" s="27">
        <v>0</v>
      </c>
      <c r="H543" s="27">
        <v>0</v>
      </c>
      <c r="I543" s="27">
        <f>+IFERROR(VLOOKUP(A543,'[1]Pending Dispatch'!$N$2:$O$651,2,0),0)</f>
        <v>0</v>
      </c>
      <c r="J543" s="27">
        <f t="shared" si="8"/>
        <v>0</v>
      </c>
      <c r="K543" s="28">
        <v>7.3799999999999991E-2</v>
      </c>
      <c r="L543" s="28">
        <v>0</v>
      </c>
      <c r="M543" s="26">
        <v>712</v>
      </c>
      <c r="N543" s="26">
        <v>0</v>
      </c>
    </row>
    <row r="544" spans="1:14" ht="15" customHeight="1" x14ac:dyDescent="0.3">
      <c r="A544" s="25" t="s">
        <v>1048</v>
      </c>
      <c r="B544" s="26" t="s">
        <v>1049</v>
      </c>
      <c r="C544" s="26" t="s">
        <v>666</v>
      </c>
      <c r="D544" s="27">
        <v>32</v>
      </c>
      <c r="E544" s="27">
        <v>64</v>
      </c>
      <c r="F544" s="27">
        <v>32</v>
      </c>
      <c r="G544" s="27">
        <v>96</v>
      </c>
      <c r="H544" s="27">
        <v>0</v>
      </c>
      <c r="I544" s="27">
        <f>+IFERROR(VLOOKUP(A544,'[1]Pending Dispatch'!$N$2:$O$651,2,0),0)</f>
        <v>0</v>
      </c>
      <c r="J544" s="27">
        <f t="shared" si="8"/>
        <v>0</v>
      </c>
      <c r="K544" s="28">
        <v>0.36322000000000004</v>
      </c>
      <c r="L544" s="28">
        <v>9.4437200000000009E-3</v>
      </c>
      <c r="M544" s="26">
        <v>740</v>
      </c>
      <c r="N544" s="26">
        <v>0</v>
      </c>
    </row>
    <row r="545" spans="1:16" ht="15" customHeight="1" x14ac:dyDescent="0.3">
      <c r="A545" s="25" t="s">
        <v>1050</v>
      </c>
      <c r="B545" s="26" t="s">
        <v>1051</v>
      </c>
      <c r="C545" s="26" t="s">
        <v>666</v>
      </c>
      <c r="D545" s="27">
        <v>32</v>
      </c>
      <c r="E545" s="27">
        <v>64</v>
      </c>
      <c r="F545" s="27">
        <v>0</v>
      </c>
      <c r="G545" s="27">
        <v>0</v>
      </c>
      <c r="H545" s="27">
        <v>64</v>
      </c>
      <c r="I545" s="27">
        <f>+IFERROR(VLOOKUP(A545,'[1]Pending Dispatch'!$N$2:$O$651,2,0),0)</f>
        <v>0</v>
      </c>
      <c r="J545" s="27">
        <f t="shared" si="8"/>
        <v>64</v>
      </c>
      <c r="K545" s="28">
        <v>7.3799999999999991E-2</v>
      </c>
      <c r="L545" s="28">
        <v>4.7231999999999994E-3</v>
      </c>
      <c r="M545" s="26">
        <v>702</v>
      </c>
      <c r="N545" s="26">
        <v>44928</v>
      </c>
    </row>
    <row r="546" spans="1:16" ht="15" customHeight="1" x14ac:dyDescent="0.3">
      <c r="A546" s="25" t="s">
        <v>1052</v>
      </c>
      <c r="B546" s="26" t="s">
        <v>1053</v>
      </c>
      <c r="C546" s="26" t="s">
        <v>666</v>
      </c>
      <c r="D546" s="27">
        <v>32</v>
      </c>
      <c r="E546" s="27">
        <v>138</v>
      </c>
      <c r="F546" s="27">
        <v>0</v>
      </c>
      <c r="G546" s="27">
        <v>0</v>
      </c>
      <c r="H546" s="27">
        <v>138</v>
      </c>
      <c r="I546" s="27">
        <f>+IFERROR(VLOOKUP(A546,'[1]Pending Dispatch'!$N$2:$O$651,2,0),0)</f>
        <v>0</v>
      </c>
      <c r="J546" s="27">
        <f t="shared" si="8"/>
        <v>138</v>
      </c>
      <c r="K546" s="28">
        <v>0.43189</v>
      </c>
      <c r="L546" s="28">
        <v>5.9600819999999999E-2</v>
      </c>
      <c r="M546" s="26">
        <v>735</v>
      </c>
      <c r="N546" s="26">
        <v>101430</v>
      </c>
      <c r="P546" s="3">
        <v>-10</v>
      </c>
    </row>
    <row r="547" spans="1:16" ht="15" customHeight="1" x14ac:dyDescent="0.3">
      <c r="A547" s="25" t="s">
        <v>1054</v>
      </c>
      <c r="B547" s="26" t="s">
        <v>1055</v>
      </c>
      <c r="C547" s="26" t="s">
        <v>666</v>
      </c>
      <c r="D547" s="27">
        <v>32</v>
      </c>
      <c r="E547" s="27">
        <v>0</v>
      </c>
      <c r="F547" s="27">
        <v>0</v>
      </c>
      <c r="G547" s="27">
        <v>0</v>
      </c>
      <c r="H547" s="27">
        <v>0</v>
      </c>
      <c r="I547" s="27">
        <f>+IFERROR(VLOOKUP(A547,'[1]Pending Dispatch'!$N$2:$O$651,2,0),0)</f>
        <v>0</v>
      </c>
      <c r="J547" s="27">
        <f t="shared" si="8"/>
        <v>0</v>
      </c>
      <c r="K547" s="28">
        <v>7.3799999999999991E-2</v>
      </c>
      <c r="L547" s="28">
        <v>0</v>
      </c>
      <c r="M547" s="26">
        <v>698</v>
      </c>
      <c r="N547" s="26">
        <v>0</v>
      </c>
    </row>
    <row r="548" spans="1:16" ht="15" customHeight="1" x14ac:dyDescent="0.3">
      <c r="A548" s="25" t="s">
        <v>1056</v>
      </c>
      <c r="B548" s="26" t="s">
        <v>1057</v>
      </c>
      <c r="C548" s="26" t="s">
        <v>666</v>
      </c>
      <c r="D548" s="27">
        <v>200</v>
      </c>
      <c r="E548" s="27">
        <v>0</v>
      </c>
      <c r="F548" s="27">
        <v>0</v>
      </c>
      <c r="G548" s="27">
        <v>0</v>
      </c>
      <c r="H548" s="27">
        <v>0</v>
      </c>
      <c r="I548" s="27">
        <f>+IFERROR(VLOOKUP(A548,'[1]Pending Dispatch'!$N$2:$O$651,2,0),0)</f>
        <v>0</v>
      </c>
      <c r="J548" s="27">
        <f t="shared" si="8"/>
        <v>0</v>
      </c>
      <c r="K548" s="28">
        <v>4.45E-3</v>
      </c>
      <c r="L548" s="28">
        <v>0</v>
      </c>
      <c r="M548" s="26">
        <v>0</v>
      </c>
      <c r="N548" s="26">
        <v>0</v>
      </c>
    </row>
    <row r="549" spans="1:16" ht="15" customHeight="1" x14ac:dyDescent="0.3">
      <c r="A549" s="25" t="s">
        <v>1058</v>
      </c>
      <c r="B549" s="26" t="s">
        <v>1059</v>
      </c>
      <c r="C549" s="26" t="s">
        <v>666</v>
      </c>
      <c r="D549" s="27">
        <v>150</v>
      </c>
      <c r="E549" s="27">
        <v>48</v>
      </c>
      <c r="F549" s="27">
        <v>0</v>
      </c>
      <c r="G549" s="27">
        <v>0</v>
      </c>
      <c r="H549" s="27">
        <v>48</v>
      </c>
      <c r="I549" s="27">
        <f>+IFERROR(VLOOKUP(A549,'[1]Pending Dispatch'!$N$2:$O$651,2,0),0)</f>
        <v>0</v>
      </c>
      <c r="J549" s="27">
        <f t="shared" si="8"/>
        <v>48</v>
      </c>
      <c r="K549" s="28">
        <v>7.7999999999999996E-3</v>
      </c>
      <c r="L549" s="28">
        <v>3.7439999999999994E-4</v>
      </c>
      <c r="M549" s="26">
        <v>0</v>
      </c>
      <c r="N549" s="26">
        <v>0</v>
      </c>
    </row>
    <row r="550" spans="1:16" ht="15" customHeight="1" x14ac:dyDescent="0.3">
      <c r="A550" s="25" t="s">
        <v>1060</v>
      </c>
      <c r="B550" s="26" t="s">
        <v>1061</v>
      </c>
      <c r="C550" s="26" t="s">
        <v>666</v>
      </c>
      <c r="D550" s="27">
        <v>250</v>
      </c>
      <c r="E550" s="27">
        <v>0</v>
      </c>
      <c r="F550" s="27">
        <v>0</v>
      </c>
      <c r="G550" s="27">
        <v>0</v>
      </c>
      <c r="H550" s="27">
        <v>0</v>
      </c>
      <c r="I550" s="27">
        <f>+IFERROR(VLOOKUP(A550,'[1]Pending Dispatch'!$N$2:$O$651,2,0),0)</f>
        <v>0</v>
      </c>
      <c r="J550" s="27">
        <f t="shared" si="8"/>
        <v>0</v>
      </c>
      <c r="K550" s="28">
        <v>1.26E-2</v>
      </c>
      <c r="L550" s="28">
        <v>0</v>
      </c>
      <c r="M550" s="26">
        <v>0</v>
      </c>
      <c r="N550" s="26">
        <v>0</v>
      </c>
    </row>
    <row r="551" spans="1:16" ht="15" customHeight="1" x14ac:dyDescent="0.3">
      <c r="A551" s="25" t="s">
        <v>1062</v>
      </c>
      <c r="B551" s="26" t="s">
        <v>1063</v>
      </c>
      <c r="C551" s="26" t="s">
        <v>666</v>
      </c>
      <c r="D551" s="27">
        <v>8</v>
      </c>
      <c r="E551" s="27">
        <v>4</v>
      </c>
      <c r="F551" s="27">
        <v>0</v>
      </c>
      <c r="G551" s="27">
        <v>0</v>
      </c>
      <c r="H551" s="27">
        <v>4</v>
      </c>
      <c r="I551" s="27">
        <f>+IFERROR(VLOOKUP(A551,'[1]Pending Dispatch'!$N$2:$O$651,2,0),0)</f>
        <v>0</v>
      </c>
      <c r="J551" s="27">
        <f t="shared" si="8"/>
        <v>4</v>
      </c>
      <c r="K551" s="28">
        <v>0.9335</v>
      </c>
      <c r="L551" s="28">
        <v>3.7339999999999999E-3</v>
      </c>
      <c r="M551" s="26">
        <v>534</v>
      </c>
      <c r="N551" s="26">
        <v>2136</v>
      </c>
    </row>
    <row r="552" spans="1:16" ht="15" customHeight="1" x14ac:dyDescent="0.3">
      <c r="A552" s="25" t="s">
        <v>1064</v>
      </c>
      <c r="B552" s="26" t="s">
        <v>1065</v>
      </c>
      <c r="C552" s="26" t="s">
        <v>666</v>
      </c>
      <c r="D552" s="27">
        <v>200</v>
      </c>
      <c r="E552" s="27">
        <v>712</v>
      </c>
      <c r="F552" s="27">
        <v>0</v>
      </c>
      <c r="G552" s="27">
        <v>200</v>
      </c>
      <c r="H552" s="27">
        <v>512</v>
      </c>
      <c r="I552" s="27">
        <f>+IFERROR(VLOOKUP(A552,'[1]Pending Dispatch'!$N$2:$O$651,2,0),0)</f>
        <v>100</v>
      </c>
      <c r="J552" s="27">
        <f t="shared" si="8"/>
        <v>412</v>
      </c>
      <c r="K552" s="28">
        <v>5.2200000000000003E-2</v>
      </c>
      <c r="L552" s="28">
        <v>3.7166400000000002E-2</v>
      </c>
      <c r="M552" s="26">
        <v>30.6</v>
      </c>
      <c r="N552" s="26">
        <v>12607.2</v>
      </c>
    </row>
    <row r="553" spans="1:16" ht="15" customHeight="1" x14ac:dyDescent="0.3">
      <c r="A553" s="25" t="s">
        <v>1066</v>
      </c>
      <c r="B553" s="26" t="s">
        <v>1067</v>
      </c>
      <c r="C553" s="26" t="s">
        <v>666</v>
      </c>
      <c r="D553" s="27">
        <v>200</v>
      </c>
      <c r="E553" s="27">
        <v>867</v>
      </c>
      <c r="F553" s="27">
        <v>1030</v>
      </c>
      <c r="G553" s="27">
        <v>1680</v>
      </c>
      <c r="H553" s="27">
        <v>217</v>
      </c>
      <c r="I553" s="27">
        <f>+IFERROR(VLOOKUP(A553,'[1]Pending Dispatch'!$N$2:$O$651,2,0),0)</f>
        <v>100</v>
      </c>
      <c r="J553" s="27">
        <f t="shared" si="8"/>
        <v>117</v>
      </c>
      <c r="K553" s="28">
        <v>3.0800000000000001E-2</v>
      </c>
      <c r="L553" s="28">
        <v>7.1055599999999997E-2</v>
      </c>
      <c r="M553" s="26">
        <v>40.6</v>
      </c>
      <c r="N553" s="26">
        <v>4750.2</v>
      </c>
    </row>
    <row r="554" spans="1:16" ht="15" customHeight="1" x14ac:dyDescent="0.3">
      <c r="A554" s="25" t="s">
        <v>1068</v>
      </c>
      <c r="B554" s="26" t="s">
        <v>1069</v>
      </c>
      <c r="C554" s="26" t="s">
        <v>666</v>
      </c>
      <c r="D554" s="27">
        <v>4</v>
      </c>
      <c r="E554" s="27">
        <v>20</v>
      </c>
      <c r="F554" s="27">
        <v>0</v>
      </c>
      <c r="G554" s="27">
        <v>0</v>
      </c>
      <c r="H554" s="27">
        <v>20</v>
      </c>
      <c r="I554" s="27">
        <f>+IFERROR(VLOOKUP(A554,'[1]Pending Dispatch'!$N$2:$O$651,2,0),0)</f>
        <v>0</v>
      </c>
      <c r="J554" s="27">
        <f t="shared" si="8"/>
        <v>20</v>
      </c>
      <c r="K554" s="28">
        <v>1.89E-3</v>
      </c>
      <c r="L554" s="28">
        <v>3.7799999999999997E-5</v>
      </c>
      <c r="M554" s="26">
        <v>1090</v>
      </c>
      <c r="N554" s="26">
        <v>21800</v>
      </c>
    </row>
    <row r="555" spans="1:16" ht="15" customHeight="1" x14ac:dyDescent="0.3">
      <c r="A555" s="25" t="s">
        <v>1070</v>
      </c>
      <c r="B555" s="26" t="s">
        <v>1071</v>
      </c>
      <c r="C555" s="26" t="s">
        <v>666</v>
      </c>
      <c r="D555" s="27">
        <v>30</v>
      </c>
      <c r="E555" s="27">
        <v>172</v>
      </c>
      <c r="F555" s="27">
        <v>0</v>
      </c>
      <c r="G555" s="27">
        <v>120</v>
      </c>
      <c r="H555" s="27">
        <v>52</v>
      </c>
      <c r="I555" s="27">
        <f>+IFERROR(VLOOKUP(A555,'[1]Pending Dispatch'!$N$2:$O$651,2,0),0)</f>
        <v>120</v>
      </c>
      <c r="J555" s="27">
        <f t="shared" si="8"/>
        <v>-68</v>
      </c>
      <c r="K555" s="28">
        <v>0.26700000000000002</v>
      </c>
      <c r="L555" s="28">
        <v>0.126024</v>
      </c>
      <c r="M555" s="26">
        <v>148</v>
      </c>
      <c r="N555" s="26">
        <v>-10064</v>
      </c>
    </row>
    <row r="556" spans="1:16" ht="15" customHeight="1" x14ac:dyDescent="0.3">
      <c r="A556" s="25" t="s">
        <v>1072</v>
      </c>
      <c r="B556" s="26" t="s">
        <v>1073</v>
      </c>
      <c r="C556" s="26" t="s">
        <v>666</v>
      </c>
      <c r="D556" s="27">
        <v>50</v>
      </c>
      <c r="E556" s="27">
        <v>568</v>
      </c>
      <c r="F556" s="27">
        <v>40</v>
      </c>
      <c r="G556" s="27">
        <v>100</v>
      </c>
      <c r="H556" s="27">
        <v>508</v>
      </c>
      <c r="I556" s="27">
        <f>+IFERROR(VLOOKUP(A556,'[1]Pending Dispatch'!$N$2:$O$651,2,0),0)</f>
        <v>0</v>
      </c>
      <c r="J556" s="27">
        <f t="shared" si="8"/>
        <v>508</v>
      </c>
      <c r="K556" s="28">
        <v>0.2462</v>
      </c>
      <c r="L556" s="28">
        <v>1.6741600000000002E-2</v>
      </c>
      <c r="M556" s="26">
        <v>94</v>
      </c>
      <c r="N556" s="26">
        <v>47752</v>
      </c>
    </row>
    <row r="557" spans="1:16" ht="15" customHeight="1" x14ac:dyDescent="0.3">
      <c r="A557" s="25" t="s">
        <v>1074</v>
      </c>
      <c r="B557" s="26" t="s">
        <v>1075</v>
      </c>
      <c r="C557" s="26" t="s">
        <v>666</v>
      </c>
      <c r="D557" s="27">
        <v>40</v>
      </c>
      <c r="E557" s="27">
        <v>6</v>
      </c>
      <c r="F557" s="27">
        <v>0</v>
      </c>
      <c r="G557" s="27">
        <v>0</v>
      </c>
      <c r="H557" s="27">
        <v>6</v>
      </c>
      <c r="I557" s="27">
        <f>+IFERROR(VLOOKUP(A557,'[1]Pending Dispatch'!$N$2:$O$651,2,0),0)</f>
        <v>0</v>
      </c>
      <c r="J557" s="27">
        <f t="shared" si="8"/>
        <v>6</v>
      </c>
      <c r="K557" s="28">
        <v>0.38680000000000003</v>
      </c>
      <c r="L557" s="28">
        <v>2.3208E-3</v>
      </c>
      <c r="M557" s="26">
        <v>198</v>
      </c>
      <c r="N557" s="26">
        <v>1188</v>
      </c>
    </row>
    <row r="558" spans="1:16" ht="15" customHeight="1" x14ac:dyDescent="0.3">
      <c r="A558" s="25" t="s">
        <v>1076</v>
      </c>
      <c r="B558" s="26" t="s">
        <v>1077</v>
      </c>
      <c r="C558" s="26" t="s">
        <v>666</v>
      </c>
      <c r="D558" s="27">
        <v>80</v>
      </c>
      <c r="E558" s="27">
        <v>7</v>
      </c>
      <c r="F558" s="27">
        <v>180</v>
      </c>
      <c r="G558" s="27">
        <v>180</v>
      </c>
      <c r="H558" s="27">
        <v>7</v>
      </c>
      <c r="I558" s="27">
        <f>+IFERROR(VLOOKUP(A558,'[1]Pending Dispatch'!$N$2:$O$651,2,0),0)</f>
        <v>0</v>
      </c>
      <c r="J558" s="27">
        <f t="shared" si="8"/>
        <v>7</v>
      </c>
      <c r="K558" s="28">
        <v>0.12140000000000001</v>
      </c>
      <c r="L558" s="28">
        <v>8.4980000000000016E-4</v>
      </c>
      <c r="M558" s="26">
        <v>63</v>
      </c>
      <c r="N558" s="26">
        <v>441</v>
      </c>
    </row>
    <row r="559" spans="1:16" ht="15" customHeight="1" x14ac:dyDescent="0.3">
      <c r="A559" s="25" t="s">
        <v>1078</v>
      </c>
      <c r="B559" s="26" t="s">
        <v>1079</v>
      </c>
      <c r="C559" s="26" t="s">
        <v>666</v>
      </c>
      <c r="D559" s="27">
        <v>50</v>
      </c>
      <c r="E559" s="27">
        <v>0</v>
      </c>
      <c r="F559" s="27">
        <v>50</v>
      </c>
      <c r="G559" s="27">
        <v>50</v>
      </c>
      <c r="H559" s="27">
        <v>0</v>
      </c>
      <c r="I559" s="27">
        <f>+IFERROR(VLOOKUP(A559,'[1]Pending Dispatch'!$N$2:$O$651,2,0),0)</f>
        <v>0</v>
      </c>
      <c r="J559" s="27">
        <f t="shared" si="8"/>
        <v>0</v>
      </c>
      <c r="K559" s="28">
        <v>0.20524999999999999</v>
      </c>
      <c r="L559" s="28">
        <v>0</v>
      </c>
      <c r="M559" s="26">
        <v>111.9</v>
      </c>
      <c r="N559" s="26">
        <v>0</v>
      </c>
    </row>
    <row r="560" spans="1:16" ht="15" customHeight="1" x14ac:dyDescent="0.3">
      <c r="A560" s="25" t="s">
        <v>1080</v>
      </c>
      <c r="B560" s="26" t="s">
        <v>1081</v>
      </c>
      <c r="C560" s="26" t="s">
        <v>666</v>
      </c>
      <c r="D560" s="27">
        <v>150</v>
      </c>
      <c r="E560" s="27">
        <v>445</v>
      </c>
      <c r="F560" s="27">
        <v>1320</v>
      </c>
      <c r="G560" s="27">
        <v>250</v>
      </c>
      <c r="H560" s="27">
        <v>1515</v>
      </c>
      <c r="I560" s="27">
        <f>+IFERROR(VLOOKUP(A560,'[1]Pending Dispatch'!$N$2:$O$651,2,0),0)</f>
        <v>1250</v>
      </c>
      <c r="J560" s="27">
        <f t="shared" si="8"/>
        <v>265</v>
      </c>
      <c r="K560" s="28">
        <v>9.8500000000000004E-2</v>
      </c>
      <c r="L560" s="28">
        <v>6.8457499999999991E-2</v>
      </c>
      <c r="M560" s="26">
        <v>50.4</v>
      </c>
      <c r="N560" s="26">
        <v>13356</v>
      </c>
    </row>
    <row r="561" spans="1:14" ht="15" customHeight="1" x14ac:dyDescent="0.3">
      <c r="A561" s="25" t="s">
        <v>1082</v>
      </c>
      <c r="B561" s="26" t="s">
        <v>1083</v>
      </c>
      <c r="C561" s="26" t="s">
        <v>666</v>
      </c>
      <c r="D561" s="27">
        <v>4</v>
      </c>
      <c r="E561" s="27">
        <v>97</v>
      </c>
      <c r="F561" s="27">
        <v>0</v>
      </c>
      <c r="G561" s="27">
        <v>0</v>
      </c>
      <c r="H561" s="27">
        <v>97</v>
      </c>
      <c r="I561" s="27">
        <f>+IFERROR(VLOOKUP(A561,'[1]Pending Dispatch'!$N$2:$O$651,2,0),0)</f>
        <v>0</v>
      </c>
      <c r="J561" s="27">
        <f t="shared" si="8"/>
        <v>97</v>
      </c>
      <c r="K561" s="28">
        <v>2.29</v>
      </c>
      <c r="L561" s="28">
        <v>0.23129</v>
      </c>
      <c r="M561" s="26">
        <v>1280</v>
      </c>
      <c r="N561" s="26">
        <v>124160</v>
      </c>
    </row>
    <row r="562" spans="1:14" ht="15" customHeight="1" x14ac:dyDescent="0.3">
      <c r="A562" s="33" t="s">
        <v>1084</v>
      </c>
      <c r="B562" s="34" t="s">
        <v>1085</v>
      </c>
      <c r="C562" s="34" t="s">
        <v>666</v>
      </c>
      <c r="D562" s="35">
        <v>3</v>
      </c>
      <c r="E562" s="35">
        <v>45</v>
      </c>
      <c r="F562" s="35">
        <v>0</v>
      </c>
      <c r="G562" s="35">
        <v>6</v>
      </c>
      <c r="H562" s="35">
        <v>39</v>
      </c>
      <c r="I562" s="27">
        <f>+IFERROR(VLOOKUP(A562,'[1]Pending Dispatch'!$N$2:$O$651,2,0),0)</f>
        <v>0</v>
      </c>
      <c r="J562" s="27">
        <f t="shared" si="8"/>
        <v>39</v>
      </c>
      <c r="K562" s="36">
        <v>2.3610000000000002</v>
      </c>
      <c r="L562" s="36">
        <v>0.113328</v>
      </c>
      <c r="M562" s="34">
        <v>1660</v>
      </c>
      <c r="N562" s="34">
        <v>64740</v>
      </c>
    </row>
    <row r="563" spans="1:14" ht="15" customHeight="1" x14ac:dyDescent="0.3">
      <c r="A563" s="25" t="s">
        <v>1086</v>
      </c>
      <c r="B563" s="26" t="s">
        <v>1087</v>
      </c>
      <c r="C563" s="26" t="s">
        <v>666</v>
      </c>
      <c r="D563" s="27">
        <v>40</v>
      </c>
      <c r="E563" s="27">
        <v>0</v>
      </c>
      <c r="F563" s="27">
        <v>120</v>
      </c>
      <c r="G563" s="27">
        <v>80</v>
      </c>
      <c r="H563" s="27">
        <v>40</v>
      </c>
      <c r="I563" s="27">
        <f>+IFERROR(VLOOKUP(A563,'[1]Pending Dispatch'!$N$2:$O$651,2,0),0)</f>
        <v>40</v>
      </c>
      <c r="J563" s="27">
        <f t="shared" si="8"/>
        <v>0</v>
      </c>
      <c r="K563" s="28">
        <v>0.39947000000000005</v>
      </c>
      <c r="L563" s="28">
        <v>0</v>
      </c>
      <c r="M563" s="26">
        <v>2480</v>
      </c>
      <c r="N563" s="26">
        <v>0</v>
      </c>
    </row>
    <row r="564" spans="1:14" ht="15" customHeight="1" x14ac:dyDescent="0.3">
      <c r="A564" s="25" t="s">
        <v>1088</v>
      </c>
      <c r="B564" s="26" t="s">
        <v>1089</v>
      </c>
      <c r="C564" s="26" t="s">
        <v>666</v>
      </c>
      <c r="D564" s="27">
        <v>10</v>
      </c>
      <c r="E564" s="27">
        <v>128</v>
      </c>
      <c r="F564" s="27">
        <v>0</v>
      </c>
      <c r="G564" s="27">
        <v>3</v>
      </c>
      <c r="H564" s="27">
        <v>125</v>
      </c>
      <c r="I564" s="27">
        <f>+IFERROR(VLOOKUP(A564,'[1]Pending Dispatch'!$N$2:$O$651,2,0),0)</f>
        <v>6</v>
      </c>
      <c r="J564" s="27">
        <f t="shared" si="8"/>
        <v>119</v>
      </c>
      <c r="K564" s="28">
        <v>0.48</v>
      </c>
      <c r="L564" s="28">
        <v>1.008E-2</v>
      </c>
      <c r="M564" s="26">
        <v>24</v>
      </c>
      <c r="N564" s="26">
        <v>2856</v>
      </c>
    </row>
    <row r="565" spans="1:14" ht="15" customHeight="1" x14ac:dyDescent="0.3">
      <c r="A565" s="25" t="s">
        <v>1090</v>
      </c>
      <c r="B565" s="26" t="s">
        <v>1091</v>
      </c>
      <c r="C565" s="26" t="s">
        <v>666</v>
      </c>
      <c r="D565" s="27">
        <v>12</v>
      </c>
      <c r="E565" s="27">
        <v>20</v>
      </c>
      <c r="F565" s="27">
        <v>0</v>
      </c>
      <c r="G565" s="27">
        <v>2</v>
      </c>
      <c r="H565" s="27">
        <v>18</v>
      </c>
      <c r="I565" s="27">
        <f>+IFERROR(VLOOKUP(A565,'[1]Pending Dispatch'!$N$2:$O$651,2,0),0)</f>
        <v>0</v>
      </c>
      <c r="J565" s="27">
        <f t="shared" si="8"/>
        <v>18</v>
      </c>
      <c r="K565" s="28">
        <v>0.75949999999999995</v>
      </c>
      <c r="L565" s="28">
        <v>5.7721999999999996E-2</v>
      </c>
      <c r="M565" s="26">
        <v>34</v>
      </c>
      <c r="N565" s="26">
        <v>612</v>
      </c>
    </row>
    <row r="566" spans="1:14" ht="15" customHeight="1" x14ac:dyDescent="0.3">
      <c r="A566" s="25" t="s">
        <v>1092</v>
      </c>
      <c r="B566" s="26" t="s">
        <v>1093</v>
      </c>
      <c r="C566" s="26" t="s">
        <v>666</v>
      </c>
      <c r="D566" s="27">
        <v>6</v>
      </c>
      <c r="E566" s="27">
        <v>24</v>
      </c>
      <c r="F566" s="27">
        <v>0</v>
      </c>
      <c r="G566" s="27">
        <v>1</v>
      </c>
      <c r="H566" s="27">
        <v>23</v>
      </c>
      <c r="I566" s="27">
        <f>+IFERROR(VLOOKUP(A566,'[1]Pending Dispatch'!$N$2:$O$651,2,0),0)</f>
        <v>0</v>
      </c>
      <c r="J566" s="27">
        <f t="shared" si="8"/>
        <v>23</v>
      </c>
      <c r="K566" s="28">
        <v>1.343</v>
      </c>
      <c r="L566" s="28">
        <v>5.6405999999999998E-2</v>
      </c>
      <c r="M566" s="26">
        <v>58</v>
      </c>
      <c r="N566" s="26">
        <v>1334</v>
      </c>
    </row>
    <row r="567" spans="1:14" ht="15" customHeight="1" x14ac:dyDescent="0.3">
      <c r="A567" s="33" t="s">
        <v>1094</v>
      </c>
      <c r="B567" s="34" t="s">
        <v>1095</v>
      </c>
      <c r="C567" s="34" t="s">
        <v>666</v>
      </c>
      <c r="D567" s="35">
        <v>6</v>
      </c>
      <c r="E567" s="35">
        <v>132</v>
      </c>
      <c r="F567" s="35">
        <v>0</v>
      </c>
      <c r="G567" s="35">
        <v>18</v>
      </c>
      <c r="H567" s="35">
        <v>114</v>
      </c>
      <c r="I567" s="27">
        <f>+IFERROR(VLOOKUP(A567,'[1]Pending Dispatch'!$N$2:$O$651,2,0),0)</f>
        <v>6</v>
      </c>
      <c r="J567" s="27">
        <f t="shared" si="8"/>
        <v>108</v>
      </c>
      <c r="K567" s="36">
        <v>1.3580000000000001</v>
      </c>
      <c r="L567" s="36">
        <v>0.20370000000000002</v>
      </c>
      <c r="M567" s="34">
        <v>72</v>
      </c>
      <c r="N567" s="34">
        <v>7776</v>
      </c>
    </row>
    <row r="568" spans="1:14" ht="15" customHeight="1" x14ac:dyDescent="0.3">
      <c r="A568" s="25" t="s">
        <v>1096</v>
      </c>
      <c r="B568" s="26" t="s">
        <v>1097</v>
      </c>
      <c r="C568" s="26" t="s">
        <v>666</v>
      </c>
      <c r="D568" s="27">
        <v>100</v>
      </c>
      <c r="E568" s="27">
        <v>1505</v>
      </c>
      <c r="F568" s="27">
        <v>36</v>
      </c>
      <c r="G568" s="27">
        <v>100</v>
      </c>
      <c r="H568" s="27">
        <v>1441</v>
      </c>
      <c r="I568" s="27">
        <f>+IFERROR(VLOOKUP(A568,'[1]Pending Dispatch'!$N$2:$O$651,2,0),0)</f>
        <v>0</v>
      </c>
      <c r="J568" s="27">
        <f t="shared" si="8"/>
        <v>1441</v>
      </c>
      <c r="K568" s="28">
        <v>0.08</v>
      </c>
      <c r="L568" s="28">
        <v>0.12040000000000001</v>
      </c>
      <c r="M568" s="26">
        <v>108</v>
      </c>
      <c r="N568" s="26">
        <v>155628</v>
      </c>
    </row>
    <row r="569" spans="1:14" ht="15" customHeight="1" x14ac:dyDescent="0.3">
      <c r="A569" s="25" t="s">
        <v>1098</v>
      </c>
      <c r="B569" s="26" t="s">
        <v>1099</v>
      </c>
      <c r="C569" s="26" t="s">
        <v>666</v>
      </c>
      <c r="D569" s="27">
        <v>100</v>
      </c>
      <c r="E569" s="27">
        <v>810</v>
      </c>
      <c r="F569" s="27">
        <v>30</v>
      </c>
      <c r="G569" s="27">
        <v>200</v>
      </c>
      <c r="H569" s="27">
        <v>640</v>
      </c>
      <c r="I569" s="27">
        <f>+IFERROR(VLOOKUP(A569,'[1]Pending Dispatch'!$N$2:$O$651,2,0),0)</f>
        <v>250</v>
      </c>
      <c r="J569" s="27">
        <f t="shared" si="8"/>
        <v>390</v>
      </c>
      <c r="K569" s="28">
        <v>8.5000000000000006E-2</v>
      </c>
      <c r="L569" s="28">
        <v>9.8600000000000007E-2</v>
      </c>
      <c r="M569" s="26">
        <v>44.9</v>
      </c>
      <c r="N569" s="26">
        <v>17511</v>
      </c>
    </row>
    <row r="570" spans="1:14" ht="15" customHeight="1" x14ac:dyDescent="0.3">
      <c r="A570" s="25" t="s">
        <v>1100</v>
      </c>
      <c r="B570" s="26" t="s">
        <v>1101</v>
      </c>
      <c r="C570" s="26" t="s">
        <v>666</v>
      </c>
      <c r="D570" s="27">
        <v>10</v>
      </c>
      <c r="E570" s="27">
        <v>165</v>
      </c>
      <c r="F570" s="27">
        <v>0</v>
      </c>
      <c r="G570" s="27">
        <v>0</v>
      </c>
      <c r="H570" s="27">
        <v>165</v>
      </c>
      <c r="I570" s="27">
        <f>+IFERROR(VLOOKUP(A570,'[1]Pending Dispatch'!$N$2:$O$651,2,0),0)</f>
        <v>0</v>
      </c>
      <c r="J570" s="27">
        <f t="shared" si="8"/>
        <v>165</v>
      </c>
      <c r="K570" s="28">
        <v>0.82</v>
      </c>
      <c r="L570" s="28">
        <v>0.14349999999999999</v>
      </c>
      <c r="M570" s="26">
        <v>393.3</v>
      </c>
      <c r="N570" s="26">
        <v>64894.5</v>
      </c>
    </row>
    <row r="571" spans="1:14" ht="15" customHeight="1" x14ac:dyDescent="0.3">
      <c r="A571" s="25" t="s">
        <v>1102</v>
      </c>
      <c r="B571" s="26" t="s">
        <v>1103</v>
      </c>
      <c r="C571" s="26" t="s">
        <v>666</v>
      </c>
      <c r="D571" s="27">
        <v>6</v>
      </c>
      <c r="E571" s="27">
        <v>147</v>
      </c>
      <c r="F571" s="27">
        <v>0</v>
      </c>
      <c r="G571" s="27">
        <v>0</v>
      </c>
      <c r="H571" s="27">
        <v>147</v>
      </c>
      <c r="I571" s="27">
        <f>+IFERROR(VLOOKUP(A571,'[1]Pending Dispatch'!$N$2:$O$651,2,0),0)</f>
        <v>6</v>
      </c>
      <c r="J571" s="27">
        <f t="shared" si="8"/>
        <v>141</v>
      </c>
      <c r="K571" s="28">
        <v>1.3469</v>
      </c>
      <c r="L571" s="28">
        <v>0.2276261</v>
      </c>
      <c r="M571" s="26">
        <v>980</v>
      </c>
      <c r="N571" s="26">
        <v>138180</v>
      </c>
    </row>
    <row r="572" spans="1:14" ht="15" customHeight="1" x14ac:dyDescent="0.3">
      <c r="A572" s="25" t="s">
        <v>1104</v>
      </c>
      <c r="B572" s="26" t="s">
        <v>1105</v>
      </c>
      <c r="C572" s="26" t="s">
        <v>666</v>
      </c>
      <c r="D572" s="27">
        <v>50</v>
      </c>
      <c r="E572" s="27">
        <v>3018</v>
      </c>
      <c r="F572" s="27">
        <v>0</v>
      </c>
      <c r="G572" s="27">
        <v>700</v>
      </c>
      <c r="H572" s="27">
        <v>2318</v>
      </c>
      <c r="I572" s="27">
        <f>+IFERROR(VLOOKUP(A572,'[1]Pending Dispatch'!$N$2:$O$651,2,0),0)</f>
        <v>550</v>
      </c>
      <c r="J572" s="27">
        <f t="shared" si="8"/>
        <v>1768</v>
      </c>
      <c r="K572" s="28">
        <v>0.1741</v>
      </c>
      <c r="L572" s="28">
        <v>9.54068E-2</v>
      </c>
      <c r="M572" s="26">
        <v>78</v>
      </c>
      <c r="N572" s="26">
        <v>137904</v>
      </c>
    </row>
    <row r="573" spans="1:14" ht="15" customHeight="1" x14ac:dyDescent="0.3">
      <c r="A573" s="25" t="s">
        <v>1106</v>
      </c>
      <c r="B573" s="26" t="s">
        <v>1107</v>
      </c>
      <c r="C573" s="26" t="s">
        <v>666</v>
      </c>
      <c r="D573" s="27">
        <v>50</v>
      </c>
      <c r="E573" s="27">
        <v>0</v>
      </c>
      <c r="F573" s="27">
        <v>50</v>
      </c>
      <c r="G573" s="27">
        <v>50</v>
      </c>
      <c r="H573" s="27">
        <v>0</v>
      </c>
      <c r="I573" s="27">
        <f>+IFERROR(VLOOKUP(A573,'[1]Pending Dispatch'!$N$2:$O$651,2,0),0)</f>
        <v>100</v>
      </c>
      <c r="J573" s="27">
        <f t="shared" si="8"/>
        <v>-100</v>
      </c>
      <c r="K573" s="28">
        <v>0.22144999999999998</v>
      </c>
      <c r="L573" s="28">
        <v>0</v>
      </c>
      <c r="M573" s="26">
        <v>121.1</v>
      </c>
      <c r="N573" s="26">
        <v>-12110</v>
      </c>
    </row>
    <row r="574" spans="1:14" ht="15" customHeight="1" x14ac:dyDescent="0.3">
      <c r="A574" s="25" t="s">
        <v>1108</v>
      </c>
      <c r="B574" s="26" t="s">
        <v>1109</v>
      </c>
      <c r="C574" s="26" t="s">
        <v>666</v>
      </c>
      <c r="D574" s="27">
        <v>10</v>
      </c>
      <c r="E574" s="27">
        <v>30</v>
      </c>
      <c r="F574" s="27">
        <v>0</v>
      </c>
      <c r="G574" s="27">
        <v>0</v>
      </c>
      <c r="H574" s="27">
        <v>30</v>
      </c>
      <c r="I574" s="27">
        <f>+IFERROR(VLOOKUP(A574,'[1]Pending Dispatch'!$N$2:$O$651,2,0),0)</f>
        <v>0</v>
      </c>
      <c r="J574" s="27">
        <f t="shared" si="8"/>
        <v>30</v>
      </c>
      <c r="K574" s="28">
        <v>0.879</v>
      </c>
      <c r="L574" s="28">
        <v>5.0982E-2</v>
      </c>
      <c r="M574" s="26">
        <v>980</v>
      </c>
      <c r="N574" s="26">
        <v>29400</v>
      </c>
    </row>
    <row r="575" spans="1:14" ht="15" customHeight="1" x14ac:dyDescent="0.3">
      <c r="A575" s="25" t="s">
        <v>1110</v>
      </c>
      <c r="B575" s="26" t="s">
        <v>1111</v>
      </c>
      <c r="C575" s="26" t="s">
        <v>666</v>
      </c>
      <c r="D575" s="27">
        <v>4</v>
      </c>
      <c r="E575" s="27">
        <v>29</v>
      </c>
      <c r="F575" s="27">
        <v>0</v>
      </c>
      <c r="G575" s="27">
        <v>0</v>
      </c>
      <c r="H575" s="27">
        <v>29</v>
      </c>
      <c r="I575" s="27">
        <f>+IFERROR(VLOOKUP(A575,'[1]Pending Dispatch'!$N$2:$O$651,2,0),0)</f>
        <v>0</v>
      </c>
      <c r="J575" s="27">
        <f t="shared" si="8"/>
        <v>29</v>
      </c>
      <c r="K575" s="28">
        <v>2.3839999999999999</v>
      </c>
      <c r="L575" s="28">
        <v>6.9135999999999989E-2</v>
      </c>
      <c r="M575" s="26">
        <v>1248</v>
      </c>
      <c r="N575" s="26">
        <v>36192</v>
      </c>
    </row>
    <row r="576" spans="1:14" ht="15" customHeight="1" x14ac:dyDescent="0.3">
      <c r="A576" s="25" t="s">
        <v>1112</v>
      </c>
      <c r="B576" s="26" t="s">
        <v>1113</v>
      </c>
      <c r="C576" s="26" t="s">
        <v>666</v>
      </c>
      <c r="D576" s="27">
        <v>30</v>
      </c>
      <c r="E576" s="27">
        <v>30</v>
      </c>
      <c r="F576" s="27">
        <v>30</v>
      </c>
      <c r="G576" s="27">
        <v>60</v>
      </c>
      <c r="H576" s="27">
        <v>0</v>
      </c>
      <c r="I576" s="27">
        <f>+IFERROR(VLOOKUP(A576,'[1]Pending Dispatch'!$N$2:$O$651,2,0),0)</f>
        <v>0</v>
      </c>
      <c r="J576" s="27">
        <f t="shared" si="8"/>
        <v>0</v>
      </c>
      <c r="K576" s="28">
        <v>0.2248</v>
      </c>
      <c r="L576" s="28">
        <v>0</v>
      </c>
      <c r="M576" s="26">
        <v>118</v>
      </c>
      <c r="N576" s="26">
        <v>0</v>
      </c>
    </row>
    <row r="577" spans="1:14" ht="15" customHeight="1" x14ac:dyDescent="0.3">
      <c r="A577" s="25" t="s">
        <v>1114</v>
      </c>
      <c r="B577" s="26" t="s">
        <v>1115</v>
      </c>
      <c r="C577" s="26" t="s">
        <v>666</v>
      </c>
      <c r="D577" s="27">
        <v>80</v>
      </c>
      <c r="E577" s="27">
        <v>474</v>
      </c>
      <c r="F577" s="27">
        <v>720</v>
      </c>
      <c r="G577" s="27">
        <v>1107</v>
      </c>
      <c r="H577" s="27">
        <v>87</v>
      </c>
      <c r="I577" s="27">
        <f>+IFERROR(VLOOKUP(A577,'[1]Pending Dispatch'!$N$2:$O$651,2,0),0)</f>
        <v>640</v>
      </c>
      <c r="J577" s="27">
        <f t="shared" si="8"/>
        <v>-553</v>
      </c>
      <c r="K577" s="28">
        <v>8.0799999999999997E-2</v>
      </c>
      <c r="L577" s="28">
        <v>0.13897599999999999</v>
      </c>
      <c r="M577" s="26">
        <v>980</v>
      </c>
      <c r="N577" s="26">
        <v>-541940</v>
      </c>
    </row>
    <row r="578" spans="1:14" ht="15" customHeight="1" x14ac:dyDescent="0.3">
      <c r="A578" s="25" t="s">
        <v>1116</v>
      </c>
      <c r="B578" s="26" t="s">
        <v>1117</v>
      </c>
      <c r="C578" s="26" t="s">
        <v>666</v>
      </c>
      <c r="D578" s="27">
        <v>80</v>
      </c>
      <c r="E578" s="27">
        <v>14</v>
      </c>
      <c r="F578" s="27">
        <v>2070</v>
      </c>
      <c r="G578" s="27">
        <v>320</v>
      </c>
      <c r="H578" s="27">
        <v>1764</v>
      </c>
      <c r="I578" s="27">
        <f>+IFERROR(VLOOKUP(A578,'[1]Pending Dispatch'!$N$2:$O$651,2,0),0)</f>
        <v>160</v>
      </c>
      <c r="J578" s="27">
        <f t="shared" si="8"/>
        <v>1604</v>
      </c>
      <c r="K578" s="28">
        <v>0.10479999999999999</v>
      </c>
      <c r="L578" s="28">
        <v>0.16076319999999999</v>
      </c>
      <c r="M578" s="26">
        <v>58</v>
      </c>
      <c r="N578" s="26">
        <v>93032</v>
      </c>
    </row>
    <row r="579" spans="1:14" ht="15" customHeight="1" x14ac:dyDescent="0.3">
      <c r="A579" s="25" t="s">
        <v>1118</v>
      </c>
      <c r="B579" s="26" t="s">
        <v>1119</v>
      </c>
      <c r="C579" s="26" t="s">
        <v>666</v>
      </c>
      <c r="D579" s="27">
        <v>80</v>
      </c>
      <c r="E579" s="27">
        <v>730</v>
      </c>
      <c r="F579" s="27">
        <v>0</v>
      </c>
      <c r="G579" s="27">
        <v>10</v>
      </c>
      <c r="H579" s="27">
        <v>720</v>
      </c>
      <c r="I579" s="27">
        <f>+IFERROR(VLOOKUP(A579,'[1]Pending Dispatch'!$N$2:$O$651,2,0),0)</f>
        <v>80</v>
      </c>
      <c r="J579" s="27">
        <f t="shared" si="8"/>
        <v>640</v>
      </c>
      <c r="K579" s="28">
        <v>9.7000000000000003E-2</v>
      </c>
      <c r="L579" s="28">
        <v>7.0809999999999998E-2</v>
      </c>
      <c r="M579" s="26">
        <v>64</v>
      </c>
      <c r="N579" s="26">
        <v>40960</v>
      </c>
    </row>
    <row r="580" spans="1:14" ht="15" customHeight="1" x14ac:dyDescent="0.3">
      <c r="A580" s="25" t="s">
        <v>1120</v>
      </c>
      <c r="B580" s="26" t="s">
        <v>1121</v>
      </c>
      <c r="C580" s="26" t="s">
        <v>666</v>
      </c>
      <c r="D580" s="27">
        <v>80</v>
      </c>
      <c r="E580" s="27">
        <v>1250</v>
      </c>
      <c r="F580" s="27">
        <v>0</v>
      </c>
      <c r="G580" s="27">
        <v>0</v>
      </c>
      <c r="H580" s="27">
        <v>1250</v>
      </c>
      <c r="I580" s="27">
        <f>+IFERROR(VLOOKUP(A580,'[1]Pending Dispatch'!$N$2:$O$651,2,0),0)</f>
        <v>720</v>
      </c>
      <c r="J580" s="27">
        <f t="shared" si="8"/>
        <v>530</v>
      </c>
      <c r="K580" s="28">
        <v>0.108</v>
      </c>
      <c r="L580" s="28">
        <v>0.13500000000000001</v>
      </c>
      <c r="M580" s="26">
        <v>980</v>
      </c>
      <c r="N580" s="26">
        <v>519400</v>
      </c>
    </row>
    <row r="581" spans="1:14" ht="15" customHeight="1" x14ac:dyDescent="0.3">
      <c r="A581" s="25" t="s">
        <v>1122</v>
      </c>
      <c r="B581" s="26" t="s">
        <v>1123</v>
      </c>
      <c r="C581" s="26" t="s">
        <v>666</v>
      </c>
      <c r="D581" s="27">
        <v>60</v>
      </c>
      <c r="E581" s="27">
        <v>489</v>
      </c>
      <c r="F581" s="27">
        <v>0</v>
      </c>
      <c r="G581" s="27">
        <v>230</v>
      </c>
      <c r="H581" s="27">
        <v>259</v>
      </c>
      <c r="I581" s="27">
        <f>+IFERROR(VLOOKUP(A581,'[1]Pending Dispatch'!$N$2:$O$651,2,0),0)</f>
        <v>600</v>
      </c>
      <c r="J581" s="27">
        <f t="shared" si="8"/>
        <v>-341</v>
      </c>
      <c r="K581" s="28">
        <v>0</v>
      </c>
      <c r="L581" s="28">
        <v>0</v>
      </c>
      <c r="M581" s="26">
        <v>72</v>
      </c>
      <c r="N581" s="26">
        <v>-24552</v>
      </c>
    </row>
    <row r="582" spans="1:14" ht="15" customHeight="1" x14ac:dyDescent="0.3">
      <c r="A582" s="25" t="s">
        <v>1124</v>
      </c>
      <c r="B582" s="26" t="s">
        <v>1125</v>
      </c>
      <c r="C582" s="26" t="s">
        <v>666</v>
      </c>
      <c r="D582" s="27">
        <v>50</v>
      </c>
      <c r="E582" s="27">
        <v>230</v>
      </c>
      <c r="F582" s="27">
        <v>0</v>
      </c>
      <c r="G582" s="27">
        <v>50</v>
      </c>
      <c r="H582" s="27">
        <v>180</v>
      </c>
      <c r="I582" s="27">
        <f>+IFERROR(VLOOKUP(A582,'[1]Pending Dispatch'!$N$2:$O$651,2,0),0)</f>
        <v>0</v>
      </c>
      <c r="J582" s="27">
        <f t="shared" ref="J582:J645" si="9">+H582-I582</f>
        <v>180</v>
      </c>
      <c r="K582" s="28">
        <v>0</v>
      </c>
      <c r="L582" s="28">
        <v>0</v>
      </c>
      <c r="M582" s="26">
        <v>88</v>
      </c>
      <c r="N582" s="26">
        <v>15840</v>
      </c>
    </row>
    <row r="583" spans="1:14" ht="15" customHeight="1" x14ac:dyDescent="0.3">
      <c r="A583" s="25" t="s">
        <v>1126</v>
      </c>
      <c r="B583" s="26" t="s">
        <v>1127</v>
      </c>
      <c r="C583" s="26" t="s">
        <v>666</v>
      </c>
      <c r="D583" s="27">
        <v>60</v>
      </c>
      <c r="E583" s="27">
        <v>57</v>
      </c>
      <c r="F583" s="27">
        <v>860</v>
      </c>
      <c r="G583" s="27">
        <v>500</v>
      </c>
      <c r="H583" s="27">
        <v>417</v>
      </c>
      <c r="I583" s="27">
        <f>+IFERROR(VLOOKUP(A583,'[1]Pending Dispatch'!$N$2:$O$651,2,0),0)</f>
        <v>470</v>
      </c>
      <c r="J583" s="27">
        <f t="shared" si="9"/>
        <v>-53</v>
      </c>
      <c r="K583" s="28">
        <v>0.1295</v>
      </c>
      <c r="L583" s="28">
        <v>8.6376500000000009E-2</v>
      </c>
      <c r="M583" s="26">
        <v>980</v>
      </c>
      <c r="N583" s="26">
        <v>-51940</v>
      </c>
    </row>
    <row r="584" spans="1:14" ht="15" customHeight="1" x14ac:dyDescent="0.3">
      <c r="A584" s="25" t="s">
        <v>1128</v>
      </c>
      <c r="B584" s="26" t="s">
        <v>1129</v>
      </c>
      <c r="C584" s="26" t="s">
        <v>666</v>
      </c>
      <c r="D584" s="27">
        <v>30</v>
      </c>
      <c r="E584" s="27">
        <v>375</v>
      </c>
      <c r="F584" s="27">
        <v>1</v>
      </c>
      <c r="G584" s="27">
        <v>60</v>
      </c>
      <c r="H584" s="27">
        <v>316</v>
      </c>
      <c r="I584" s="27">
        <f>+IFERROR(VLOOKUP(A584,'[1]Pending Dispatch'!$N$2:$O$651,2,0),0)</f>
        <v>40</v>
      </c>
      <c r="J584" s="27">
        <f t="shared" si="9"/>
        <v>276</v>
      </c>
      <c r="K584" s="28">
        <v>0.192</v>
      </c>
      <c r="L584" s="28">
        <v>8.3519999999999997E-2</v>
      </c>
      <c r="M584" s="26">
        <v>97.4</v>
      </c>
      <c r="N584" s="26">
        <v>26882.400000000001</v>
      </c>
    </row>
    <row r="585" spans="1:14" ht="15" customHeight="1" x14ac:dyDescent="0.3">
      <c r="A585" s="25" t="s">
        <v>1130</v>
      </c>
      <c r="B585" s="26" t="s">
        <v>1131</v>
      </c>
      <c r="C585" s="26" t="s">
        <v>666</v>
      </c>
      <c r="D585" s="27">
        <v>20</v>
      </c>
      <c r="E585" s="27">
        <v>235</v>
      </c>
      <c r="F585" s="27">
        <v>0</v>
      </c>
      <c r="G585" s="27">
        <v>120</v>
      </c>
      <c r="H585" s="27">
        <v>115</v>
      </c>
      <c r="I585" s="27">
        <f>+IFERROR(VLOOKUP(A585,'[1]Pending Dispatch'!$N$2:$O$651,2,0),0)</f>
        <v>20</v>
      </c>
      <c r="J585" s="27">
        <f t="shared" si="9"/>
        <v>95</v>
      </c>
      <c r="K585" s="28">
        <v>0.46300000000000002</v>
      </c>
      <c r="L585" s="28">
        <v>0.21066500000000002</v>
      </c>
      <c r="M585" s="26">
        <v>258</v>
      </c>
      <c r="N585" s="26">
        <v>24510</v>
      </c>
    </row>
    <row r="586" spans="1:14" ht="15" customHeight="1" x14ac:dyDescent="0.3">
      <c r="A586" s="25" t="s">
        <v>1132</v>
      </c>
      <c r="B586" s="26" t="s">
        <v>1133</v>
      </c>
      <c r="C586" s="26" t="s">
        <v>666</v>
      </c>
      <c r="D586" s="27">
        <v>30</v>
      </c>
      <c r="E586" s="27">
        <v>160</v>
      </c>
      <c r="F586" s="27">
        <v>0</v>
      </c>
      <c r="G586" s="27">
        <v>150</v>
      </c>
      <c r="H586" s="27">
        <v>10</v>
      </c>
      <c r="I586" s="27">
        <f>+IFERROR(VLOOKUP(A586,'[1]Pending Dispatch'!$N$2:$O$651,2,0),0)</f>
        <v>30</v>
      </c>
      <c r="J586" s="27">
        <f t="shared" si="9"/>
        <v>-20</v>
      </c>
      <c r="K586" s="28">
        <v>0.1865</v>
      </c>
      <c r="L586" s="28">
        <v>4.8490000000000005E-2</v>
      </c>
      <c r="M586" s="26">
        <v>980</v>
      </c>
      <c r="N586" s="26">
        <v>-19600</v>
      </c>
    </row>
    <row r="587" spans="1:14" ht="15" customHeight="1" x14ac:dyDescent="0.3">
      <c r="A587" s="25" t="s">
        <v>1134</v>
      </c>
      <c r="B587" s="26" t="s">
        <v>511</v>
      </c>
      <c r="C587" s="26" t="s">
        <v>666</v>
      </c>
      <c r="D587" s="27">
        <v>30</v>
      </c>
      <c r="E587" s="27">
        <v>104</v>
      </c>
      <c r="F587" s="27">
        <v>0</v>
      </c>
      <c r="G587" s="27">
        <v>30</v>
      </c>
      <c r="H587" s="27">
        <v>74</v>
      </c>
      <c r="I587" s="27">
        <f>+IFERROR(VLOOKUP(A587,'[1]Pending Dispatch'!$N$2:$O$651,2,0),0)</f>
        <v>2</v>
      </c>
      <c r="J587" s="27">
        <f t="shared" si="9"/>
        <v>72</v>
      </c>
      <c r="K587" s="28">
        <v>0.22800000000000001</v>
      </c>
      <c r="L587" s="28">
        <v>3.1691999999999998E-2</v>
      </c>
      <c r="M587" s="26">
        <v>1280</v>
      </c>
      <c r="N587" s="26">
        <v>92160</v>
      </c>
    </row>
    <row r="588" spans="1:14" ht="15" customHeight="1" x14ac:dyDescent="0.3">
      <c r="A588" s="25" t="s">
        <v>1135</v>
      </c>
      <c r="B588" s="26" t="s">
        <v>513</v>
      </c>
      <c r="C588" s="26" t="s">
        <v>666</v>
      </c>
      <c r="D588" s="27">
        <v>10</v>
      </c>
      <c r="E588" s="27">
        <v>2</v>
      </c>
      <c r="F588" s="27">
        <v>0</v>
      </c>
      <c r="G588" s="27">
        <v>0</v>
      </c>
      <c r="H588" s="27">
        <v>2</v>
      </c>
      <c r="I588" s="27">
        <f>+IFERROR(VLOOKUP(A588,'[1]Pending Dispatch'!$N$2:$O$651,2,0),0)</f>
        <v>0</v>
      </c>
      <c r="J588" s="27">
        <f t="shared" si="9"/>
        <v>2</v>
      </c>
      <c r="K588" s="28">
        <v>0.54600000000000004</v>
      </c>
      <c r="L588" s="28">
        <v>1.0920000000000001E-3</v>
      </c>
      <c r="M588" s="26">
        <v>1299</v>
      </c>
      <c r="N588" s="26">
        <v>2598</v>
      </c>
    </row>
    <row r="589" spans="1:14" ht="15" customHeight="1" x14ac:dyDescent="0.3">
      <c r="A589" s="25" t="s">
        <v>1136</v>
      </c>
      <c r="B589" s="26" t="s">
        <v>1137</v>
      </c>
      <c r="C589" s="26" t="s">
        <v>666</v>
      </c>
      <c r="D589" s="27">
        <v>10</v>
      </c>
      <c r="E589" s="27">
        <v>17</v>
      </c>
      <c r="F589" s="27">
        <v>0</v>
      </c>
      <c r="G589" s="27">
        <v>6</v>
      </c>
      <c r="H589" s="27">
        <v>11</v>
      </c>
      <c r="I589" s="27">
        <f>+IFERROR(VLOOKUP(A589,'[1]Pending Dispatch'!$N$2:$O$651,2,0),0)</f>
        <v>0</v>
      </c>
      <c r="J589" s="27">
        <f t="shared" si="9"/>
        <v>11</v>
      </c>
      <c r="K589" s="28">
        <v>1.2999999999999999E-3</v>
      </c>
      <c r="L589" s="28">
        <v>2.2099999999999998E-5</v>
      </c>
      <c r="M589" s="26">
        <v>1388</v>
      </c>
      <c r="N589" s="26">
        <v>15268</v>
      </c>
    </row>
    <row r="590" spans="1:14" ht="15" customHeight="1" x14ac:dyDescent="0.3">
      <c r="A590" s="25" t="s">
        <v>1138</v>
      </c>
      <c r="B590" s="26" t="s">
        <v>1139</v>
      </c>
      <c r="C590" s="26" t="s">
        <v>666</v>
      </c>
      <c r="D590" s="27">
        <v>6</v>
      </c>
      <c r="E590" s="27">
        <v>3</v>
      </c>
      <c r="F590" s="27">
        <v>0</v>
      </c>
      <c r="G590" s="27">
        <v>0</v>
      </c>
      <c r="H590" s="27">
        <v>3</v>
      </c>
      <c r="I590" s="27">
        <f>+IFERROR(VLOOKUP(A590,'[1]Pending Dispatch'!$N$2:$O$651,2,0),0)</f>
        <v>0</v>
      </c>
      <c r="J590" s="27">
        <f t="shared" si="9"/>
        <v>3</v>
      </c>
      <c r="K590" s="28">
        <v>1.8959999999999999E-3</v>
      </c>
      <c r="L590" s="28">
        <v>5.6879999999999996E-6</v>
      </c>
      <c r="M590" s="26">
        <v>1358</v>
      </c>
      <c r="N590" s="26">
        <v>4074</v>
      </c>
    </row>
    <row r="591" spans="1:14" ht="15" customHeight="1" x14ac:dyDescent="0.3">
      <c r="A591" s="25" t="s">
        <v>1140</v>
      </c>
      <c r="B591" s="26" t="s">
        <v>1141</v>
      </c>
      <c r="C591" s="26" t="s">
        <v>666</v>
      </c>
      <c r="D591" s="27">
        <v>40</v>
      </c>
      <c r="E591" s="27">
        <v>0</v>
      </c>
      <c r="F591" s="27">
        <v>40</v>
      </c>
      <c r="G591" s="27">
        <v>40</v>
      </c>
      <c r="H591" s="27">
        <v>0</v>
      </c>
      <c r="I591" s="27">
        <f>+IFERROR(VLOOKUP(A591,'[1]Pending Dispatch'!$N$2:$O$651,2,0),0)</f>
        <v>0</v>
      </c>
      <c r="J591" s="27">
        <f t="shared" si="9"/>
        <v>0</v>
      </c>
      <c r="K591" s="28">
        <v>0.38239999999999996</v>
      </c>
      <c r="L591" s="28">
        <v>0</v>
      </c>
      <c r="M591" s="26">
        <v>1377</v>
      </c>
      <c r="N591" s="26">
        <v>0</v>
      </c>
    </row>
    <row r="592" spans="1:14" ht="15" customHeight="1" x14ac:dyDescent="0.3">
      <c r="A592" s="25" t="s">
        <v>1142</v>
      </c>
      <c r="B592" s="26" t="s">
        <v>1143</v>
      </c>
      <c r="C592" s="26" t="s">
        <v>666</v>
      </c>
      <c r="D592" s="27">
        <v>50</v>
      </c>
      <c r="E592" s="27">
        <v>0</v>
      </c>
      <c r="F592" s="27">
        <v>0</v>
      </c>
      <c r="G592" s="27">
        <v>0</v>
      </c>
      <c r="H592" s="27">
        <v>0</v>
      </c>
      <c r="I592" s="27">
        <f>+IFERROR(VLOOKUP(A592,'[1]Pending Dispatch'!$N$2:$O$651,2,0),0)</f>
        <v>50</v>
      </c>
      <c r="J592" s="27">
        <f t="shared" si="9"/>
        <v>-50</v>
      </c>
      <c r="K592" s="28">
        <v>0.22685</v>
      </c>
      <c r="L592" s="28">
        <v>0</v>
      </c>
      <c r="M592" s="26">
        <v>1358</v>
      </c>
      <c r="N592" s="26">
        <v>-67900</v>
      </c>
    </row>
    <row r="593" spans="1:14" ht="15" customHeight="1" x14ac:dyDescent="0.3">
      <c r="A593" s="25" t="s">
        <v>1144</v>
      </c>
      <c r="B593" s="26" t="s">
        <v>1145</v>
      </c>
      <c r="C593" s="26" t="s">
        <v>666</v>
      </c>
      <c r="D593" s="27">
        <v>50</v>
      </c>
      <c r="E593" s="27">
        <v>0</v>
      </c>
      <c r="F593" s="27">
        <v>50</v>
      </c>
      <c r="G593" s="27">
        <v>50</v>
      </c>
      <c r="H593" s="27">
        <v>0</v>
      </c>
      <c r="I593" s="27">
        <f>+IFERROR(VLOOKUP(A593,'[1]Pending Dispatch'!$N$2:$O$651,2,0),0)</f>
        <v>0</v>
      </c>
      <c r="J593" s="27">
        <f t="shared" si="9"/>
        <v>0</v>
      </c>
      <c r="K593" s="28">
        <v>0.22585</v>
      </c>
      <c r="L593" s="28">
        <v>0</v>
      </c>
      <c r="M593" s="26">
        <v>122.6</v>
      </c>
      <c r="N593" s="26">
        <v>0</v>
      </c>
    </row>
    <row r="594" spans="1:14" ht="15" customHeight="1" x14ac:dyDescent="0.3">
      <c r="A594" s="25" t="s">
        <v>1146</v>
      </c>
      <c r="B594" s="26" t="s">
        <v>1147</v>
      </c>
      <c r="C594" s="26" t="s">
        <v>666</v>
      </c>
      <c r="D594" s="27">
        <v>50</v>
      </c>
      <c r="E594" s="27">
        <v>8</v>
      </c>
      <c r="F594" s="27">
        <v>70</v>
      </c>
      <c r="G594" s="27">
        <v>70</v>
      </c>
      <c r="H594" s="27">
        <v>8</v>
      </c>
      <c r="I594" s="27">
        <f>+IFERROR(VLOOKUP(A594,'[1]Pending Dispatch'!$N$2:$O$651,2,0),0)</f>
        <v>0</v>
      </c>
      <c r="J594" s="27">
        <f t="shared" si="9"/>
        <v>8</v>
      </c>
      <c r="K594" s="28">
        <v>0.23852000000000001</v>
      </c>
      <c r="L594" s="28">
        <v>1.9081600000000001E-3</v>
      </c>
      <c r="M594" s="26">
        <v>1280</v>
      </c>
      <c r="N594" s="26">
        <v>10240</v>
      </c>
    </row>
    <row r="595" spans="1:14" ht="15" customHeight="1" x14ac:dyDescent="0.3">
      <c r="A595" s="25" t="s">
        <v>1148</v>
      </c>
      <c r="B595" s="26" t="s">
        <v>1149</v>
      </c>
      <c r="C595" s="26" t="s">
        <v>1150</v>
      </c>
      <c r="D595" s="27">
        <v>600</v>
      </c>
      <c r="E595" s="27">
        <v>0</v>
      </c>
      <c r="F595" s="27">
        <v>0</v>
      </c>
      <c r="G595" s="27">
        <v>0</v>
      </c>
      <c r="H595" s="27">
        <v>0</v>
      </c>
      <c r="I595" s="27">
        <f>+IFERROR(VLOOKUP(A595,'[1]Pending Dispatch'!$N$2:$O$651,2,0),0)</f>
        <v>0</v>
      </c>
      <c r="J595" s="27">
        <f t="shared" si="9"/>
        <v>0</v>
      </c>
      <c r="K595" s="28">
        <v>16.3</v>
      </c>
      <c r="L595" s="28">
        <v>0</v>
      </c>
      <c r="M595" s="26">
        <v>0</v>
      </c>
      <c r="N595" s="26">
        <v>0</v>
      </c>
    </row>
    <row r="596" spans="1:14" ht="15" customHeight="1" x14ac:dyDescent="0.3">
      <c r="A596" s="25" t="s">
        <v>1151</v>
      </c>
      <c r="B596" s="26" t="s">
        <v>538</v>
      </c>
      <c r="C596" s="26" t="s">
        <v>1150</v>
      </c>
      <c r="D596" s="27">
        <v>300</v>
      </c>
      <c r="E596" s="27">
        <v>0</v>
      </c>
      <c r="F596" s="27">
        <v>0</v>
      </c>
      <c r="G596" s="27">
        <v>0</v>
      </c>
      <c r="H596" s="27">
        <v>0</v>
      </c>
      <c r="I596" s="27">
        <f>+IFERROR(VLOOKUP(A596,'[1]Pending Dispatch'!$N$2:$O$651,2,0),0)</f>
        <v>0</v>
      </c>
      <c r="J596" s="27">
        <f t="shared" si="9"/>
        <v>0</v>
      </c>
      <c r="K596" s="28">
        <v>20</v>
      </c>
      <c r="L596" s="28">
        <v>0</v>
      </c>
      <c r="M596" s="26">
        <v>0</v>
      </c>
      <c r="N596" s="26">
        <v>0</v>
      </c>
    </row>
    <row r="597" spans="1:14" ht="15" customHeight="1" x14ac:dyDescent="0.3">
      <c r="A597" s="25" t="s">
        <v>1152</v>
      </c>
      <c r="B597" s="26" t="s">
        <v>1153</v>
      </c>
      <c r="C597" s="26" t="s">
        <v>1150</v>
      </c>
      <c r="D597" s="27">
        <v>240</v>
      </c>
      <c r="E597" s="27">
        <v>10104</v>
      </c>
      <c r="F597" s="27">
        <v>0</v>
      </c>
      <c r="G597" s="27">
        <v>2881</v>
      </c>
      <c r="H597" s="27">
        <v>7223</v>
      </c>
      <c r="I597" s="27">
        <f>+IFERROR(VLOOKUP(A597,'[1]Pending Dispatch'!$N$2:$O$651,2,0),0)</f>
        <v>720</v>
      </c>
      <c r="J597" s="27">
        <f t="shared" si="9"/>
        <v>6503</v>
      </c>
      <c r="K597" s="28">
        <v>30</v>
      </c>
      <c r="L597" s="28">
        <v>385.2</v>
      </c>
      <c r="M597" s="26">
        <v>548</v>
      </c>
      <c r="N597" s="26">
        <v>3563644</v>
      </c>
    </row>
    <row r="598" spans="1:14" ht="15" customHeight="1" x14ac:dyDescent="0.3">
      <c r="A598" s="25" t="s">
        <v>1154</v>
      </c>
      <c r="B598" s="26" t="s">
        <v>542</v>
      </c>
      <c r="C598" s="26" t="s">
        <v>1150</v>
      </c>
      <c r="D598" s="27">
        <v>144</v>
      </c>
      <c r="E598" s="27">
        <v>7990</v>
      </c>
      <c r="F598" s="27">
        <v>0</v>
      </c>
      <c r="G598" s="27">
        <v>3220</v>
      </c>
      <c r="H598" s="27">
        <v>4770</v>
      </c>
      <c r="I598" s="27">
        <f>+IFERROR(VLOOKUP(A598,'[1]Pending Dispatch'!$N$2:$O$651,2,0),0)</f>
        <v>1008</v>
      </c>
      <c r="J598" s="27">
        <f t="shared" si="9"/>
        <v>3762</v>
      </c>
      <c r="K598" s="28">
        <v>24</v>
      </c>
      <c r="L598" s="28">
        <v>274.8</v>
      </c>
      <c r="M598" s="26"/>
      <c r="N598" s="26">
        <v>0</v>
      </c>
    </row>
    <row r="599" spans="1:14" ht="15" customHeight="1" x14ac:dyDescent="0.3">
      <c r="A599" s="25" t="s">
        <v>1155</v>
      </c>
      <c r="B599" s="26" t="s">
        <v>544</v>
      </c>
      <c r="C599" s="26" t="s">
        <v>1150</v>
      </c>
      <c r="D599" s="27">
        <v>96</v>
      </c>
      <c r="E599" s="27">
        <v>5772</v>
      </c>
      <c r="F599" s="27">
        <v>0</v>
      </c>
      <c r="G599" s="27">
        <v>135</v>
      </c>
      <c r="H599" s="27">
        <v>5637</v>
      </c>
      <c r="I599" s="27">
        <f>+IFERROR(VLOOKUP(A599,'[1]Pending Dispatch'!$N$2:$O$651,2,0),0)</f>
        <v>96</v>
      </c>
      <c r="J599" s="27">
        <f t="shared" si="9"/>
        <v>5541</v>
      </c>
      <c r="K599" s="28">
        <v>25.63</v>
      </c>
      <c r="L599" s="28">
        <v>166.08240000000001</v>
      </c>
      <c r="M599" s="26"/>
      <c r="N599" s="26">
        <v>0</v>
      </c>
    </row>
    <row r="600" spans="1:14" ht="15" customHeight="1" x14ac:dyDescent="0.3">
      <c r="A600" s="25" t="s">
        <v>1156</v>
      </c>
      <c r="B600" s="26" t="s">
        <v>546</v>
      </c>
      <c r="C600" s="26" t="s">
        <v>1150</v>
      </c>
      <c r="D600" s="27">
        <v>48</v>
      </c>
      <c r="E600" s="27">
        <v>1628</v>
      </c>
      <c r="F600" s="27">
        <v>0</v>
      </c>
      <c r="G600" s="27">
        <v>0</v>
      </c>
      <c r="H600" s="27">
        <v>1628</v>
      </c>
      <c r="I600" s="27">
        <f>+IFERROR(VLOOKUP(A600,'[1]Pending Dispatch'!$N$2:$O$651,2,0),0)</f>
        <v>0</v>
      </c>
      <c r="J600" s="27">
        <f t="shared" si="9"/>
        <v>1628</v>
      </c>
      <c r="K600" s="28">
        <v>24.8</v>
      </c>
      <c r="L600" s="28">
        <v>46.3264</v>
      </c>
      <c r="M600" s="26"/>
      <c r="N600" s="26">
        <v>0</v>
      </c>
    </row>
    <row r="601" spans="1:14" ht="15" customHeight="1" x14ac:dyDescent="0.3">
      <c r="A601" s="25" t="s">
        <v>1157</v>
      </c>
      <c r="B601" s="26" t="s">
        <v>548</v>
      </c>
      <c r="C601" s="26" t="s">
        <v>1150</v>
      </c>
      <c r="D601" s="27">
        <v>24</v>
      </c>
      <c r="E601" s="27">
        <v>128</v>
      </c>
      <c r="F601" s="27">
        <v>0</v>
      </c>
      <c r="G601" s="27">
        <v>0</v>
      </c>
      <c r="H601" s="27">
        <v>128</v>
      </c>
      <c r="I601" s="27">
        <f>+IFERROR(VLOOKUP(A601,'[1]Pending Dispatch'!$N$2:$O$651,2,0),0)</f>
        <v>9</v>
      </c>
      <c r="J601" s="27">
        <f t="shared" si="9"/>
        <v>119</v>
      </c>
      <c r="K601" s="28">
        <v>26</v>
      </c>
      <c r="L601" s="28">
        <v>4.0039999999999996</v>
      </c>
      <c r="M601" s="26"/>
      <c r="N601" s="26">
        <v>0</v>
      </c>
    </row>
    <row r="602" spans="1:14" ht="15" customHeight="1" x14ac:dyDescent="0.3">
      <c r="A602" s="25" t="s">
        <v>1158</v>
      </c>
      <c r="B602" s="26" t="s">
        <v>554</v>
      </c>
      <c r="C602" s="26" t="s">
        <v>1150</v>
      </c>
      <c r="D602" s="27">
        <v>1600</v>
      </c>
      <c r="E602" s="27">
        <v>4755</v>
      </c>
      <c r="F602" s="27">
        <v>0</v>
      </c>
      <c r="G602" s="27">
        <v>0</v>
      </c>
      <c r="H602" s="27">
        <v>4755</v>
      </c>
      <c r="I602" s="27">
        <f>+IFERROR(VLOOKUP(A602,'[1]Pending Dispatch'!$N$2:$O$651,2,0),0)</f>
        <v>1600</v>
      </c>
      <c r="J602" s="27">
        <f t="shared" si="9"/>
        <v>3155</v>
      </c>
      <c r="K602" s="28">
        <v>18.41</v>
      </c>
      <c r="L602" s="28">
        <v>118.46835</v>
      </c>
      <c r="M602" s="26">
        <v>444</v>
      </c>
      <c r="N602" s="26">
        <v>1400820</v>
      </c>
    </row>
    <row r="603" spans="1:14" ht="15" customHeight="1" x14ac:dyDescent="0.3">
      <c r="A603" s="25" t="s">
        <v>1159</v>
      </c>
      <c r="B603" s="26" t="s">
        <v>556</v>
      </c>
      <c r="C603" s="26" t="s">
        <v>1150</v>
      </c>
      <c r="D603" s="27">
        <v>500</v>
      </c>
      <c r="E603" s="27">
        <v>4039</v>
      </c>
      <c r="F603" s="27">
        <v>0</v>
      </c>
      <c r="G603" s="27">
        <v>0</v>
      </c>
      <c r="H603" s="27">
        <v>4039</v>
      </c>
      <c r="I603" s="27">
        <f>+IFERROR(VLOOKUP(A603,'[1]Pending Dispatch'!$N$2:$O$651,2,0),0)</f>
        <v>1600</v>
      </c>
      <c r="J603" s="27">
        <f t="shared" si="9"/>
        <v>2439</v>
      </c>
      <c r="K603" s="28">
        <v>21.01</v>
      </c>
      <c r="L603" s="28">
        <v>85.909890000000004</v>
      </c>
      <c r="M603" s="26">
        <v>558</v>
      </c>
      <c r="N603" s="26">
        <v>1360962</v>
      </c>
    </row>
    <row r="604" spans="1:14" ht="15" customHeight="1" x14ac:dyDescent="0.3">
      <c r="A604" s="25" t="s">
        <v>1160</v>
      </c>
      <c r="B604" s="26" t="s">
        <v>558</v>
      </c>
      <c r="C604" s="26" t="s">
        <v>1150</v>
      </c>
      <c r="D604" s="27">
        <v>400</v>
      </c>
      <c r="E604" s="27">
        <v>2465</v>
      </c>
      <c r="F604" s="27">
        <v>0</v>
      </c>
      <c r="G604" s="27">
        <v>0</v>
      </c>
      <c r="H604" s="27">
        <v>2465</v>
      </c>
      <c r="I604" s="27">
        <f>+IFERROR(VLOOKUP(A604,'[1]Pending Dispatch'!$N$2:$O$651,2,0),0)</f>
        <v>1200</v>
      </c>
      <c r="J604" s="27">
        <f t="shared" si="9"/>
        <v>1265</v>
      </c>
      <c r="K604" s="28">
        <v>18.72</v>
      </c>
      <c r="L604" s="28">
        <v>69.544800000000009</v>
      </c>
      <c r="M604" s="26">
        <v>558</v>
      </c>
      <c r="N604" s="26">
        <v>705870</v>
      </c>
    </row>
    <row r="605" spans="1:14" ht="15" customHeight="1" x14ac:dyDescent="0.3">
      <c r="A605" s="25" t="s">
        <v>1161</v>
      </c>
      <c r="B605" s="26" t="s">
        <v>560</v>
      </c>
      <c r="C605" s="26" t="s">
        <v>1150</v>
      </c>
      <c r="D605" s="27">
        <v>300</v>
      </c>
      <c r="E605" s="27">
        <v>2689</v>
      </c>
      <c r="F605" s="27">
        <v>0</v>
      </c>
      <c r="G605" s="27">
        <v>0</v>
      </c>
      <c r="H605" s="27">
        <v>2689</v>
      </c>
      <c r="I605" s="27">
        <f>+IFERROR(VLOOKUP(A605,'[1]Pending Dispatch'!$N$2:$O$651,2,0),0)</f>
        <v>1200</v>
      </c>
      <c r="J605" s="27">
        <f t="shared" si="9"/>
        <v>1489</v>
      </c>
      <c r="K605" s="28">
        <v>22.17</v>
      </c>
      <c r="L605" s="28">
        <v>60.501930000000009</v>
      </c>
      <c r="M605" s="26">
        <v>558</v>
      </c>
      <c r="N605" s="26">
        <v>830862</v>
      </c>
    </row>
    <row r="606" spans="1:14" ht="15" customHeight="1" x14ac:dyDescent="0.3">
      <c r="A606" s="25" t="s">
        <v>1162</v>
      </c>
      <c r="B606" s="26" t="s">
        <v>562</v>
      </c>
      <c r="C606" s="26" t="s">
        <v>1150</v>
      </c>
      <c r="D606" s="27">
        <v>1200</v>
      </c>
      <c r="E606" s="27">
        <v>2300</v>
      </c>
      <c r="F606" s="27">
        <v>0</v>
      </c>
      <c r="G606" s="27">
        <v>0</v>
      </c>
      <c r="H606" s="27">
        <v>2300</v>
      </c>
      <c r="I606" s="27">
        <f>+IFERROR(VLOOKUP(A606,'[1]Pending Dispatch'!$N$2:$O$651,2,0),0)</f>
        <v>1200</v>
      </c>
      <c r="J606" s="27">
        <f t="shared" si="9"/>
        <v>1100</v>
      </c>
      <c r="K606" s="28">
        <v>24.43</v>
      </c>
      <c r="L606" s="28">
        <v>85.504999999999995</v>
      </c>
      <c r="M606" s="26">
        <v>558</v>
      </c>
      <c r="N606" s="26">
        <v>613800</v>
      </c>
    </row>
    <row r="607" spans="1:14" ht="15" customHeight="1" x14ac:dyDescent="0.3">
      <c r="A607" s="25" t="s">
        <v>1163</v>
      </c>
      <c r="B607" s="26" t="s">
        <v>564</v>
      </c>
      <c r="C607" s="26" t="s">
        <v>1150</v>
      </c>
      <c r="D607" s="27">
        <v>600</v>
      </c>
      <c r="E607" s="27">
        <v>2702</v>
      </c>
      <c r="F607" s="27">
        <v>0</v>
      </c>
      <c r="G607" s="27">
        <v>0</v>
      </c>
      <c r="H607" s="27">
        <v>2702</v>
      </c>
      <c r="I607" s="27">
        <f>+IFERROR(VLOOKUP(A607,'[1]Pending Dispatch'!$N$2:$O$651,2,0),0)</f>
        <v>0</v>
      </c>
      <c r="J607" s="27">
        <f t="shared" si="9"/>
        <v>2702</v>
      </c>
      <c r="K607" s="28">
        <v>23.14</v>
      </c>
      <c r="L607" s="28">
        <v>62.524279999999997</v>
      </c>
      <c r="M607" s="26">
        <v>558</v>
      </c>
      <c r="N607" s="26">
        <v>1507716</v>
      </c>
    </row>
    <row r="608" spans="1:14" ht="15" customHeight="1" x14ac:dyDescent="0.3">
      <c r="A608" s="25" t="s">
        <v>1164</v>
      </c>
      <c r="B608" s="26" t="s">
        <v>566</v>
      </c>
      <c r="C608" s="26" t="s">
        <v>1150</v>
      </c>
      <c r="D608" s="27">
        <v>2800</v>
      </c>
      <c r="E608" s="27">
        <v>5778</v>
      </c>
      <c r="F608" s="27">
        <v>0</v>
      </c>
      <c r="G608" s="27">
        <v>0</v>
      </c>
      <c r="H608" s="27">
        <v>5778</v>
      </c>
      <c r="I608" s="27">
        <f>+IFERROR(VLOOKUP(A608,'[1]Pending Dispatch'!$N$2:$O$651,2,0),0)</f>
        <v>0</v>
      </c>
      <c r="J608" s="27">
        <f t="shared" si="9"/>
        <v>5778</v>
      </c>
      <c r="K608" s="28">
        <v>30</v>
      </c>
      <c r="L608" s="28">
        <v>173340</v>
      </c>
      <c r="M608" s="26">
        <v>14.8</v>
      </c>
      <c r="N608" s="26">
        <v>85514.400000000009</v>
      </c>
    </row>
    <row r="609" spans="1:14" ht="15" customHeight="1" x14ac:dyDescent="0.3">
      <c r="A609" s="25" t="s">
        <v>1165</v>
      </c>
      <c r="B609" s="26" t="s">
        <v>568</v>
      </c>
      <c r="C609" s="26" t="s">
        <v>1150</v>
      </c>
      <c r="D609" s="27">
        <v>2400</v>
      </c>
      <c r="E609" s="27">
        <v>3641</v>
      </c>
      <c r="F609" s="27">
        <v>0</v>
      </c>
      <c r="G609" s="27">
        <v>0</v>
      </c>
      <c r="H609" s="27">
        <v>3641</v>
      </c>
      <c r="I609" s="27">
        <f>+IFERROR(VLOOKUP(A609,'[1]Pending Dispatch'!$N$2:$O$651,2,0),0)</f>
        <v>0</v>
      </c>
      <c r="J609" s="27">
        <f t="shared" si="9"/>
        <v>3641</v>
      </c>
      <c r="K609" s="28">
        <v>29.85</v>
      </c>
      <c r="L609" s="28">
        <v>108683.85</v>
      </c>
      <c r="M609" s="26">
        <v>12.9</v>
      </c>
      <c r="N609" s="26">
        <v>46968.9</v>
      </c>
    </row>
    <row r="610" spans="1:14" ht="15" customHeight="1" x14ac:dyDescent="0.3">
      <c r="A610" s="25" t="s">
        <v>1166</v>
      </c>
      <c r="B610" s="26" t="s">
        <v>570</v>
      </c>
      <c r="C610" s="26" t="s">
        <v>1150</v>
      </c>
      <c r="D610" s="27">
        <v>2000</v>
      </c>
      <c r="E610" s="27">
        <v>2599</v>
      </c>
      <c r="F610" s="27">
        <v>0</v>
      </c>
      <c r="G610" s="27">
        <v>0</v>
      </c>
      <c r="H610" s="27">
        <v>2599</v>
      </c>
      <c r="I610" s="27">
        <f>+IFERROR(VLOOKUP(A610,'[1]Pending Dispatch'!$N$2:$O$651,2,0),0)</f>
        <v>0</v>
      </c>
      <c r="J610" s="27">
        <f t="shared" si="9"/>
        <v>2599</v>
      </c>
      <c r="K610" s="28">
        <v>28.9</v>
      </c>
      <c r="L610" s="28">
        <v>75111.099999999991</v>
      </c>
      <c r="M610" s="26">
        <v>14.9</v>
      </c>
      <c r="N610" s="26">
        <v>38725.1</v>
      </c>
    </row>
    <row r="611" spans="1:14" ht="15" customHeight="1" x14ac:dyDescent="0.3">
      <c r="A611" s="25" t="s">
        <v>1167</v>
      </c>
      <c r="B611" s="26" t="s">
        <v>572</v>
      </c>
      <c r="C611" s="26" t="s">
        <v>1150</v>
      </c>
      <c r="D611" s="27">
        <v>1600</v>
      </c>
      <c r="E611" s="27">
        <v>3578</v>
      </c>
      <c r="F611" s="27">
        <v>0</v>
      </c>
      <c r="G611" s="27">
        <v>0</v>
      </c>
      <c r="H611" s="27">
        <v>3578</v>
      </c>
      <c r="I611" s="27">
        <f>+IFERROR(VLOOKUP(A611,'[1]Pending Dispatch'!$N$2:$O$651,2,0),0)</f>
        <v>0</v>
      </c>
      <c r="J611" s="27">
        <f t="shared" si="9"/>
        <v>3578</v>
      </c>
      <c r="K611" s="28">
        <v>27.4</v>
      </c>
      <c r="L611" s="28">
        <v>98037.2</v>
      </c>
      <c r="M611" s="26">
        <v>22.9</v>
      </c>
      <c r="N611" s="26">
        <v>81936.2</v>
      </c>
    </row>
    <row r="612" spans="1:14" ht="15" customHeight="1" x14ac:dyDescent="0.3">
      <c r="A612" s="25" t="s">
        <v>1168</v>
      </c>
      <c r="B612" s="26" t="s">
        <v>574</v>
      </c>
      <c r="C612" s="26" t="s">
        <v>1150</v>
      </c>
      <c r="D612" s="27">
        <v>1600</v>
      </c>
      <c r="E612" s="27">
        <v>2140</v>
      </c>
      <c r="F612" s="27">
        <v>0</v>
      </c>
      <c r="G612" s="27">
        <v>0</v>
      </c>
      <c r="H612" s="27">
        <v>2140</v>
      </c>
      <c r="I612" s="27">
        <f>+IFERROR(VLOOKUP(A612,'[1]Pending Dispatch'!$N$2:$O$651,2,0),0)</f>
        <v>0</v>
      </c>
      <c r="J612" s="27">
        <f t="shared" si="9"/>
        <v>2140</v>
      </c>
      <c r="K612" s="28">
        <v>30.39</v>
      </c>
      <c r="L612" s="28">
        <v>65034.6</v>
      </c>
      <c r="M612" s="26">
        <v>25.9</v>
      </c>
      <c r="N612" s="26">
        <v>55426</v>
      </c>
    </row>
    <row r="613" spans="1:14" ht="15" customHeight="1" x14ac:dyDescent="0.3">
      <c r="A613" s="25" t="s">
        <v>1169</v>
      </c>
      <c r="B613" s="26" t="s">
        <v>576</v>
      </c>
      <c r="C613" s="26" t="s">
        <v>1150</v>
      </c>
      <c r="D613" s="27">
        <v>800</v>
      </c>
      <c r="E613" s="27">
        <v>1199</v>
      </c>
      <c r="F613" s="27">
        <v>0</v>
      </c>
      <c r="G613" s="27">
        <v>0</v>
      </c>
      <c r="H613" s="27">
        <v>1199</v>
      </c>
      <c r="I613" s="27">
        <f>+IFERROR(VLOOKUP(A613,'[1]Pending Dispatch'!$N$2:$O$651,2,0),0)</f>
        <v>0</v>
      </c>
      <c r="J613" s="27">
        <f t="shared" si="9"/>
        <v>1199</v>
      </c>
      <c r="K613" s="28">
        <v>29.25</v>
      </c>
      <c r="L613" s="28">
        <v>35070.75</v>
      </c>
      <c r="M613" s="26">
        <v>49.9</v>
      </c>
      <c r="N613" s="26">
        <v>59830.1</v>
      </c>
    </row>
    <row r="614" spans="1:14" ht="15" customHeight="1" x14ac:dyDescent="0.3">
      <c r="A614" s="25" t="s">
        <v>1170</v>
      </c>
      <c r="B614" s="26" t="s">
        <v>1171</v>
      </c>
      <c r="C614" s="26" t="s">
        <v>1172</v>
      </c>
      <c r="D614" s="27">
        <v>1</v>
      </c>
      <c r="E614" s="27">
        <v>1837</v>
      </c>
      <c r="F614" s="27">
        <v>22055</v>
      </c>
      <c r="G614" s="27">
        <v>21610</v>
      </c>
      <c r="H614" s="27">
        <v>2282</v>
      </c>
      <c r="I614" s="27">
        <f>+IFERROR(VLOOKUP(A614,'[1]Pending Dispatch'!$N$2:$O$651,2,0),0)</f>
        <v>9400</v>
      </c>
      <c r="J614" s="27">
        <f t="shared" si="9"/>
        <v>-7118</v>
      </c>
      <c r="K614" s="28">
        <v>3.8</v>
      </c>
      <c r="L614" s="28">
        <v>12859.199999999999</v>
      </c>
      <c r="M614" s="26">
        <v>0</v>
      </c>
      <c r="N614" s="26">
        <v>0</v>
      </c>
    </row>
    <row r="615" spans="1:14" ht="15" customHeight="1" x14ac:dyDescent="0.3">
      <c r="A615" s="25" t="s">
        <v>1173</v>
      </c>
      <c r="B615" s="26" t="s">
        <v>1174</v>
      </c>
      <c r="C615" s="26" t="s">
        <v>1172</v>
      </c>
      <c r="D615" s="27">
        <v>1</v>
      </c>
      <c r="E615" s="27">
        <v>85</v>
      </c>
      <c r="F615" s="27">
        <v>761</v>
      </c>
      <c r="G615" s="27">
        <v>690</v>
      </c>
      <c r="H615" s="27">
        <v>156</v>
      </c>
      <c r="I615" s="27">
        <f>+IFERROR(VLOOKUP(A615,'[1]Pending Dispatch'!$N$2:$O$651,2,0),0)</f>
        <v>600</v>
      </c>
      <c r="J615" s="27">
        <f t="shared" si="9"/>
        <v>-444</v>
      </c>
      <c r="K615" s="28">
        <v>3.8</v>
      </c>
      <c r="L615" s="28">
        <v>0</v>
      </c>
      <c r="M615" s="26">
        <v>0</v>
      </c>
      <c r="N615" s="26">
        <v>0</v>
      </c>
    </row>
    <row r="616" spans="1:14" ht="14.4" customHeight="1" x14ac:dyDescent="0.3">
      <c r="A616" s="25" t="s">
        <v>1175</v>
      </c>
      <c r="B616" s="26" t="s">
        <v>1176</v>
      </c>
      <c r="C616" s="26" t="s">
        <v>1172</v>
      </c>
      <c r="D616" s="27">
        <v>1</v>
      </c>
      <c r="E616" s="27">
        <v>40</v>
      </c>
      <c r="F616" s="27">
        <v>0</v>
      </c>
      <c r="G616" s="27">
        <v>0</v>
      </c>
      <c r="H616" s="27">
        <v>40</v>
      </c>
      <c r="I616" s="27">
        <f>+IFERROR(VLOOKUP(A616,'[1]Pending Dispatch'!$N$2:$O$651,2,0),0)</f>
        <v>200</v>
      </c>
      <c r="J616" s="27">
        <f t="shared" si="9"/>
        <v>-160</v>
      </c>
      <c r="K616" s="28">
        <v>7.5</v>
      </c>
      <c r="L616" s="28">
        <v>0</v>
      </c>
      <c r="M616" s="26">
        <v>0</v>
      </c>
      <c r="N616" s="26">
        <v>0</v>
      </c>
    </row>
    <row r="617" spans="1:14" ht="15" customHeight="1" x14ac:dyDescent="0.3">
      <c r="A617" s="25" t="s">
        <v>1177</v>
      </c>
      <c r="B617" s="26" t="s">
        <v>1178</v>
      </c>
      <c r="C617" s="26" t="s">
        <v>1172</v>
      </c>
      <c r="D617" s="27">
        <v>1</v>
      </c>
      <c r="E617" s="27">
        <v>61</v>
      </c>
      <c r="F617" s="27">
        <v>0</v>
      </c>
      <c r="G617" s="27">
        <v>61</v>
      </c>
      <c r="H617" s="27">
        <v>0</v>
      </c>
      <c r="I617" s="27">
        <f>+IFERROR(VLOOKUP(A617,'[1]Pending Dispatch'!$N$2:$O$651,2,0),0)</f>
        <v>50</v>
      </c>
      <c r="J617" s="27">
        <f t="shared" si="9"/>
        <v>-50</v>
      </c>
      <c r="K617" s="28">
        <v>7.5</v>
      </c>
      <c r="L617" s="28">
        <v>457.5</v>
      </c>
      <c r="M617" s="26">
        <v>0</v>
      </c>
      <c r="N617" s="26">
        <v>0</v>
      </c>
    </row>
    <row r="618" spans="1:14" ht="15" customHeight="1" x14ac:dyDescent="0.3">
      <c r="A618" s="25" t="s">
        <v>1179</v>
      </c>
      <c r="B618" s="26" t="s">
        <v>1180</v>
      </c>
      <c r="C618" s="26" t="s">
        <v>1172</v>
      </c>
      <c r="D618" s="27">
        <v>1</v>
      </c>
      <c r="E618" s="27">
        <v>10</v>
      </c>
      <c r="F618" s="27">
        <v>1115</v>
      </c>
      <c r="G618" s="27">
        <v>595</v>
      </c>
      <c r="H618" s="27">
        <v>530</v>
      </c>
      <c r="I618" s="27">
        <f>+IFERROR(VLOOKUP(A618,'[1]Pending Dispatch'!$N$2:$O$651,2,0),0)</f>
        <v>400</v>
      </c>
      <c r="J618" s="27">
        <f t="shared" si="9"/>
        <v>130</v>
      </c>
      <c r="K618" s="28">
        <v>0.76</v>
      </c>
      <c r="L618" s="28">
        <v>466.64</v>
      </c>
      <c r="M618" s="26">
        <v>0</v>
      </c>
      <c r="N618" s="26">
        <v>0</v>
      </c>
    </row>
    <row r="619" spans="1:14" ht="15" customHeight="1" x14ac:dyDescent="0.3">
      <c r="A619" s="25" t="s">
        <v>1181</v>
      </c>
      <c r="B619" s="26" t="s">
        <v>1182</v>
      </c>
      <c r="C619" s="26" t="s">
        <v>1172</v>
      </c>
      <c r="D619" s="27">
        <v>1</v>
      </c>
      <c r="E619" s="27">
        <v>37</v>
      </c>
      <c r="F619" s="27">
        <v>548</v>
      </c>
      <c r="G619" s="27">
        <v>340</v>
      </c>
      <c r="H619" s="27">
        <v>245</v>
      </c>
      <c r="I619" s="27">
        <f>+IFERROR(VLOOKUP(A619,'[1]Pending Dispatch'!$N$2:$O$651,2,0),0)</f>
        <v>280</v>
      </c>
      <c r="J619" s="27">
        <f t="shared" si="9"/>
        <v>-35</v>
      </c>
      <c r="K619" s="28">
        <v>1.1400000000000001</v>
      </c>
      <c r="L619" s="28">
        <v>233.70000000000002</v>
      </c>
      <c r="M619" s="26">
        <v>0</v>
      </c>
      <c r="N619" s="26">
        <v>0</v>
      </c>
    </row>
    <row r="620" spans="1:14" ht="15" customHeight="1" x14ac:dyDescent="0.3">
      <c r="A620" s="25" t="s">
        <v>1183</v>
      </c>
      <c r="B620" s="26" t="s">
        <v>1184</v>
      </c>
      <c r="C620" s="26" t="s">
        <v>1172</v>
      </c>
      <c r="D620" s="27">
        <v>1</v>
      </c>
      <c r="E620" s="27">
        <v>6</v>
      </c>
      <c r="F620" s="27">
        <v>915</v>
      </c>
      <c r="G620" s="27">
        <v>490</v>
      </c>
      <c r="H620" s="27">
        <v>431</v>
      </c>
      <c r="I620" s="27">
        <f>+IFERROR(VLOOKUP(A620,'[1]Pending Dispatch'!$N$2:$O$651,2,0),0)</f>
        <v>600</v>
      </c>
      <c r="J620" s="27">
        <f t="shared" si="9"/>
        <v>-169</v>
      </c>
      <c r="K620" s="28">
        <v>1.52</v>
      </c>
      <c r="L620" s="28">
        <v>0</v>
      </c>
      <c r="M620" s="26"/>
      <c r="N620" s="26">
        <v>0</v>
      </c>
    </row>
    <row r="621" spans="1:14" ht="15" customHeight="1" x14ac:dyDescent="0.3">
      <c r="A621" s="25" t="s">
        <v>1185</v>
      </c>
      <c r="B621" s="26" t="s">
        <v>1186</v>
      </c>
      <c r="C621" s="26" t="s">
        <v>1172</v>
      </c>
      <c r="D621" s="27">
        <v>1</v>
      </c>
      <c r="E621" s="27">
        <v>94</v>
      </c>
      <c r="F621" s="27">
        <v>1208</v>
      </c>
      <c r="G621" s="27">
        <v>1124</v>
      </c>
      <c r="H621" s="27">
        <v>178</v>
      </c>
      <c r="I621" s="27">
        <f>+IFERROR(VLOOKUP(A621,'[1]Pending Dispatch'!$N$2:$O$651,2,0),0)</f>
        <v>200</v>
      </c>
      <c r="J621" s="27">
        <f t="shared" si="9"/>
        <v>-22</v>
      </c>
      <c r="K621" s="28">
        <v>2.2800000000000002</v>
      </c>
      <c r="L621" s="28">
        <v>551.7600000000001</v>
      </c>
      <c r="M621" s="26">
        <v>320</v>
      </c>
      <c r="N621" s="26">
        <v>-7040</v>
      </c>
    </row>
    <row r="622" spans="1:14" ht="15" customHeight="1" x14ac:dyDescent="0.3">
      <c r="A622" s="25" t="s">
        <v>1187</v>
      </c>
      <c r="B622" s="26" t="s">
        <v>1188</v>
      </c>
      <c r="C622" s="26" t="s">
        <v>1172</v>
      </c>
      <c r="D622" s="27">
        <v>1</v>
      </c>
      <c r="E622" s="27">
        <v>40</v>
      </c>
      <c r="F622" s="27">
        <v>315</v>
      </c>
      <c r="G622" s="27">
        <v>330</v>
      </c>
      <c r="H622" s="27">
        <v>25</v>
      </c>
      <c r="I622" s="27">
        <f>+IFERROR(VLOOKUP(A622,'[1]Pending Dispatch'!$N$2:$O$651,2,0),0)</f>
        <v>50</v>
      </c>
      <c r="J622" s="27">
        <f t="shared" si="9"/>
        <v>-25</v>
      </c>
      <c r="K622" s="28">
        <v>2.2800000000000002</v>
      </c>
      <c r="L622" s="28">
        <v>15.96</v>
      </c>
      <c r="M622" s="26">
        <v>0</v>
      </c>
      <c r="N622" s="26">
        <v>0</v>
      </c>
    </row>
    <row r="623" spans="1:14" ht="15" customHeight="1" x14ac:dyDescent="0.3">
      <c r="A623" s="25" t="s">
        <v>1189</v>
      </c>
      <c r="B623" s="26" t="s">
        <v>1190</v>
      </c>
      <c r="C623" s="26" t="s">
        <v>1172</v>
      </c>
      <c r="D623" s="27">
        <v>1</v>
      </c>
      <c r="E623" s="27">
        <v>483</v>
      </c>
      <c r="F623" s="27">
        <v>196</v>
      </c>
      <c r="G623" s="27">
        <v>60</v>
      </c>
      <c r="H623" s="27">
        <v>619</v>
      </c>
      <c r="I623" s="27">
        <f>+IFERROR(VLOOKUP(A623,'[1]Pending Dispatch'!$N$2:$O$651,2,0),0)</f>
        <v>0</v>
      </c>
      <c r="J623" s="27">
        <f t="shared" si="9"/>
        <v>619</v>
      </c>
      <c r="K623" s="28">
        <v>5.2</v>
      </c>
      <c r="L623" s="28">
        <v>0</v>
      </c>
      <c r="M623" s="26">
        <v>422</v>
      </c>
      <c r="N623" s="26">
        <v>261218</v>
      </c>
    </row>
    <row r="624" spans="1:14" ht="15" customHeight="1" x14ac:dyDescent="0.3">
      <c r="A624" s="25" t="s">
        <v>1191</v>
      </c>
      <c r="B624" s="26" t="s">
        <v>1192</v>
      </c>
      <c r="C624" s="26" t="s">
        <v>1172</v>
      </c>
      <c r="D624" s="27">
        <v>1</v>
      </c>
      <c r="E624" s="27">
        <v>0</v>
      </c>
      <c r="F624" s="27">
        <v>0</v>
      </c>
      <c r="G624" s="27">
        <v>0</v>
      </c>
      <c r="H624" s="27">
        <v>0</v>
      </c>
      <c r="I624" s="27">
        <f>+IFERROR(VLOOKUP(A624,'[1]Pending Dispatch'!$N$2:$O$651,2,0),0)</f>
        <v>0</v>
      </c>
      <c r="J624" s="27">
        <f t="shared" si="9"/>
        <v>0</v>
      </c>
      <c r="K624" s="28">
        <v>5.2</v>
      </c>
      <c r="L624" s="28">
        <v>0</v>
      </c>
      <c r="M624" s="26">
        <v>0</v>
      </c>
      <c r="N624" s="26">
        <v>0</v>
      </c>
    </row>
    <row r="625" spans="1:14" ht="15" customHeight="1" x14ac:dyDescent="0.3">
      <c r="A625" s="25" t="s">
        <v>1193</v>
      </c>
      <c r="B625" s="26" t="s">
        <v>1194</v>
      </c>
      <c r="C625" s="26" t="s">
        <v>1172</v>
      </c>
      <c r="D625" s="27">
        <v>1</v>
      </c>
      <c r="E625" s="27">
        <v>6</v>
      </c>
      <c r="F625" s="27">
        <v>0</v>
      </c>
      <c r="G625" s="27">
        <v>0</v>
      </c>
      <c r="H625" s="27">
        <v>6</v>
      </c>
      <c r="I625" s="27">
        <f>+IFERROR(VLOOKUP(A625,'[1]Pending Dispatch'!$N$2:$O$651,2,0),0)</f>
        <v>0</v>
      </c>
      <c r="J625" s="27">
        <f t="shared" si="9"/>
        <v>6</v>
      </c>
      <c r="K625" s="28">
        <v>10.3</v>
      </c>
      <c r="L625" s="28">
        <v>103</v>
      </c>
      <c r="M625" s="26">
        <v>349</v>
      </c>
      <c r="N625" s="26">
        <v>2094</v>
      </c>
    </row>
    <row r="626" spans="1:14" ht="15" customHeight="1" x14ac:dyDescent="0.3">
      <c r="A626" s="25" t="s">
        <v>1195</v>
      </c>
      <c r="B626" s="26" t="s">
        <v>1196</v>
      </c>
      <c r="C626" s="26" t="s">
        <v>1172</v>
      </c>
      <c r="D626" s="27">
        <v>1</v>
      </c>
      <c r="E626" s="27">
        <v>0</v>
      </c>
      <c r="F626" s="27">
        <v>0</v>
      </c>
      <c r="G626" s="27">
        <v>0</v>
      </c>
      <c r="H626" s="27">
        <v>0</v>
      </c>
      <c r="I626" s="27">
        <f>+IFERROR(VLOOKUP(A626,'[1]Pending Dispatch'!$N$2:$O$651,2,0),0)</f>
        <v>0</v>
      </c>
      <c r="J626" s="27">
        <f t="shared" si="9"/>
        <v>0</v>
      </c>
      <c r="K626" s="28">
        <v>10.3</v>
      </c>
      <c r="L626" s="28">
        <v>0</v>
      </c>
      <c r="M626" s="26">
        <v>0</v>
      </c>
      <c r="N626" s="26">
        <v>0</v>
      </c>
    </row>
    <row r="627" spans="1:14" ht="15" customHeight="1" x14ac:dyDescent="0.3">
      <c r="A627" s="25" t="s">
        <v>1197</v>
      </c>
      <c r="B627" s="26" t="s">
        <v>1196</v>
      </c>
      <c r="C627" s="26" t="s">
        <v>1172</v>
      </c>
      <c r="D627" s="27">
        <v>1</v>
      </c>
      <c r="E627" s="27">
        <v>0</v>
      </c>
      <c r="F627" s="27">
        <v>0</v>
      </c>
      <c r="G627" s="27">
        <v>0</v>
      </c>
      <c r="H627" s="27">
        <v>0</v>
      </c>
      <c r="I627" s="27">
        <f>+IFERROR(VLOOKUP(A627,'[1]Pending Dispatch'!$N$2:$O$651,2,0),0)</f>
        <v>0</v>
      </c>
      <c r="J627" s="27">
        <f t="shared" si="9"/>
        <v>0</v>
      </c>
      <c r="K627" s="28">
        <v>1.04</v>
      </c>
      <c r="L627" s="28">
        <v>0</v>
      </c>
      <c r="M627" s="26">
        <v>477</v>
      </c>
      <c r="N627" s="26">
        <v>0</v>
      </c>
    </row>
    <row r="628" spans="1:14" ht="15" customHeight="1" x14ac:dyDescent="0.3">
      <c r="A628" s="25" t="s">
        <v>1198</v>
      </c>
      <c r="B628" s="26" t="s">
        <v>1199</v>
      </c>
      <c r="C628" s="26" t="s">
        <v>1172</v>
      </c>
      <c r="D628" s="27">
        <v>1</v>
      </c>
      <c r="E628" s="27">
        <v>0</v>
      </c>
      <c r="F628" s="27">
        <v>0</v>
      </c>
      <c r="G628" s="27">
        <v>0</v>
      </c>
      <c r="H628" s="27">
        <v>0</v>
      </c>
      <c r="I628" s="27">
        <f>+IFERROR(VLOOKUP(A628,'[1]Pending Dispatch'!$N$2:$O$651,2,0),0)</f>
        <v>0</v>
      </c>
      <c r="J628" s="27">
        <f t="shared" si="9"/>
        <v>0</v>
      </c>
      <c r="K628" s="28">
        <v>1.56</v>
      </c>
      <c r="L628" s="28">
        <v>0</v>
      </c>
      <c r="M628" s="26">
        <v>0</v>
      </c>
      <c r="N628" s="26">
        <v>0</v>
      </c>
    </row>
    <row r="629" spans="1:14" ht="15" customHeight="1" x14ac:dyDescent="0.3">
      <c r="A629" s="25" t="s">
        <v>1200</v>
      </c>
      <c r="B629" s="26" t="s">
        <v>1201</v>
      </c>
      <c r="C629" s="26" t="s">
        <v>1172</v>
      </c>
      <c r="D629" s="27">
        <v>1</v>
      </c>
      <c r="E629" s="27">
        <v>0</v>
      </c>
      <c r="F629" s="27">
        <v>0</v>
      </c>
      <c r="G629" s="27">
        <v>0</v>
      </c>
      <c r="H629" s="27">
        <v>0</v>
      </c>
      <c r="I629" s="27">
        <f>+IFERROR(VLOOKUP(A629,'[1]Pending Dispatch'!$N$2:$O$651,2,0),0)</f>
        <v>0</v>
      </c>
      <c r="J629" s="27">
        <f t="shared" si="9"/>
        <v>0</v>
      </c>
      <c r="K629" s="28">
        <v>2.08</v>
      </c>
      <c r="L629" s="28">
        <v>0</v>
      </c>
      <c r="M629" s="26">
        <v>606</v>
      </c>
      <c r="N629" s="26">
        <v>0</v>
      </c>
    </row>
    <row r="630" spans="1:14" ht="15" customHeight="1" x14ac:dyDescent="0.3">
      <c r="A630" s="25" t="s">
        <v>1202</v>
      </c>
      <c r="B630" s="26" t="s">
        <v>1203</v>
      </c>
      <c r="C630" s="26" t="s">
        <v>1172</v>
      </c>
      <c r="D630" s="27">
        <v>1</v>
      </c>
      <c r="E630" s="27">
        <v>0</v>
      </c>
      <c r="F630" s="27">
        <v>0</v>
      </c>
      <c r="G630" s="27">
        <v>0</v>
      </c>
      <c r="H630" s="27">
        <v>0</v>
      </c>
      <c r="I630" s="27">
        <f>+IFERROR(VLOOKUP(A630,'[1]Pending Dispatch'!$N$2:$O$651,2,0),0)</f>
        <v>0</v>
      </c>
      <c r="J630" s="27">
        <f t="shared" si="9"/>
        <v>0</v>
      </c>
      <c r="K630" s="28">
        <v>3.12</v>
      </c>
      <c r="L630" s="28">
        <v>0</v>
      </c>
      <c r="M630" s="26">
        <v>3670</v>
      </c>
      <c r="N630" s="26">
        <v>0</v>
      </c>
    </row>
    <row r="631" spans="1:14" ht="15" customHeight="1" x14ac:dyDescent="0.3">
      <c r="A631" s="25" t="s">
        <v>1204</v>
      </c>
      <c r="B631" s="26" t="s">
        <v>1205</v>
      </c>
      <c r="C631" s="26" t="s">
        <v>1172</v>
      </c>
      <c r="D631" s="27">
        <v>1</v>
      </c>
      <c r="E631" s="27">
        <v>0</v>
      </c>
      <c r="F631" s="27">
        <v>0</v>
      </c>
      <c r="G631" s="27">
        <v>0</v>
      </c>
      <c r="H631" s="27">
        <v>0</v>
      </c>
      <c r="I631" s="27">
        <f>+IFERROR(VLOOKUP(A631,'[1]Pending Dispatch'!$N$2:$O$651,2,0),0)</f>
        <v>0</v>
      </c>
      <c r="J631" s="27">
        <f t="shared" si="9"/>
        <v>0</v>
      </c>
      <c r="K631" s="28">
        <v>3.12</v>
      </c>
      <c r="L631" s="28">
        <v>0</v>
      </c>
      <c r="M631" s="26">
        <v>374</v>
      </c>
      <c r="N631" s="26">
        <v>0</v>
      </c>
    </row>
    <row r="632" spans="1:14" ht="15" customHeight="1" x14ac:dyDescent="0.3">
      <c r="A632" s="25" t="s">
        <v>1206</v>
      </c>
      <c r="B632" s="26" t="s">
        <v>1207</v>
      </c>
      <c r="C632" s="26" t="s">
        <v>1172</v>
      </c>
      <c r="D632" s="27">
        <v>1</v>
      </c>
      <c r="E632" s="27">
        <v>0</v>
      </c>
      <c r="F632" s="27">
        <v>0</v>
      </c>
      <c r="G632" s="27">
        <v>0</v>
      </c>
      <c r="H632" s="27">
        <v>0</v>
      </c>
      <c r="I632" s="27">
        <f>+IFERROR(VLOOKUP(A632,'[1]Pending Dispatch'!$N$2:$O$651,2,0),0)</f>
        <v>0</v>
      </c>
      <c r="J632" s="27">
        <f t="shared" si="9"/>
        <v>0</v>
      </c>
      <c r="K632" s="28">
        <v>3.6</v>
      </c>
      <c r="L632" s="28">
        <v>1087.2</v>
      </c>
      <c r="M632" s="26">
        <v>544</v>
      </c>
      <c r="N632" s="26">
        <v>0</v>
      </c>
    </row>
    <row r="633" spans="1:14" ht="15" customHeight="1" x14ac:dyDescent="0.3">
      <c r="A633" s="25" t="s">
        <v>1208</v>
      </c>
      <c r="B633" s="26" t="s">
        <v>1209</v>
      </c>
      <c r="C633" s="26" t="s">
        <v>1172</v>
      </c>
      <c r="D633" s="27">
        <v>1</v>
      </c>
      <c r="E633" s="27">
        <v>10</v>
      </c>
      <c r="F633" s="27">
        <v>0</v>
      </c>
      <c r="G633" s="27">
        <v>0</v>
      </c>
      <c r="H633" s="27">
        <v>10</v>
      </c>
      <c r="I633" s="27">
        <f>+IFERROR(VLOOKUP(A633,'[1]Pending Dispatch'!$N$2:$O$651,2,0),0)</f>
        <v>0</v>
      </c>
      <c r="J633" s="27">
        <f t="shared" si="9"/>
        <v>10</v>
      </c>
      <c r="K633" s="28">
        <v>3.6</v>
      </c>
      <c r="L633" s="28">
        <v>36</v>
      </c>
      <c r="M633" s="26">
        <v>708</v>
      </c>
      <c r="N633" s="26">
        <v>7080</v>
      </c>
    </row>
    <row r="634" spans="1:14" ht="15" customHeight="1" x14ac:dyDescent="0.3">
      <c r="A634" s="25" t="s">
        <v>1210</v>
      </c>
      <c r="B634" s="26" t="s">
        <v>1211</v>
      </c>
      <c r="C634" s="26" t="s">
        <v>1172</v>
      </c>
      <c r="D634" s="27">
        <v>1</v>
      </c>
      <c r="E634" s="27">
        <v>0</v>
      </c>
      <c r="F634" s="27">
        <v>0</v>
      </c>
      <c r="G634" s="27">
        <v>0</v>
      </c>
      <c r="H634" s="27">
        <v>0</v>
      </c>
      <c r="I634" s="27">
        <f>+IFERROR(VLOOKUP(A634,'[1]Pending Dispatch'!$N$2:$O$651,2,0),0)</f>
        <v>0</v>
      </c>
      <c r="J634" s="27">
        <f t="shared" si="9"/>
        <v>0</v>
      </c>
      <c r="K634" s="28">
        <v>7.1</v>
      </c>
      <c r="L634" s="28">
        <v>0</v>
      </c>
      <c r="M634" s="26">
        <v>1140</v>
      </c>
      <c r="N634" s="26">
        <v>0</v>
      </c>
    </row>
    <row r="635" spans="1:14" ht="15" customHeight="1" x14ac:dyDescent="0.3">
      <c r="A635" s="25" t="s">
        <v>1212</v>
      </c>
      <c r="B635" s="26" t="s">
        <v>1213</v>
      </c>
      <c r="C635" s="26" t="s">
        <v>1172</v>
      </c>
      <c r="D635" s="27">
        <v>1</v>
      </c>
      <c r="E635" s="27">
        <v>0</v>
      </c>
      <c r="F635" s="27">
        <v>0</v>
      </c>
      <c r="G635" s="27">
        <v>0</v>
      </c>
      <c r="H635" s="27">
        <v>0</v>
      </c>
      <c r="I635" s="27">
        <f>+IFERROR(VLOOKUP(A635,'[1]Pending Dispatch'!$N$2:$O$651,2,0),0)</f>
        <v>0</v>
      </c>
      <c r="J635" s="27">
        <f t="shared" si="9"/>
        <v>0</v>
      </c>
      <c r="K635" s="28">
        <v>7.1</v>
      </c>
      <c r="L635" s="28">
        <v>0</v>
      </c>
      <c r="M635" s="26">
        <v>1675</v>
      </c>
      <c r="N635" s="26">
        <v>0</v>
      </c>
    </row>
    <row r="636" spans="1:14" ht="15" customHeight="1" x14ac:dyDescent="0.3">
      <c r="A636" s="25" t="s">
        <v>1214</v>
      </c>
      <c r="B636" s="26" t="s">
        <v>1215</v>
      </c>
      <c r="C636" s="26" t="s">
        <v>1172</v>
      </c>
      <c r="D636" s="27">
        <v>1</v>
      </c>
      <c r="E636" s="27">
        <v>0</v>
      </c>
      <c r="F636" s="27">
        <v>0</v>
      </c>
      <c r="G636" s="27">
        <v>0</v>
      </c>
      <c r="H636" s="27">
        <v>0</v>
      </c>
      <c r="I636" s="27">
        <f>+IFERROR(VLOOKUP(A636,'[1]Pending Dispatch'!$N$2:$O$651,2,0),0)</f>
        <v>0</v>
      </c>
      <c r="J636" s="27">
        <f t="shared" si="9"/>
        <v>0</v>
      </c>
      <c r="K636" s="28">
        <v>0.72</v>
      </c>
      <c r="L636" s="28">
        <v>0</v>
      </c>
      <c r="M636" s="26">
        <v>2254</v>
      </c>
      <c r="N636" s="26">
        <v>0</v>
      </c>
    </row>
    <row r="637" spans="1:14" ht="15" customHeight="1" x14ac:dyDescent="0.3">
      <c r="A637" s="25" t="s">
        <v>1216</v>
      </c>
      <c r="B637" s="26" t="s">
        <v>1217</v>
      </c>
      <c r="C637" s="26" t="s">
        <v>1172</v>
      </c>
      <c r="D637" s="27">
        <v>1</v>
      </c>
      <c r="E637" s="27">
        <v>0</v>
      </c>
      <c r="F637" s="27">
        <v>0</v>
      </c>
      <c r="G637" s="27">
        <v>0</v>
      </c>
      <c r="H637" s="27">
        <v>0</v>
      </c>
      <c r="I637" s="27">
        <f>+IFERROR(VLOOKUP(A637,'[1]Pending Dispatch'!$N$2:$O$651,2,0),0)</f>
        <v>0</v>
      </c>
      <c r="J637" s="27">
        <f t="shared" si="9"/>
        <v>0</v>
      </c>
      <c r="K637" s="28">
        <v>1.08</v>
      </c>
      <c r="L637" s="28">
        <v>0</v>
      </c>
      <c r="M637" s="26">
        <v>4518</v>
      </c>
      <c r="N637" s="26">
        <v>0</v>
      </c>
    </row>
    <row r="638" spans="1:14" ht="15" customHeight="1" x14ac:dyDescent="0.3">
      <c r="A638" s="25" t="s">
        <v>1218</v>
      </c>
      <c r="B638" s="26" t="s">
        <v>1219</v>
      </c>
      <c r="C638" s="26" t="s">
        <v>1172</v>
      </c>
      <c r="D638" s="27">
        <v>1</v>
      </c>
      <c r="E638" s="27">
        <v>0</v>
      </c>
      <c r="F638" s="27">
        <v>0</v>
      </c>
      <c r="G638" s="27">
        <v>0</v>
      </c>
      <c r="H638" s="27">
        <v>0</v>
      </c>
      <c r="I638" s="27">
        <f>+IFERROR(VLOOKUP(A638,'[1]Pending Dispatch'!$N$2:$O$651,2,0),0)</f>
        <v>0</v>
      </c>
      <c r="J638" s="27">
        <f t="shared" si="9"/>
        <v>0</v>
      </c>
      <c r="K638" s="28">
        <v>1.44</v>
      </c>
      <c r="L638" s="28">
        <v>0</v>
      </c>
      <c r="M638" s="26">
        <v>569</v>
      </c>
      <c r="N638" s="26">
        <v>0</v>
      </c>
    </row>
    <row r="639" spans="1:14" ht="15" customHeight="1" x14ac:dyDescent="0.3">
      <c r="A639" s="25" t="s">
        <v>1220</v>
      </c>
      <c r="B639" s="26" t="s">
        <v>1221</v>
      </c>
      <c r="C639" s="26" t="s">
        <v>1172</v>
      </c>
      <c r="D639" s="27">
        <v>1</v>
      </c>
      <c r="E639" s="27">
        <v>0</v>
      </c>
      <c r="F639" s="27">
        <v>0</v>
      </c>
      <c r="G639" s="27">
        <v>0</v>
      </c>
      <c r="H639" s="27">
        <v>0</v>
      </c>
      <c r="I639" s="27">
        <f>+IFERROR(VLOOKUP(A639,'[1]Pending Dispatch'!$N$2:$O$651,2,0),0)</f>
        <v>0</v>
      </c>
      <c r="J639" s="27">
        <f t="shared" si="9"/>
        <v>0</v>
      </c>
      <c r="K639" s="28">
        <v>2.16</v>
      </c>
      <c r="L639" s="28">
        <v>0</v>
      </c>
      <c r="M639" s="26">
        <v>852</v>
      </c>
      <c r="N639" s="26">
        <v>0</v>
      </c>
    </row>
    <row r="640" spans="1:14" ht="15" customHeight="1" x14ac:dyDescent="0.3">
      <c r="A640" s="25" t="s">
        <v>1222</v>
      </c>
      <c r="B640" s="26" t="s">
        <v>1223</v>
      </c>
      <c r="C640" s="26" t="s">
        <v>1172</v>
      </c>
      <c r="D640" s="27">
        <v>1</v>
      </c>
      <c r="E640" s="27">
        <v>0</v>
      </c>
      <c r="F640" s="27">
        <v>0</v>
      </c>
      <c r="G640" s="27">
        <v>0</v>
      </c>
      <c r="H640" s="27">
        <v>0</v>
      </c>
      <c r="I640" s="27">
        <f>+IFERROR(VLOOKUP(A640,'[1]Pending Dispatch'!$N$2:$O$651,2,0),0)</f>
        <v>0</v>
      </c>
      <c r="J640" s="27">
        <f t="shared" si="9"/>
        <v>0</v>
      </c>
      <c r="K640" s="28">
        <v>2.16</v>
      </c>
      <c r="L640" s="28">
        <v>0</v>
      </c>
      <c r="M640" s="26">
        <v>1377</v>
      </c>
      <c r="N640" s="26">
        <v>0</v>
      </c>
    </row>
    <row r="641" spans="1:14" ht="15" customHeight="1" x14ac:dyDescent="0.3">
      <c r="A641" s="25" t="s">
        <v>1224</v>
      </c>
      <c r="B641" s="26" t="s">
        <v>1225</v>
      </c>
      <c r="C641" s="26" t="s">
        <v>1172</v>
      </c>
      <c r="D641" s="27">
        <v>1</v>
      </c>
      <c r="E641" s="27">
        <v>100</v>
      </c>
      <c r="F641" s="27">
        <v>0</v>
      </c>
      <c r="G641" s="27">
        <v>0</v>
      </c>
      <c r="H641" s="27">
        <v>100</v>
      </c>
      <c r="I641" s="27">
        <f>+IFERROR(VLOOKUP(A641,'[1]Pending Dispatch'!$N$2:$O$651,2,0),0)</f>
        <v>0</v>
      </c>
      <c r="J641" s="27">
        <f t="shared" si="9"/>
        <v>100</v>
      </c>
      <c r="K641" s="28">
        <v>9.1</v>
      </c>
      <c r="L641" s="28">
        <v>3458</v>
      </c>
      <c r="M641" s="26">
        <v>2055</v>
      </c>
      <c r="N641" s="26">
        <v>205500</v>
      </c>
    </row>
    <row r="642" spans="1:14" ht="15" customHeight="1" x14ac:dyDescent="0.3">
      <c r="A642" s="25" t="s">
        <v>1226</v>
      </c>
      <c r="B642" s="26" t="s">
        <v>1227</v>
      </c>
      <c r="C642" s="26" t="s">
        <v>1172</v>
      </c>
      <c r="D642" s="27">
        <v>1</v>
      </c>
      <c r="E642" s="27">
        <v>0</v>
      </c>
      <c r="F642" s="27">
        <v>0</v>
      </c>
      <c r="G642" s="27">
        <v>0</v>
      </c>
      <c r="H642" s="27">
        <v>0</v>
      </c>
      <c r="I642" s="27">
        <f>+IFERROR(VLOOKUP(A642,'[1]Pending Dispatch'!$N$2:$O$651,2,0),0)</f>
        <v>0</v>
      </c>
      <c r="J642" s="27">
        <f t="shared" si="9"/>
        <v>0</v>
      </c>
      <c r="K642" s="28">
        <v>9.1</v>
      </c>
      <c r="L642" s="28">
        <v>0</v>
      </c>
      <c r="M642" s="26">
        <v>2801</v>
      </c>
      <c r="N642" s="26">
        <v>0</v>
      </c>
    </row>
    <row r="643" spans="1:14" ht="15" customHeight="1" x14ac:dyDescent="0.3">
      <c r="A643" s="25" t="s">
        <v>1228</v>
      </c>
      <c r="B643" s="26" t="s">
        <v>1229</v>
      </c>
      <c r="C643" s="26" t="s">
        <v>1172</v>
      </c>
      <c r="D643" s="27">
        <v>1</v>
      </c>
      <c r="E643" s="27">
        <v>0</v>
      </c>
      <c r="F643" s="27">
        <v>0</v>
      </c>
      <c r="G643" s="27">
        <v>0</v>
      </c>
      <c r="H643" s="27">
        <v>0</v>
      </c>
      <c r="I643" s="27">
        <f>+IFERROR(VLOOKUP(A643,'[1]Pending Dispatch'!$N$2:$O$651,2,0),0)</f>
        <v>0</v>
      </c>
      <c r="J643" s="27">
        <f t="shared" si="9"/>
        <v>0</v>
      </c>
      <c r="K643" s="28">
        <v>18.100000000000001</v>
      </c>
      <c r="L643" s="28">
        <v>0</v>
      </c>
      <c r="M643" s="26">
        <v>5379</v>
      </c>
      <c r="N643" s="26">
        <v>0</v>
      </c>
    </row>
    <row r="644" spans="1:14" ht="15" customHeight="1" x14ac:dyDescent="0.3">
      <c r="A644" s="25" t="s">
        <v>1230</v>
      </c>
      <c r="B644" s="26" t="s">
        <v>1231</v>
      </c>
      <c r="C644" s="26" t="s">
        <v>1172</v>
      </c>
      <c r="D644" s="27">
        <v>1</v>
      </c>
      <c r="E644" s="27">
        <v>0</v>
      </c>
      <c r="F644" s="27">
        <v>0</v>
      </c>
      <c r="G644" s="27">
        <v>0</v>
      </c>
      <c r="H644" s="27">
        <v>0</v>
      </c>
      <c r="I644" s="27">
        <f>+IFERROR(VLOOKUP(A644,'[1]Pending Dispatch'!$N$2:$O$651,2,0),0)</f>
        <v>0</v>
      </c>
      <c r="J644" s="27">
        <f t="shared" si="9"/>
        <v>0</v>
      </c>
      <c r="K644" s="28">
        <v>18.100000000000001</v>
      </c>
      <c r="L644" s="28">
        <v>0</v>
      </c>
      <c r="M644" s="26">
        <v>1643</v>
      </c>
      <c r="N644" s="26">
        <v>0</v>
      </c>
    </row>
    <row r="645" spans="1:14" ht="15" customHeight="1" x14ac:dyDescent="0.3">
      <c r="A645" s="25" t="s">
        <v>1232</v>
      </c>
      <c r="B645" s="26" t="s">
        <v>1233</v>
      </c>
      <c r="C645" s="26" t="s">
        <v>1172</v>
      </c>
      <c r="D645" s="27">
        <v>1</v>
      </c>
      <c r="E645" s="27">
        <v>0</v>
      </c>
      <c r="F645" s="27">
        <v>0</v>
      </c>
      <c r="G645" s="27">
        <v>0</v>
      </c>
      <c r="H645" s="27">
        <v>0</v>
      </c>
      <c r="I645" s="27">
        <f>+IFERROR(VLOOKUP(A645,'[1]Pending Dispatch'!$N$2:$O$651,2,0),0)</f>
        <v>0</v>
      </c>
      <c r="J645" s="27">
        <f t="shared" si="9"/>
        <v>0</v>
      </c>
      <c r="K645" s="28">
        <v>1.8199999999999998</v>
      </c>
      <c r="L645" s="28">
        <v>0</v>
      </c>
      <c r="M645" s="26">
        <v>2420</v>
      </c>
      <c r="N645" s="26">
        <v>0</v>
      </c>
    </row>
    <row r="646" spans="1:14" ht="15" customHeight="1" x14ac:dyDescent="0.3">
      <c r="A646" s="25" t="s">
        <v>1234</v>
      </c>
      <c r="B646" s="26" t="s">
        <v>1235</v>
      </c>
      <c r="C646" s="26" t="s">
        <v>1172</v>
      </c>
      <c r="D646" s="27">
        <v>1</v>
      </c>
      <c r="E646" s="27">
        <v>0</v>
      </c>
      <c r="F646" s="27">
        <v>0</v>
      </c>
      <c r="G646" s="27">
        <v>0</v>
      </c>
      <c r="H646" s="27">
        <v>0</v>
      </c>
      <c r="I646" s="27">
        <f>+IFERROR(VLOOKUP(A646,'[1]Pending Dispatch'!$N$2:$O$651,2,0),0)</f>
        <v>0</v>
      </c>
      <c r="J646" s="27">
        <f t="shared" ref="J646:J709" si="10">+H646-I646</f>
        <v>0</v>
      </c>
      <c r="K646" s="28">
        <v>2.7299999999999995</v>
      </c>
      <c r="L646" s="28">
        <v>0</v>
      </c>
      <c r="M646" s="26">
        <v>3310</v>
      </c>
      <c r="N646" s="26">
        <v>0</v>
      </c>
    </row>
    <row r="647" spans="1:14" ht="15" customHeight="1" x14ac:dyDescent="0.3">
      <c r="A647" s="25" t="s">
        <v>1236</v>
      </c>
      <c r="B647" s="26" t="s">
        <v>1237</v>
      </c>
      <c r="C647" s="26" t="s">
        <v>1172</v>
      </c>
      <c r="D647" s="27">
        <v>1</v>
      </c>
      <c r="E647" s="27">
        <v>0</v>
      </c>
      <c r="F647" s="27">
        <v>0</v>
      </c>
      <c r="G647" s="27">
        <v>0</v>
      </c>
      <c r="H647" s="27">
        <v>0</v>
      </c>
      <c r="I647" s="27">
        <f>+IFERROR(VLOOKUP(A647,'[1]Pending Dispatch'!$N$2:$O$651,2,0),0)</f>
        <v>0</v>
      </c>
      <c r="J647" s="27">
        <f t="shared" si="10"/>
        <v>0</v>
      </c>
      <c r="K647" s="28">
        <v>3.6399999999999997</v>
      </c>
      <c r="L647" s="28">
        <v>0</v>
      </c>
      <c r="M647" s="26">
        <v>4.2</v>
      </c>
      <c r="N647" s="26">
        <v>0</v>
      </c>
    </row>
    <row r="648" spans="1:14" ht="15" customHeight="1" x14ac:dyDescent="0.3">
      <c r="A648" s="25" t="s">
        <v>1238</v>
      </c>
      <c r="B648" s="26" t="s">
        <v>1239</v>
      </c>
      <c r="C648" s="26" t="s">
        <v>1172</v>
      </c>
      <c r="D648" s="27">
        <v>1</v>
      </c>
      <c r="E648" s="27">
        <v>0</v>
      </c>
      <c r="F648" s="27">
        <v>0</v>
      </c>
      <c r="G648" s="27">
        <v>0</v>
      </c>
      <c r="H648" s="27">
        <v>0</v>
      </c>
      <c r="I648" s="27">
        <f>+IFERROR(VLOOKUP(A648,'[1]Pending Dispatch'!$N$2:$O$651,2,0),0)</f>
        <v>0</v>
      </c>
      <c r="J648" s="27">
        <f t="shared" si="10"/>
        <v>0</v>
      </c>
      <c r="K648" s="28">
        <v>5.4599999999999991</v>
      </c>
      <c r="L648" s="28">
        <v>0</v>
      </c>
      <c r="M648" s="26">
        <v>4.5999999999999996</v>
      </c>
      <c r="N648" s="26">
        <v>0</v>
      </c>
    </row>
    <row r="649" spans="1:14" ht="15" customHeight="1" x14ac:dyDescent="0.3">
      <c r="A649" s="25" t="s">
        <v>1240</v>
      </c>
      <c r="B649" s="26" t="s">
        <v>1241</v>
      </c>
      <c r="C649" s="26" t="s">
        <v>1172</v>
      </c>
      <c r="D649" s="27">
        <v>1</v>
      </c>
      <c r="E649" s="27">
        <v>0</v>
      </c>
      <c r="F649" s="27">
        <v>0</v>
      </c>
      <c r="G649" s="27">
        <v>0</v>
      </c>
      <c r="H649" s="27">
        <v>0</v>
      </c>
      <c r="I649" s="27">
        <f>+IFERROR(VLOOKUP(A649,'[1]Pending Dispatch'!$N$2:$O$651,2,0),0)</f>
        <v>0</v>
      </c>
      <c r="J649" s="27">
        <f t="shared" si="10"/>
        <v>0</v>
      </c>
      <c r="K649" s="28">
        <v>5.4599999999999991</v>
      </c>
      <c r="L649" s="28">
        <v>0</v>
      </c>
      <c r="M649" s="26">
        <v>10.4</v>
      </c>
      <c r="N649" s="26">
        <v>0</v>
      </c>
    </row>
    <row r="650" spans="1:14" ht="15" customHeight="1" x14ac:dyDescent="0.3">
      <c r="A650" s="25" t="s">
        <v>1242</v>
      </c>
      <c r="B650" s="26" t="s">
        <v>1243</v>
      </c>
      <c r="C650" s="26" t="s">
        <v>1172</v>
      </c>
      <c r="D650" s="27">
        <v>1</v>
      </c>
      <c r="E650" s="27">
        <v>1235</v>
      </c>
      <c r="F650" s="27">
        <v>965</v>
      </c>
      <c r="G650" s="27">
        <v>1630</v>
      </c>
      <c r="H650" s="27">
        <v>570</v>
      </c>
      <c r="I650" s="27">
        <f>+IFERROR(VLOOKUP(A650,'[1]Pending Dispatch'!$N$2:$O$651,2,0),0)</f>
        <v>620</v>
      </c>
      <c r="J650" s="27">
        <f t="shared" si="10"/>
        <v>-50</v>
      </c>
      <c r="K650" s="28">
        <v>7.6</v>
      </c>
      <c r="L650" s="28">
        <v>7.6</v>
      </c>
      <c r="M650" s="26">
        <v>11.9</v>
      </c>
      <c r="N650" s="26">
        <v>5402.6</v>
      </c>
    </row>
    <row r="651" spans="1:14" ht="15" customHeight="1" x14ac:dyDescent="0.3">
      <c r="A651" s="25" t="s">
        <v>1244</v>
      </c>
      <c r="B651" s="26" t="s">
        <v>1245</v>
      </c>
      <c r="C651" s="26" t="s">
        <v>1172</v>
      </c>
      <c r="D651" s="27">
        <v>1</v>
      </c>
      <c r="E651" s="27">
        <v>0</v>
      </c>
      <c r="F651" s="27">
        <v>25</v>
      </c>
      <c r="G651" s="27">
        <v>25</v>
      </c>
      <c r="H651" s="27">
        <v>0</v>
      </c>
      <c r="I651" s="27">
        <f>+IFERROR(VLOOKUP(A651,'[1]Pending Dispatch'!$N$2:$O$651,2,0),0)</f>
        <v>70</v>
      </c>
      <c r="J651" s="27">
        <f t="shared" si="10"/>
        <v>-70</v>
      </c>
      <c r="K651" s="28">
        <v>7.6</v>
      </c>
      <c r="L651" s="28">
        <v>0</v>
      </c>
      <c r="M651" s="26">
        <v>13.9</v>
      </c>
      <c r="N651" s="26">
        <v>-278</v>
      </c>
    </row>
    <row r="652" spans="1:14" ht="15" customHeight="1" x14ac:dyDescent="0.3">
      <c r="A652" s="25" t="s">
        <v>1246</v>
      </c>
      <c r="B652" s="26" t="s">
        <v>1247</v>
      </c>
      <c r="C652" s="26" t="s">
        <v>1172</v>
      </c>
      <c r="D652" s="27">
        <v>1</v>
      </c>
      <c r="E652" s="27">
        <v>12</v>
      </c>
      <c r="F652" s="27">
        <v>0</v>
      </c>
      <c r="G652" s="27">
        <v>0</v>
      </c>
      <c r="H652" s="27">
        <v>12</v>
      </c>
      <c r="I652" s="27">
        <f>+IFERROR(VLOOKUP(A652,'[1]Pending Dispatch'!$N$2:$O$651,2,0),0)</f>
        <v>50</v>
      </c>
      <c r="J652" s="27">
        <f t="shared" si="10"/>
        <v>-38</v>
      </c>
      <c r="K652" s="28">
        <v>15.1</v>
      </c>
      <c r="L652" s="28">
        <v>0</v>
      </c>
      <c r="M652" s="26">
        <v>14.9</v>
      </c>
      <c r="N652" s="26">
        <v>-566.20000000000005</v>
      </c>
    </row>
    <row r="653" spans="1:14" ht="15" customHeight="1" x14ac:dyDescent="0.3">
      <c r="A653" s="25" t="s">
        <v>1248</v>
      </c>
      <c r="B653" s="26" t="s">
        <v>1249</v>
      </c>
      <c r="C653" s="26" t="s">
        <v>1172</v>
      </c>
      <c r="D653" s="27">
        <v>1</v>
      </c>
      <c r="E653" s="27">
        <v>0</v>
      </c>
      <c r="F653" s="27">
        <v>0</v>
      </c>
      <c r="G653" s="27">
        <v>0</v>
      </c>
      <c r="H653" s="27">
        <v>0</v>
      </c>
      <c r="I653" s="27">
        <f>+IFERROR(VLOOKUP(A653,'[1]Pending Dispatch'!$N$2:$O$651,2,0),0)</f>
        <v>0</v>
      </c>
      <c r="J653" s="27">
        <f t="shared" si="10"/>
        <v>0</v>
      </c>
      <c r="K653" s="28">
        <v>15.1</v>
      </c>
      <c r="L653" s="28">
        <v>0</v>
      </c>
      <c r="M653" s="26">
        <v>15.9</v>
      </c>
      <c r="N653" s="26">
        <v>0</v>
      </c>
    </row>
    <row r="654" spans="1:14" ht="15" customHeight="1" x14ac:dyDescent="0.3">
      <c r="A654" s="25" t="s">
        <v>1250</v>
      </c>
      <c r="B654" s="26" t="s">
        <v>1251</v>
      </c>
      <c r="C654" s="26" t="s">
        <v>1172</v>
      </c>
      <c r="D654" s="27">
        <v>1</v>
      </c>
      <c r="E654" s="27">
        <v>0</v>
      </c>
      <c r="F654" s="27">
        <v>0</v>
      </c>
      <c r="G654" s="27">
        <v>0</v>
      </c>
      <c r="H654" s="27">
        <v>0</v>
      </c>
      <c r="I654" s="27">
        <f>+IFERROR(VLOOKUP(A654,'[1]Pending Dispatch'!$N$2:$O$651,2,0),0)</f>
        <v>0</v>
      </c>
      <c r="J654" s="27">
        <f t="shared" si="10"/>
        <v>0</v>
      </c>
      <c r="K654" s="28">
        <v>1.52</v>
      </c>
      <c r="L654" s="28">
        <v>0</v>
      </c>
      <c r="M654" s="26">
        <v>23.8</v>
      </c>
      <c r="N654" s="26">
        <v>0</v>
      </c>
    </row>
    <row r="655" spans="1:14" ht="15" customHeight="1" x14ac:dyDescent="0.3">
      <c r="A655" s="25" t="s">
        <v>1252</v>
      </c>
      <c r="B655" s="26" t="s">
        <v>1253</v>
      </c>
      <c r="C655" s="26" t="s">
        <v>1172</v>
      </c>
      <c r="D655" s="27">
        <v>1</v>
      </c>
      <c r="E655" s="27">
        <v>0</v>
      </c>
      <c r="F655" s="27">
        <v>0</v>
      </c>
      <c r="G655" s="27">
        <v>0</v>
      </c>
      <c r="H655" s="27">
        <v>0</v>
      </c>
      <c r="I655" s="27">
        <f>+IFERROR(VLOOKUP(A655,'[1]Pending Dispatch'!$N$2:$O$651,2,0),0)</f>
        <v>0</v>
      </c>
      <c r="J655" s="27">
        <f t="shared" si="10"/>
        <v>0</v>
      </c>
      <c r="K655" s="28">
        <v>2.2800000000000002</v>
      </c>
      <c r="L655" s="28">
        <v>0</v>
      </c>
      <c r="M655" s="26">
        <v>5.6</v>
      </c>
      <c r="N655" s="26">
        <v>0</v>
      </c>
    </row>
    <row r="656" spans="1:14" ht="15" customHeight="1" x14ac:dyDescent="0.3">
      <c r="A656" s="25" t="s">
        <v>1254</v>
      </c>
      <c r="B656" s="26" t="s">
        <v>1255</v>
      </c>
      <c r="C656" s="26" t="s">
        <v>1172</v>
      </c>
      <c r="D656" s="27">
        <v>1</v>
      </c>
      <c r="E656" s="27">
        <v>0</v>
      </c>
      <c r="F656" s="27">
        <v>0</v>
      </c>
      <c r="G656" s="27">
        <v>0</v>
      </c>
      <c r="H656" s="27">
        <v>0</v>
      </c>
      <c r="I656" s="27">
        <f>+IFERROR(VLOOKUP(A656,'[1]Pending Dispatch'!$N$2:$O$651,2,0),0)</f>
        <v>0</v>
      </c>
      <c r="J656" s="27">
        <f t="shared" si="10"/>
        <v>0</v>
      </c>
      <c r="K656" s="28">
        <v>3.04</v>
      </c>
      <c r="L656" s="28">
        <v>0</v>
      </c>
      <c r="M656" s="26">
        <v>12.9</v>
      </c>
      <c r="N656" s="26">
        <v>0</v>
      </c>
    </row>
    <row r="657" spans="1:14" ht="15" customHeight="1" x14ac:dyDescent="0.3">
      <c r="A657" s="25" t="s">
        <v>1256</v>
      </c>
      <c r="B657" s="26" t="s">
        <v>1257</v>
      </c>
      <c r="C657" s="26" t="s">
        <v>1172</v>
      </c>
      <c r="D657" s="27">
        <v>1</v>
      </c>
      <c r="E657" s="27">
        <v>0</v>
      </c>
      <c r="F657" s="27">
        <v>0</v>
      </c>
      <c r="G657" s="27">
        <v>0</v>
      </c>
      <c r="H657" s="27">
        <v>0</v>
      </c>
      <c r="I657" s="27">
        <f>+IFERROR(VLOOKUP(A657,'[1]Pending Dispatch'!$N$2:$O$651,2,0),0)</f>
        <v>0</v>
      </c>
      <c r="J657" s="27">
        <f t="shared" si="10"/>
        <v>0</v>
      </c>
      <c r="K657" s="28">
        <v>4.5600000000000005</v>
      </c>
      <c r="L657" s="28">
        <v>0</v>
      </c>
      <c r="M657" s="26">
        <v>13.9</v>
      </c>
      <c r="N657" s="26">
        <v>0</v>
      </c>
    </row>
    <row r="658" spans="1:14" ht="15" customHeight="1" x14ac:dyDescent="0.3">
      <c r="A658" s="25" t="s">
        <v>1258</v>
      </c>
      <c r="B658" s="26" t="s">
        <v>1259</v>
      </c>
      <c r="C658" s="26" t="s">
        <v>1172</v>
      </c>
      <c r="D658" s="27">
        <v>1</v>
      </c>
      <c r="E658" s="27">
        <v>0</v>
      </c>
      <c r="F658" s="27">
        <v>0</v>
      </c>
      <c r="G658" s="27">
        <v>0</v>
      </c>
      <c r="H658" s="27">
        <v>0</v>
      </c>
      <c r="I658" s="27">
        <f>+IFERROR(VLOOKUP(A658,'[1]Pending Dispatch'!$N$2:$O$651,2,0),0)</f>
        <v>0</v>
      </c>
      <c r="J658" s="27">
        <f t="shared" si="10"/>
        <v>0</v>
      </c>
      <c r="K658" s="28">
        <v>4.5600000000000005</v>
      </c>
      <c r="L658" s="28">
        <v>0</v>
      </c>
      <c r="M658" s="26">
        <v>16.899999999999999</v>
      </c>
      <c r="N658" s="26">
        <v>0</v>
      </c>
    </row>
    <row r="659" spans="1:14" ht="15" customHeight="1" x14ac:dyDescent="0.3">
      <c r="A659" s="25" t="s">
        <v>1260</v>
      </c>
      <c r="B659" s="26" t="s">
        <v>1261</v>
      </c>
      <c r="C659" s="26" t="s">
        <v>1172</v>
      </c>
      <c r="D659" s="27">
        <v>1</v>
      </c>
      <c r="E659" s="27">
        <v>0</v>
      </c>
      <c r="F659" s="27">
        <v>14881</v>
      </c>
      <c r="G659" s="27">
        <v>11095</v>
      </c>
      <c r="H659" s="27">
        <v>3786</v>
      </c>
      <c r="I659" s="27">
        <f>+IFERROR(VLOOKUP(A659,'[1]Pending Dispatch'!$N$2:$O$651,2,0),0)</f>
        <v>8500</v>
      </c>
      <c r="J659" s="27">
        <f t="shared" si="10"/>
        <v>-4714</v>
      </c>
      <c r="K659" s="28">
        <v>2.4</v>
      </c>
      <c r="L659" s="28">
        <v>2640</v>
      </c>
      <c r="M659" s="26">
        <v>18.899999999999999</v>
      </c>
      <c r="N659" s="26">
        <v>-89094.599999999991</v>
      </c>
    </row>
    <row r="660" spans="1:14" ht="15" customHeight="1" x14ac:dyDescent="0.3">
      <c r="A660" s="25" t="s">
        <v>1262</v>
      </c>
      <c r="B660" s="26" t="s">
        <v>1263</v>
      </c>
      <c r="C660" s="26" t="s">
        <v>1172</v>
      </c>
      <c r="D660" s="27">
        <v>1</v>
      </c>
      <c r="E660" s="27">
        <v>17</v>
      </c>
      <c r="F660" s="27">
        <v>493</v>
      </c>
      <c r="G660" s="27">
        <v>510</v>
      </c>
      <c r="H660" s="27">
        <v>0</v>
      </c>
      <c r="I660" s="27">
        <f>+IFERROR(VLOOKUP(A660,'[1]Pending Dispatch'!$N$2:$O$651,2,0),0)</f>
        <v>1600</v>
      </c>
      <c r="J660" s="27">
        <f t="shared" si="10"/>
        <v>-1600</v>
      </c>
      <c r="K660" s="28">
        <v>2.4</v>
      </c>
      <c r="L660" s="28">
        <v>556.79999999999995</v>
      </c>
      <c r="M660" s="26">
        <v>2.8</v>
      </c>
      <c r="N660" s="26">
        <v>-3071.6</v>
      </c>
    </row>
    <row r="661" spans="1:14" ht="15" customHeight="1" x14ac:dyDescent="0.3">
      <c r="A661" s="25" t="s">
        <v>1264</v>
      </c>
      <c r="B661" s="26" t="s">
        <v>1265</v>
      </c>
      <c r="C661" s="26" t="s">
        <v>1172</v>
      </c>
      <c r="D661" s="27">
        <v>1</v>
      </c>
      <c r="E661" s="27">
        <v>13</v>
      </c>
      <c r="F661" s="27">
        <v>60</v>
      </c>
      <c r="G661" s="27">
        <v>13</v>
      </c>
      <c r="H661" s="27">
        <v>60</v>
      </c>
      <c r="I661" s="27">
        <f>+IFERROR(VLOOKUP(A661,'[1]Pending Dispatch'!$N$2:$O$651,2,0),0)</f>
        <v>150</v>
      </c>
      <c r="J661" s="27">
        <f t="shared" si="10"/>
        <v>-90</v>
      </c>
      <c r="K661" s="28">
        <v>4.7</v>
      </c>
      <c r="L661" s="28">
        <v>0</v>
      </c>
      <c r="M661" s="26">
        <v>26.8</v>
      </c>
      <c r="N661" s="26">
        <v>-2412</v>
      </c>
    </row>
    <row r="662" spans="1:14" ht="15" customHeight="1" x14ac:dyDescent="0.3">
      <c r="A662" s="25" t="s">
        <v>1266</v>
      </c>
      <c r="B662" s="26" t="s">
        <v>1267</v>
      </c>
      <c r="C662" s="26" t="s">
        <v>1172</v>
      </c>
      <c r="D662" s="27">
        <v>1</v>
      </c>
      <c r="E662" s="27">
        <v>0</v>
      </c>
      <c r="F662" s="27">
        <v>52</v>
      </c>
      <c r="G662" s="27">
        <v>0</v>
      </c>
      <c r="H662" s="27">
        <v>52</v>
      </c>
      <c r="I662" s="27">
        <f>+IFERROR(VLOOKUP(A662,'[1]Pending Dispatch'!$N$2:$O$651,2,0),0)</f>
        <v>50</v>
      </c>
      <c r="J662" s="27">
        <f t="shared" si="10"/>
        <v>2</v>
      </c>
      <c r="K662" s="28">
        <v>4.7</v>
      </c>
      <c r="L662" s="28">
        <v>0</v>
      </c>
      <c r="M662" s="26">
        <v>1440</v>
      </c>
      <c r="N662" s="26">
        <v>2880</v>
      </c>
    </row>
    <row r="663" spans="1:14" ht="15" customHeight="1" x14ac:dyDescent="0.3">
      <c r="A663" s="25" t="s">
        <v>1268</v>
      </c>
      <c r="B663" s="26" t="s">
        <v>1269</v>
      </c>
      <c r="C663" s="26" t="s">
        <v>1172</v>
      </c>
      <c r="D663" s="27">
        <v>1</v>
      </c>
      <c r="E663" s="27">
        <v>584</v>
      </c>
      <c r="F663" s="27">
        <v>205</v>
      </c>
      <c r="G663" s="27">
        <v>375</v>
      </c>
      <c r="H663" s="27">
        <v>414</v>
      </c>
      <c r="I663" s="27">
        <f>+IFERROR(VLOOKUP(A663,'[1]Pending Dispatch'!$N$2:$O$651,2,0),0)</f>
        <v>400</v>
      </c>
      <c r="J663" s="27">
        <f t="shared" si="10"/>
        <v>14</v>
      </c>
      <c r="K663" s="28">
        <v>0.48</v>
      </c>
      <c r="L663" s="28">
        <v>793.92</v>
      </c>
      <c r="M663" s="26">
        <v>1980</v>
      </c>
      <c r="N663" s="26">
        <v>27720</v>
      </c>
    </row>
    <row r="664" spans="1:14" ht="15" customHeight="1" x14ac:dyDescent="0.3">
      <c r="A664" s="25" t="s">
        <v>1270</v>
      </c>
      <c r="B664" s="26" t="s">
        <v>1271</v>
      </c>
      <c r="C664" s="26" t="s">
        <v>1172</v>
      </c>
      <c r="D664" s="27">
        <v>1</v>
      </c>
      <c r="E664" s="27">
        <v>10</v>
      </c>
      <c r="F664" s="27">
        <v>802</v>
      </c>
      <c r="G664" s="27">
        <v>290</v>
      </c>
      <c r="H664" s="27">
        <v>522</v>
      </c>
      <c r="I664" s="27">
        <f>+IFERROR(VLOOKUP(A664,'[1]Pending Dispatch'!$N$2:$O$651,2,0),0)</f>
        <v>200</v>
      </c>
      <c r="J664" s="27">
        <f t="shared" si="10"/>
        <v>322</v>
      </c>
      <c r="K664" s="28">
        <v>0.72</v>
      </c>
      <c r="L664" s="28">
        <v>86.399999999999991</v>
      </c>
      <c r="M664" s="26">
        <v>0</v>
      </c>
      <c r="N664" s="26">
        <v>0</v>
      </c>
    </row>
    <row r="665" spans="1:14" ht="15" customHeight="1" x14ac:dyDescent="0.3">
      <c r="A665" s="25" t="s">
        <v>1272</v>
      </c>
      <c r="B665" s="26" t="s">
        <v>1273</v>
      </c>
      <c r="C665" s="26" t="s">
        <v>1172</v>
      </c>
      <c r="D665" s="27">
        <v>1</v>
      </c>
      <c r="E665" s="27">
        <v>0</v>
      </c>
      <c r="F665" s="27">
        <v>675</v>
      </c>
      <c r="G665" s="27">
        <v>250</v>
      </c>
      <c r="H665" s="27">
        <v>425</v>
      </c>
      <c r="I665" s="27">
        <f>+IFERROR(VLOOKUP(A665,'[1]Pending Dispatch'!$N$2:$O$651,2,0),0)</f>
        <v>350</v>
      </c>
      <c r="J665" s="27">
        <f t="shared" si="10"/>
        <v>75</v>
      </c>
      <c r="K665" s="28">
        <v>0.96</v>
      </c>
      <c r="L665" s="28">
        <v>288</v>
      </c>
      <c r="M665" s="26">
        <v>1980</v>
      </c>
      <c r="N665" s="26">
        <v>148500</v>
      </c>
    </row>
    <row r="666" spans="1:14" ht="15" customHeight="1" x14ac:dyDescent="0.3">
      <c r="A666" s="25" t="s">
        <v>1274</v>
      </c>
      <c r="B666" s="26" t="s">
        <v>1275</v>
      </c>
      <c r="C666" s="26" t="s">
        <v>1172</v>
      </c>
      <c r="D666" s="27">
        <v>1</v>
      </c>
      <c r="E666" s="27">
        <v>43</v>
      </c>
      <c r="F666" s="27">
        <v>977</v>
      </c>
      <c r="G666" s="27">
        <v>805</v>
      </c>
      <c r="H666" s="27">
        <v>215</v>
      </c>
      <c r="I666" s="27">
        <f>+IFERROR(VLOOKUP(A666,'[1]Pending Dispatch'!$N$2:$O$651,2,0),0)</f>
        <v>650</v>
      </c>
      <c r="J666" s="27">
        <f t="shared" si="10"/>
        <v>-435</v>
      </c>
      <c r="K666" s="28">
        <v>1.44</v>
      </c>
      <c r="L666" s="28">
        <v>169.92</v>
      </c>
      <c r="M666" s="26">
        <v>2750</v>
      </c>
      <c r="N666" s="26">
        <v>-1086250</v>
      </c>
    </row>
    <row r="667" spans="1:14" ht="15" customHeight="1" x14ac:dyDescent="0.3">
      <c r="A667" s="25" t="s">
        <v>1276</v>
      </c>
      <c r="B667" s="26" t="s">
        <v>1277</v>
      </c>
      <c r="C667" s="26" t="s">
        <v>1172</v>
      </c>
      <c r="D667" s="27">
        <v>1</v>
      </c>
      <c r="E667" s="27">
        <v>0</v>
      </c>
      <c r="F667" s="27">
        <v>350</v>
      </c>
      <c r="G667" s="27">
        <v>350</v>
      </c>
      <c r="H667" s="27">
        <v>0</v>
      </c>
      <c r="I667" s="27">
        <f>+IFERROR(VLOOKUP(A667,'[1]Pending Dispatch'!$N$2:$O$651,2,0),0)</f>
        <v>68</v>
      </c>
      <c r="J667" s="27">
        <f t="shared" si="10"/>
        <v>-68</v>
      </c>
      <c r="K667" s="28">
        <v>1.44</v>
      </c>
      <c r="L667" s="28">
        <v>0</v>
      </c>
      <c r="M667" s="26">
        <v>0</v>
      </c>
      <c r="N667" s="26">
        <v>0</v>
      </c>
    </row>
    <row r="668" spans="1:14" ht="15" customHeight="1" x14ac:dyDescent="0.3">
      <c r="A668" s="25" t="s">
        <v>1278</v>
      </c>
      <c r="B668" s="26" t="s">
        <v>1279</v>
      </c>
      <c r="C668" s="26" t="s">
        <v>1172</v>
      </c>
      <c r="D668" s="27">
        <v>1</v>
      </c>
      <c r="E668" s="27">
        <v>79</v>
      </c>
      <c r="F668" s="27">
        <v>0</v>
      </c>
      <c r="G668" s="27">
        <v>0</v>
      </c>
      <c r="H668" s="27">
        <v>79</v>
      </c>
      <c r="I668" s="27">
        <f>+IFERROR(VLOOKUP(A668,'[1]Pending Dispatch'!$N$2:$O$651,2,0),0)</f>
        <v>0</v>
      </c>
      <c r="J668" s="27">
        <f t="shared" si="10"/>
        <v>79</v>
      </c>
      <c r="K668" s="28">
        <v>4.4000000000000004</v>
      </c>
      <c r="L668" s="28">
        <v>347.6</v>
      </c>
      <c r="M668" s="26">
        <v>0</v>
      </c>
      <c r="N668" s="26">
        <v>0</v>
      </c>
    </row>
    <row r="669" spans="1:14" ht="15" customHeight="1" x14ac:dyDescent="0.3">
      <c r="A669" s="25" t="s">
        <v>1280</v>
      </c>
      <c r="B669" s="26" t="s">
        <v>1281</v>
      </c>
      <c r="C669" s="26" t="s">
        <v>1172</v>
      </c>
      <c r="D669" s="27">
        <v>1</v>
      </c>
      <c r="E669" s="27">
        <v>0</v>
      </c>
      <c r="F669" s="27">
        <v>0</v>
      </c>
      <c r="G669" s="27">
        <v>0</v>
      </c>
      <c r="H669" s="27">
        <v>0</v>
      </c>
      <c r="I669" s="27">
        <f>+IFERROR(VLOOKUP(A669,'[1]Pending Dispatch'!$N$2:$O$651,2,0),0)</f>
        <v>0</v>
      </c>
      <c r="J669" s="27">
        <f t="shared" si="10"/>
        <v>0</v>
      </c>
      <c r="K669" s="28">
        <v>4.4000000000000004</v>
      </c>
      <c r="L669" s="28">
        <v>0</v>
      </c>
      <c r="M669" s="26">
        <v>8.1999999999999993</v>
      </c>
      <c r="N669" s="26">
        <v>0</v>
      </c>
    </row>
    <row r="670" spans="1:14" ht="15" customHeight="1" x14ac:dyDescent="0.3">
      <c r="A670" s="25" t="s">
        <v>1282</v>
      </c>
      <c r="B670" s="26" t="s">
        <v>1283</v>
      </c>
      <c r="C670" s="26" t="s">
        <v>1172</v>
      </c>
      <c r="D670" s="27">
        <v>1</v>
      </c>
      <c r="E670" s="27">
        <v>0</v>
      </c>
      <c r="F670" s="27">
        <v>0</v>
      </c>
      <c r="G670" s="27">
        <v>0</v>
      </c>
      <c r="H670" s="27">
        <v>0</v>
      </c>
      <c r="I670" s="27">
        <f>+IFERROR(VLOOKUP(A670,'[1]Pending Dispatch'!$N$2:$O$651,2,0),0)</f>
        <v>0</v>
      </c>
      <c r="J670" s="27">
        <f t="shared" si="10"/>
        <v>0</v>
      </c>
      <c r="K670" s="28">
        <v>8.6999999999999993</v>
      </c>
      <c r="L670" s="28">
        <v>0</v>
      </c>
      <c r="M670" s="26">
        <v>9.8000000000000007</v>
      </c>
      <c r="N670" s="26">
        <v>0</v>
      </c>
    </row>
    <row r="671" spans="1:14" ht="15" customHeight="1" x14ac:dyDescent="0.3">
      <c r="A671" s="25" t="s">
        <v>1284</v>
      </c>
      <c r="B671" s="26" t="s">
        <v>1285</v>
      </c>
      <c r="C671" s="26" t="s">
        <v>1172</v>
      </c>
      <c r="D671" s="27">
        <v>1</v>
      </c>
      <c r="E671" s="27">
        <v>0</v>
      </c>
      <c r="F671" s="27">
        <v>0</v>
      </c>
      <c r="G671" s="27">
        <v>0</v>
      </c>
      <c r="H671" s="27">
        <v>0</v>
      </c>
      <c r="I671" s="27">
        <f>+IFERROR(VLOOKUP(A671,'[1]Pending Dispatch'!$N$2:$O$651,2,0),0)</f>
        <v>0</v>
      </c>
      <c r="J671" s="27">
        <f t="shared" si="10"/>
        <v>0</v>
      </c>
      <c r="K671" s="28">
        <v>8.6999999999999993</v>
      </c>
      <c r="L671" s="28">
        <v>0</v>
      </c>
      <c r="M671" s="26">
        <v>0</v>
      </c>
      <c r="N671" s="26">
        <v>0</v>
      </c>
    </row>
    <row r="672" spans="1:14" ht="15" customHeight="1" x14ac:dyDescent="0.3">
      <c r="A672" s="25" t="s">
        <v>1286</v>
      </c>
      <c r="B672" s="26" t="s">
        <v>1287</v>
      </c>
      <c r="C672" s="26" t="s">
        <v>1172</v>
      </c>
      <c r="D672" s="27">
        <v>1</v>
      </c>
      <c r="E672" s="27">
        <v>0</v>
      </c>
      <c r="F672" s="27">
        <v>0</v>
      </c>
      <c r="G672" s="27">
        <v>0</v>
      </c>
      <c r="H672" s="27">
        <v>0</v>
      </c>
      <c r="I672" s="27">
        <f>+IFERROR(VLOOKUP(A672,'[1]Pending Dispatch'!$N$2:$O$651,2,0),0)</f>
        <v>0</v>
      </c>
      <c r="J672" s="27">
        <f t="shared" si="10"/>
        <v>0</v>
      </c>
      <c r="K672" s="28">
        <v>0.88000000000000012</v>
      </c>
      <c r="L672" s="28">
        <v>0</v>
      </c>
      <c r="M672" s="26">
        <v>0</v>
      </c>
      <c r="N672" s="26">
        <v>0</v>
      </c>
    </row>
    <row r="673" spans="1:14" ht="15" customHeight="1" x14ac:dyDescent="0.3">
      <c r="A673" s="25" t="s">
        <v>1288</v>
      </c>
      <c r="B673" s="26" t="s">
        <v>1289</v>
      </c>
      <c r="C673" s="26" t="s">
        <v>1172</v>
      </c>
      <c r="D673" s="27">
        <v>1</v>
      </c>
      <c r="E673" s="27">
        <v>0</v>
      </c>
      <c r="F673" s="27">
        <v>0</v>
      </c>
      <c r="G673" s="27">
        <v>0</v>
      </c>
      <c r="H673" s="27">
        <v>0</v>
      </c>
      <c r="I673" s="27">
        <f>+IFERROR(VLOOKUP(A673,'[1]Pending Dispatch'!$N$2:$O$651,2,0),0)</f>
        <v>0</v>
      </c>
      <c r="J673" s="27">
        <f t="shared" si="10"/>
        <v>0</v>
      </c>
      <c r="K673" s="28">
        <v>1.3200000000000003</v>
      </c>
      <c r="L673" s="28">
        <v>0</v>
      </c>
      <c r="M673" s="26">
        <v>0</v>
      </c>
      <c r="N673" s="26">
        <v>0</v>
      </c>
    </row>
    <row r="674" spans="1:14" ht="15" customHeight="1" x14ac:dyDescent="0.3">
      <c r="A674" s="25" t="s">
        <v>1290</v>
      </c>
      <c r="B674" s="26" t="s">
        <v>1291</v>
      </c>
      <c r="C674" s="26" t="s">
        <v>1172</v>
      </c>
      <c r="D674" s="27">
        <v>1</v>
      </c>
      <c r="E674" s="27">
        <v>0</v>
      </c>
      <c r="F674" s="27">
        <v>0</v>
      </c>
      <c r="G674" s="27">
        <v>0</v>
      </c>
      <c r="H674" s="27">
        <v>0</v>
      </c>
      <c r="I674" s="27">
        <f>+IFERROR(VLOOKUP(A674,'[1]Pending Dispatch'!$N$2:$O$651,2,0),0)</f>
        <v>0</v>
      </c>
      <c r="J674" s="27">
        <f t="shared" si="10"/>
        <v>0</v>
      </c>
      <c r="K674" s="28">
        <v>1.7600000000000002</v>
      </c>
      <c r="L674" s="28">
        <v>0</v>
      </c>
      <c r="M674" s="26">
        <v>0</v>
      </c>
      <c r="N674" s="26">
        <v>0</v>
      </c>
    </row>
    <row r="675" spans="1:14" ht="15" customHeight="1" x14ac:dyDescent="0.3">
      <c r="A675" s="25" t="s">
        <v>1292</v>
      </c>
      <c r="B675" s="26" t="s">
        <v>1293</v>
      </c>
      <c r="C675" s="26" t="s">
        <v>1172</v>
      </c>
      <c r="D675" s="27">
        <v>1</v>
      </c>
      <c r="E675" s="27">
        <v>0</v>
      </c>
      <c r="F675" s="27">
        <v>0</v>
      </c>
      <c r="G675" s="27">
        <v>0</v>
      </c>
      <c r="H675" s="27">
        <v>0</v>
      </c>
      <c r="I675" s="27">
        <f>+IFERROR(VLOOKUP(A675,'[1]Pending Dispatch'!$N$2:$O$651,2,0),0)</f>
        <v>0</v>
      </c>
      <c r="J675" s="27">
        <f t="shared" si="10"/>
        <v>0</v>
      </c>
      <c r="K675" s="28">
        <v>2.6400000000000006</v>
      </c>
      <c r="L675" s="28">
        <v>0</v>
      </c>
      <c r="M675" s="26">
        <v>0</v>
      </c>
      <c r="N675" s="26">
        <v>0</v>
      </c>
    </row>
    <row r="676" spans="1:14" ht="15" customHeight="1" x14ac:dyDescent="0.3">
      <c r="A676" s="25" t="s">
        <v>1294</v>
      </c>
      <c r="B676" s="26" t="s">
        <v>1295</v>
      </c>
      <c r="C676" s="26" t="s">
        <v>1172</v>
      </c>
      <c r="D676" s="27">
        <v>1</v>
      </c>
      <c r="E676" s="27">
        <v>0</v>
      </c>
      <c r="F676" s="27">
        <v>0</v>
      </c>
      <c r="G676" s="27">
        <v>0</v>
      </c>
      <c r="H676" s="27">
        <v>0</v>
      </c>
      <c r="I676" s="27">
        <f>+IFERROR(VLOOKUP(A676,'[1]Pending Dispatch'!$N$2:$O$651,2,0),0)</f>
        <v>0</v>
      </c>
      <c r="J676" s="27">
        <f t="shared" si="10"/>
        <v>0</v>
      </c>
      <c r="K676" s="28">
        <v>2.6400000000000006</v>
      </c>
      <c r="L676" s="28">
        <v>0</v>
      </c>
      <c r="M676" s="26">
        <v>0</v>
      </c>
      <c r="N676" s="26">
        <v>0</v>
      </c>
    </row>
    <row r="677" spans="1:14" ht="15" customHeight="1" x14ac:dyDescent="0.3">
      <c r="A677" s="25" t="s">
        <v>1296</v>
      </c>
      <c r="B677" s="26" t="s">
        <v>1297</v>
      </c>
      <c r="C677" s="26" t="s">
        <v>1172</v>
      </c>
      <c r="D677" s="27">
        <v>1</v>
      </c>
      <c r="E677" s="27">
        <v>0</v>
      </c>
      <c r="F677" s="27">
        <v>522</v>
      </c>
      <c r="G677" s="27">
        <v>430</v>
      </c>
      <c r="H677" s="27">
        <v>92</v>
      </c>
      <c r="I677" s="27">
        <f>+IFERROR(VLOOKUP(A677,'[1]Pending Dispatch'!$N$2:$O$651,2,0),0)</f>
        <v>280</v>
      </c>
      <c r="J677" s="27">
        <f t="shared" si="10"/>
        <v>-188</v>
      </c>
      <c r="K677" s="28">
        <v>2.6</v>
      </c>
      <c r="L677" s="28">
        <v>572</v>
      </c>
      <c r="M677" s="26">
        <v>0</v>
      </c>
      <c r="N677" s="26">
        <v>0</v>
      </c>
    </row>
    <row r="678" spans="1:14" ht="15" customHeight="1" x14ac:dyDescent="0.3">
      <c r="A678" s="25" t="s">
        <v>1298</v>
      </c>
      <c r="B678" s="26" t="s">
        <v>1299</v>
      </c>
      <c r="C678" s="26" t="s">
        <v>1172</v>
      </c>
      <c r="D678" s="27">
        <v>1</v>
      </c>
      <c r="E678" s="27">
        <v>0</v>
      </c>
      <c r="F678" s="27">
        <v>0</v>
      </c>
      <c r="G678" s="27">
        <v>0</v>
      </c>
      <c r="H678" s="27">
        <v>0</v>
      </c>
      <c r="I678" s="27">
        <f>+IFERROR(VLOOKUP(A678,'[1]Pending Dispatch'!$N$2:$O$651,2,0),0)</f>
        <v>0</v>
      </c>
      <c r="J678" s="27">
        <f t="shared" si="10"/>
        <v>0</v>
      </c>
      <c r="K678" s="28">
        <v>2.6</v>
      </c>
      <c r="L678" s="28">
        <v>0</v>
      </c>
      <c r="M678" s="26">
        <v>0</v>
      </c>
      <c r="N678" s="26">
        <v>0</v>
      </c>
    </row>
    <row r="679" spans="1:14" ht="15" customHeight="1" x14ac:dyDescent="0.3">
      <c r="A679" s="25" t="s">
        <v>1300</v>
      </c>
      <c r="B679" s="26" t="s">
        <v>1301</v>
      </c>
      <c r="C679" s="26" t="s">
        <v>1172</v>
      </c>
      <c r="D679" s="27">
        <v>1</v>
      </c>
      <c r="E679" s="27">
        <v>240</v>
      </c>
      <c r="F679" s="27">
        <v>0</v>
      </c>
      <c r="G679" s="27">
        <v>0</v>
      </c>
      <c r="H679" s="27">
        <v>240</v>
      </c>
      <c r="I679" s="27">
        <f>+IFERROR(VLOOKUP(A679,'[1]Pending Dispatch'!$N$2:$O$651,2,0),0)</f>
        <v>150</v>
      </c>
      <c r="J679" s="27">
        <f t="shared" si="10"/>
        <v>90</v>
      </c>
      <c r="K679" s="28">
        <v>5.0999999999999996</v>
      </c>
      <c r="L679" s="28">
        <v>1224</v>
      </c>
      <c r="M679" s="26">
        <v>0</v>
      </c>
      <c r="N679" s="26">
        <v>0</v>
      </c>
    </row>
    <row r="680" spans="1:14" ht="15" customHeight="1" x14ac:dyDescent="0.3">
      <c r="A680" s="25" t="s">
        <v>1302</v>
      </c>
      <c r="B680" s="26" t="s">
        <v>1303</v>
      </c>
      <c r="C680" s="26" t="s">
        <v>1172</v>
      </c>
      <c r="D680" s="27">
        <v>1</v>
      </c>
      <c r="E680" s="27">
        <v>38</v>
      </c>
      <c r="F680" s="27">
        <v>0</v>
      </c>
      <c r="G680" s="27">
        <v>0</v>
      </c>
      <c r="H680" s="27">
        <v>38</v>
      </c>
      <c r="I680" s="27">
        <f>+IFERROR(VLOOKUP(A680,'[1]Pending Dispatch'!$N$2:$O$651,2,0),0)</f>
        <v>0</v>
      </c>
      <c r="J680" s="27">
        <f t="shared" si="10"/>
        <v>38</v>
      </c>
      <c r="K680" s="28">
        <v>5.0999999999999996</v>
      </c>
      <c r="L680" s="28">
        <v>193.79999999999998</v>
      </c>
      <c r="M680" s="26">
        <v>0</v>
      </c>
      <c r="N680" s="26">
        <v>0</v>
      </c>
    </row>
    <row r="681" spans="1:14" ht="15" customHeight="1" x14ac:dyDescent="0.3">
      <c r="A681" s="25" t="s">
        <v>1304</v>
      </c>
      <c r="B681" s="26" t="s">
        <v>1305</v>
      </c>
      <c r="C681" s="26" t="s">
        <v>1172</v>
      </c>
      <c r="D681" s="27">
        <v>1</v>
      </c>
      <c r="E681" s="27">
        <v>18</v>
      </c>
      <c r="F681" s="27">
        <v>0</v>
      </c>
      <c r="G681" s="27">
        <v>0</v>
      </c>
      <c r="H681" s="27">
        <v>18</v>
      </c>
      <c r="I681" s="27">
        <f>+IFERROR(VLOOKUP(A681,'[1]Pending Dispatch'!$N$2:$O$651,2,0),0)</f>
        <v>0</v>
      </c>
      <c r="J681" s="27">
        <f t="shared" si="10"/>
        <v>18</v>
      </c>
      <c r="K681" s="28">
        <v>0.52</v>
      </c>
      <c r="L681" s="28">
        <v>9.36</v>
      </c>
      <c r="M681" s="26">
        <v>0</v>
      </c>
      <c r="N681" s="26">
        <v>0</v>
      </c>
    </row>
    <row r="682" spans="1:14" ht="15" customHeight="1" x14ac:dyDescent="0.3">
      <c r="A682" s="25" t="s">
        <v>1306</v>
      </c>
      <c r="B682" s="26" t="s">
        <v>1307</v>
      </c>
      <c r="C682" s="26" t="s">
        <v>1172</v>
      </c>
      <c r="D682" s="27">
        <v>1</v>
      </c>
      <c r="E682" s="27">
        <v>0</v>
      </c>
      <c r="F682" s="27">
        <v>0</v>
      </c>
      <c r="G682" s="27">
        <v>0</v>
      </c>
      <c r="H682" s="27">
        <v>0</v>
      </c>
      <c r="I682" s="27">
        <f>+IFERROR(VLOOKUP(A682,'[1]Pending Dispatch'!$N$2:$O$651,2,0),0)</f>
        <v>0</v>
      </c>
      <c r="J682" s="27">
        <f t="shared" si="10"/>
        <v>0</v>
      </c>
      <c r="K682" s="28">
        <v>0.78</v>
      </c>
      <c r="L682" s="28">
        <v>0</v>
      </c>
      <c r="M682" s="26">
        <v>0</v>
      </c>
      <c r="N682" s="26">
        <v>0</v>
      </c>
    </row>
    <row r="683" spans="1:14" ht="15" customHeight="1" x14ac:dyDescent="0.3">
      <c r="A683" s="25" t="s">
        <v>1308</v>
      </c>
      <c r="B683" s="26" t="s">
        <v>1309</v>
      </c>
      <c r="C683" s="26" t="s">
        <v>1172</v>
      </c>
      <c r="D683" s="27">
        <v>1</v>
      </c>
      <c r="E683" s="27">
        <v>6</v>
      </c>
      <c r="F683" s="27">
        <v>0</v>
      </c>
      <c r="G683" s="27">
        <v>0</v>
      </c>
      <c r="H683" s="27">
        <v>6</v>
      </c>
      <c r="I683" s="27">
        <f>+IFERROR(VLOOKUP(A683,'[1]Pending Dispatch'!$N$2:$O$651,2,0),0)</f>
        <v>20</v>
      </c>
      <c r="J683" s="27">
        <f t="shared" si="10"/>
        <v>-14</v>
      </c>
      <c r="K683" s="28">
        <v>1.04</v>
      </c>
      <c r="L683" s="28">
        <v>17.68</v>
      </c>
      <c r="M683" s="26">
        <v>0</v>
      </c>
      <c r="N683" s="26">
        <v>0</v>
      </c>
    </row>
    <row r="684" spans="1:14" ht="15" customHeight="1" x14ac:dyDescent="0.3">
      <c r="A684" s="25" t="s">
        <v>1310</v>
      </c>
      <c r="B684" s="26" t="s">
        <v>1311</v>
      </c>
      <c r="C684" s="26" t="s">
        <v>1172</v>
      </c>
      <c r="D684" s="27">
        <v>1</v>
      </c>
      <c r="E684" s="27">
        <v>20</v>
      </c>
      <c r="F684" s="27">
        <v>0</v>
      </c>
      <c r="G684" s="27">
        <v>0</v>
      </c>
      <c r="H684" s="27">
        <v>20</v>
      </c>
      <c r="I684" s="27">
        <f>+IFERROR(VLOOKUP(A684,'[1]Pending Dispatch'!$N$2:$O$651,2,0),0)</f>
        <v>0</v>
      </c>
      <c r="J684" s="27">
        <f t="shared" si="10"/>
        <v>20</v>
      </c>
      <c r="K684" s="28">
        <v>1.56</v>
      </c>
      <c r="L684" s="28">
        <v>31.200000000000003</v>
      </c>
      <c r="M684" s="26">
        <v>0</v>
      </c>
      <c r="N684" s="26">
        <v>0</v>
      </c>
    </row>
    <row r="685" spans="1:14" ht="15" customHeight="1" x14ac:dyDescent="0.3">
      <c r="A685" s="25" t="s">
        <v>1312</v>
      </c>
      <c r="B685" s="26" t="s">
        <v>1313</v>
      </c>
      <c r="C685" s="26" t="s">
        <v>1172</v>
      </c>
      <c r="D685" s="27">
        <v>1</v>
      </c>
      <c r="E685" s="27">
        <v>0</v>
      </c>
      <c r="F685" s="27">
        <v>0</v>
      </c>
      <c r="G685" s="27">
        <v>0</v>
      </c>
      <c r="H685" s="27">
        <v>0</v>
      </c>
      <c r="I685" s="27">
        <f>+IFERROR(VLOOKUP(A685,'[1]Pending Dispatch'!$N$2:$O$651,2,0),0)</f>
        <v>0</v>
      </c>
      <c r="J685" s="27">
        <f t="shared" si="10"/>
        <v>0</v>
      </c>
      <c r="K685" s="28">
        <v>1.56</v>
      </c>
      <c r="L685" s="28">
        <v>0</v>
      </c>
      <c r="M685" s="26">
        <v>0</v>
      </c>
      <c r="N685" s="26">
        <v>0</v>
      </c>
    </row>
    <row r="686" spans="1:14" ht="15" customHeight="1" x14ac:dyDescent="0.3">
      <c r="A686" s="25" t="s">
        <v>1314</v>
      </c>
      <c r="B686" s="26" t="s">
        <v>1315</v>
      </c>
      <c r="C686" s="26" t="s">
        <v>1172</v>
      </c>
      <c r="D686" s="27">
        <v>1</v>
      </c>
      <c r="E686" s="27">
        <v>0</v>
      </c>
      <c r="F686" s="27">
        <v>0</v>
      </c>
      <c r="G686" s="27">
        <v>0</v>
      </c>
      <c r="H686" s="27">
        <v>0</v>
      </c>
      <c r="I686" s="27">
        <f>+IFERROR(VLOOKUP(A686,'[1]Pending Dispatch'!$N$2:$O$651,2,0),0)</f>
        <v>0</v>
      </c>
      <c r="J686" s="27">
        <f t="shared" si="10"/>
        <v>0</v>
      </c>
      <c r="K686" s="28">
        <v>1.04</v>
      </c>
      <c r="L686" s="28">
        <v>0</v>
      </c>
      <c r="M686" s="26">
        <v>312</v>
      </c>
      <c r="N686" s="26">
        <v>0</v>
      </c>
    </row>
    <row r="687" spans="1:14" ht="15" customHeight="1" x14ac:dyDescent="0.3">
      <c r="A687" s="25" t="s">
        <v>1316</v>
      </c>
      <c r="B687" s="26" t="s">
        <v>1317</v>
      </c>
      <c r="C687" s="26" t="s">
        <v>1172</v>
      </c>
      <c r="D687" s="27">
        <v>1</v>
      </c>
      <c r="E687" s="27">
        <v>421</v>
      </c>
      <c r="F687" s="27">
        <v>443</v>
      </c>
      <c r="G687" s="27">
        <v>400</v>
      </c>
      <c r="H687" s="27">
        <v>464</v>
      </c>
      <c r="I687" s="27">
        <f>+IFERROR(VLOOKUP(A687,'[1]Pending Dispatch'!$N$2:$O$651,2,0),0)</f>
        <v>200</v>
      </c>
      <c r="J687" s="27">
        <f t="shared" si="10"/>
        <v>264</v>
      </c>
      <c r="K687" s="28">
        <v>3.8</v>
      </c>
      <c r="L687" s="28">
        <v>121.6</v>
      </c>
      <c r="M687" s="26">
        <v>966</v>
      </c>
      <c r="N687" s="26">
        <v>-34776</v>
      </c>
    </row>
    <row r="688" spans="1:14" ht="15" customHeight="1" x14ac:dyDescent="0.3">
      <c r="A688" s="25" t="s">
        <v>1318</v>
      </c>
      <c r="B688" s="26" t="s">
        <v>1319</v>
      </c>
      <c r="C688" s="26" t="s">
        <v>1172</v>
      </c>
      <c r="D688" s="27">
        <v>1</v>
      </c>
      <c r="E688" s="27">
        <v>0</v>
      </c>
      <c r="F688" s="27">
        <v>0</v>
      </c>
      <c r="G688" s="27">
        <v>0</v>
      </c>
      <c r="H688" s="27">
        <v>0</v>
      </c>
      <c r="I688" s="27">
        <f>+IFERROR(VLOOKUP(A688,'[1]Pending Dispatch'!$N$2:$O$651,2,0),0)</f>
        <v>0</v>
      </c>
      <c r="J688" s="27">
        <f t="shared" si="10"/>
        <v>0</v>
      </c>
      <c r="K688" s="28">
        <v>3.8</v>
      </c>
      <c r="L688" s="28">
        <v>0</v>
      </c>
      <c r="M688" s="26">
        <v>972</v>
      </c>
      <c r="N688" s="26">
        <v>0</v>
      </c>
    </row>
    <row r="689" spans="1:14" ht="15" customHeight="1" x14ac:dyDescent="0.3">
      <c r="A689" s="25" t="s">
        <v>1320</v>
      </c>
      <c r="B689" s="26" t="s">
        <v>1321</v>
      </c>
      <c r="C689" s="26" t="s">
        <v>1172</v>
      </c>
      <c r="D689" s="27">
        <v>1</v>
      </c>
      <c r="E689" s="27">
        <v>228</v>
      </c>
      <c r="F689" s="27">
        <v>804</v>
      </c>
      <c r="G689" s="27">
        <v>800</v>
      </c>
      <c r="H689" s="27">
        <v>232</v>
      </c>
      <c r="I689" s="27">
        <f>+IFERROR(VLOOKUP(A689,'[1]Pending Dispatch'!$N$2:$O$651,2,0),0)</f>
        <v>540</v>
      </c>
      <c r="J689" s="27">
        <f t="shared" si="10"/>
        <v>-308</v>
      </c>
      <c r="K689" s="28">
        <v>7.5</v>
      </c>
      <c r="L689" s="28">
        <v>495</v>
      </c>
      <c r="M689" s="26">
        <v>1932</v>
      </c>
      <c r="N689" s="26">
        <v>-595056</v>
      </c>
    </row>
    <row r="690" spans="1:14" ht="15" customHeight="1" x14ac:dyDescent="0.3">
      <c r="A690" s="25" t="s">
        <v>1322</v>
      </c>
      <c r="B690" s="26" t="s">
        <v>1323</v>
      </c>
      <c r="C690" s="26" t="s">
        <v>1172</v>
      </c>
      <c r="D690" s="27">
        <v>1</v>
      </c>
      <c r="E690" s="27">
        <v>0</v>
      </c>
      <c r="F690" s="27">
        <v>0</v>
      </c>
      <c r="G690" s="27">
        <v>0</v>
      </c>
      <c r="H690" s="27">
        <v>0</v>
      </c>
      <c r="I690" s="27">
        <f>+IFERROR(VLOOKUP(A690,'[1]Pending Dispatch'!$N$2:$O$651,2,0),0)</f>
        <v>0</v>
      </c>
      <c r="J690" s="27">
        <f t="shared" si="10"/>
        <v>0</v>
      </c>
      <c r="K690" s="28">
        <v>7.5</v>
      </c>
      <c r="L690" s="28">
        <v>0</v>
      </c>
      <c r="M690" s="26">
        <v>1938</v>
      </c>
      <c r="N690" s="26">
        <v>0</v>
      </c>
    </row>
    <row r="691" spans="1:14" ht="15" customHeight="1" x14ac:dyDescent="0.3">
      <c r="A691" s="25" t="s">
        <v>1324</v>
      </c>
      <c r="B691" s="26" t="s">
        <v>1325</v>
      </c>
      <c r="C691" s="26" t="s">
        <v>1172</v>
      </c>
      <c r="D691" s="27">
        <v>1</v>
      </c>
      <c r="E691" s="27">
        <v>0</v>
      </c>
      <c r="F691" s="27">
        <v>0</v>
      </c>
      <c r="G691" s="27">
        <v>0</v>
      </c>
      <c r="H691" s="27">
        <v>0</v>
      </c>
      <c r="I691" s="27">
        <f>+IFERROR(VLOOKUP(A691,'[1]Pending Dispatch'!$N$2:$O$651,2,0),0)</f>
        <v>0</v>
      </c>
      <c r="J691" s="27">
        <f t="shared" si="10"/>
        <v>0</v>
      </c>
      <c r="K691" s="28">
        <v>0.76</v>
      </c>
      <c r="L691" s="28">
        <v>0</v>
      </c>
      <c r="M691" s="26">
        <v>240.54</v>
      </c>
      <c r="N691" s="26">
        <v>0</v>
      </c>
    </row>
    <row r="692" spans="1:14" ht="15" customHeight="1" x14ac:dyDescent="0.3">
      <c r="A692" s="25" t="s">
        <v>1326</v>
      </c>
      <c r="B692" s="26" t="s">
        <v>1327</v>
      </c>
      <c r="C692" s="26" t="s">
        <v>1172</v>
      </c>
      <c r="D692" s="27">
        <v>1</v>
      </c>
      <c r="E692" s="27">
        <v>0</v>
      </c>
      <c r="F692" s="27">
        <v>0</v>
      </c>
      <c r="G692" s="27">
        <v>0</v>
      </c>
      <c r="H692" s="27">
        <v>0</v>
      </c>
      <c r="I692" s="27">
        <f>+IFERROR(VLOOKUP(A692,'[1]Pending Dispatch'!$N$2:$O$651,2,0),0)</f>
        <v>0</v>
      </c>
      <c r="J692" s="27">
        <f t="shared" si="10"/>
        <v>0</v>
      </c>
      <c r="K692" s="28">
        <v>1.1400000000000001</v>
      </c>
      <c r="L692" s="28">
        <v>0</v>
      </c>
      <c r="M692" s="26">
        <v>349.13</v>
      </c>
      <c r="N692" s="26">
        <v>0</v>
      </c>
    </row>
    <row r="693" spans="1:14" ht="15" customHeight="1" x14ac:dyDescent="0.3">
      <c r="A693" s="25" t="s">
        <v>1328</v>
      </c>
      <c r="B693" s="26" t="s">
        <v>1329</v>
      </c>
      <c r="C693" s="26" t="s">
        <v>1172</v>
      </c>
      <c r="D693" s="27">
        <v>1</v>
      </c>
      <c r="E693" s="27">
        <v>0</v>
      </c>
      <c r="F693" s="27">
        <v>0</v>
      </c>
      <c r="G693" s="27">
        <v>0</v>
      </c>
      <c r="H693" s="27">
        <v>0</v>
      </c>
      <c r="I693" s="27">
        <f>+IFERROR(VLOOKUP(A693,'[1]Pending Dispatch'!$N$2:$O$651,2,0),0)</f>
        <v>0</v>
      </c>
      <c r="J693" s="27">
        <f t="shared" si="10"/>
        <v>0</v>
      </c>
      <c r="K693" s="28">
        <v>1.52</v>
      </c>
      <c r="L693" s="28">
        <v>0</v>
      </c>
      <c r="M693" s="26">
        <v>458</v>
      </c>
      <c r="N693" s="26">
        <v>0</v>
      </c>
    </row>
    <row r="694" spans="1:14" ht="15" customHeight="1" x14ac:dyDescent="0.3">
      <c r="A694" s="25" t="s">
        <v>1330</v>
      </c>
      <c r="B694" s="26" t="s">
        <v>1331</v>
      </c>
      <c r="C694" s="26" t="s">
        <v>1172</v>
      </c>
      <c r="D694" s="27">
        <v>1</v>
      </c>
      <c r="E694" s="27">
        <v>0</v>
      </c>
      <c r="F694" s="27">
        <v>0</v>
      </c>
      <c r="G694" s="27">
        <v>0</v>
      </c>
      <c r="H694" s="27">
        <v>0</v>
      </c>
      <c r="I694" s="27">
        <f>+IFERROR(VLOOKUP(A694,'[1]Pending Dispatch'!$N$2:$O$651,2,0),0)</f>
        <v>0</v>
      </c>
      <c r="J694" s="27">
        <f t="shared" si="10"/>
        <v>0</v>
      </c>
      <c r="K694" s="28">
        <v>2.2800000000000002</v>
      </c>
      <c r="L694" s="28">
        <v>0</v>
      </c>
      <c r="M694" s="26">
        <v>675.74</v>
      </c>
      <c r="N694" s="26">
        <v>0</v>
      </c>
    </row>
    <row r="695" spans="1:14" ht="15" customHeight="1" x14ac:dyDescent="0.3">
      <c r="A695" s="25" t="s">
        <v>1332</v>
      </c>
      <c r="B695" s="26" t="s">
        <v>1333</v>
      </c>
      <c r="C695" s="26" t="s">
        <v>1172</v>
      </c>
      <c r="D695" s="27">
        <v>1</v>
      </c>
      <c r="E695" s="27">
        <v>0</v>
      </c>
      <c r="F695" s="27">
        <v>0</v>
      </c>
      <c r="G695" s="27">
        <v>0</v>
      </c>
      <c r="H695" s="27">
        <v>0</v>
      </c>
      <c r="I695" s="27">
        <f>+IFERROR(VLOOKUP(A695,'[1]Pending Dispatch'!$N$2:$O$651,2,0),0)</f>
        <v>0</v>
      </c>
      <c r="J695" s="27">
        <f t="shared" si="10"/>
        <v>0</v>
      </c>
      <c r="K695" s="28">
        <v>2.2800000000000002</v>
      </c>
      <c r="L695" s="28">
        <v>0</v>
      </c>
      <c r="M695" s="26">
        <v>670</v>
      </c>
      <c r="N695" s="26">
        <v>0</v>
      </c>
    </row>
    <row r="696" spans="1:14" ht="15" customHeight="1" x14ac:dyDescent="0.3">
      <c r="A696" s="25" t="s">
        <v>1334</v>
      </c>
      <c r="B696" s="26" t="s">
        <v>1335</v>
      </c>
      <c r="C696" s="26" t="s">
        <v>1172</v>
      </c>
      <c r="D696" s="27">
        <v>1</v>
      </c>
      <c r="E696" s="27">
        <v>0</v>
      </c>
      <c r="F696" s="27">
        <v>0</v>
      </c>
      <c r="G696" s="27">
        <v>0</v>
      </c>
      <c r="H696" s="27">
        <v>0</v>
      </c>
      <c r="I696" s="27">
        <f>+IFERROR(VLOOKUP(A696,'[1]Pending Dispatch'!$N$2:$O$651,2,0),0)</f>
        <v>0</v>
      </c>
      <c r="J696" s="27">
        <f t="shared" si="10"/>
        <v>0</v>
      </c>
      <c r="K696" s="28">
        <v>1.52</v>
      </c>
      <c r="L696" s="28">
        <v>0</v>
      </c>
      <c r="M696" s="26">
        <v>452</v>
      </c>
      <c r="N696" s="26">
        <v>0</v>
      </c>
    </row>
    <row r="697" spans="1:14" ht="15" customHeight="1" x14ac:dyDescent="0.3">
      <c r="A697" s="25" t="s">
        <v>1336</v>
      </c>
      <c r="B697" s="26" t="s">
        <v>1337</v>
      </c>
      <c r="C697" s="26" t="s">
        <v>1172</v>
      </c>
      <c r="D697" s="27">
        <v>1</v>
      </c>
      <c r="E697" s="27">
        <v>14</v>
      </c>
      <c r="F697" s="27">
        <v>720</v>
      </c>
      <c r="G697" s="27">
        <v>200</v>
      </c>
      <c r="H697" s="27">
        <v>534</v>
      </c>
      <c r="I697" s="27">
        <f>+IFERROR(VLOOKUP(A697,'[1]Pending Dispatch'!$N$2:$O$651,2,0),0)</f>
        <v>0</v>
      </c>
      <c r="J697" s="27">
        <f t="shared" si="10"/>
        <v>534</v>
      </c>
      <c r="K697" s="28">
        <v>5.2</v>
      </c>
      <c r="L697" s="28">
        <v>686.4</v>
      </c>
      <c r="M697" s="26">
        <v>1378</v>
      </c>
      <c r="N697" s="26">
        <v>735852</v>
      </c>
    </row>
    <row r="698" spans="1:14" ht="15" customHeight="1" x14ac:dyDescent="0.3">
      <c r="A698" s="25" t="s">
        <v>1338</v>
      </c>
      <c r="B698" s="26" t="s">
        <v>1339</v>
      </c>
      <c r="C698" s="26" t="s">
        <v>1172</v>
      </c>
      <c r="D698" s="27">
        <v>1</v>
      </c>
      <c r="E698" s="27">
        <v>4</v>
      </c>
      <c r="F698" s="27">
        <v>0</v>
      </c>
      <c r="G698" s="27">
        <v>0</v>
      </c>
      <c r="H698" s="27">
        <v>4</v>
      </c>
      <c r="I698" s="27">
        <f>+IFERROR(VLOOKUP(A698,'[1]Pending Dispatch'!$N$2:$O$651,2,0),0)</f>
        <v>0</v>
      </c>
      <c r="J698" s="27">
        <f t="shared" si="10"/>
        <v>4</v>
      </c>
      <c r="K698" s="28">
        <v>5.2</v>
      </c>
      <c r="L698" s="28">
        <v>119.60000000000001</v>
      </c>
      <c r="M698" s="26">
        <v>1384</v>
      </c>
      <c r="N698" s="26">
        <v>5536</v>
      </c>
    </row>
    <row r="699" spans="1:14" ht="15" customHeight="1" x14ac:dyDescent="0.3">
      <c r="A699" s="25" t="s">
        <v>1340</v>
      </c>
      <c r="B699" s="26" t="s">
        <v>1341</v>
      </c>
      <c r="C699" s="26" t="s">
        <v>1172</v>
      </c>
      <c r="D699" s="27">
        <v>1</v>
      </c>
      <c r="E699" s="27">
        <v>0</v>
      </c>
      <c r="F699" s="27">
        <v>519</v>
      </c>
      <c r="G699" s="27">
        <v>100</v>
      </c>
      <c r="H699" s="27">
        <v>419</v>
      </c>
      <c r="I699" s="27">
        <f>+IFERROR(VLOOKUP(A699,'[1]Pending Dispatch'!$N$2:$O$651,2,0),0)</f>
        <v>40</v>
      </c>
      <c r="J699" s="27">
        <f t="shared" si="10"/>
        <v>379</v>
      </c>
      <c r="K699" s="28">
        <v>10.3</v>
      </c>
      <c r="L699" s="28">
        <v>834.30000000000007</v>
      </c>
      <c r="M699" s="26">
        <v>2756</v>
      </c>
      <c r="N699" s="26">
        <v>1044524</v>
      </c>
    </row>
    <row r="700" spans="1:14" ht="15" customHeight="1" x14ac:dyDescent="0.3">
      <c r="A700" s="25" t="s">
        <v>1342</v>
      </c>
      <c r="B700" s="26" t="s">
        <v>1343</v>
      </c>
      <c r="C700" s="26" t="s">
        <v>1172</v>
      </c>
      <c r="D700" s="27">
        <v>1</v>
      </c>
      <c r="E700" s="27">
        <v>0</v>
      </c>
      <c r="F700" s="27">
        <v>0</v>
      </c>
      <c r="G700" s="27">
        <v>0</v>
      </c>
      <c r="H700" s="27">
        <v>0</v>
      </c>
      <c r="I700" s="27">
        <f>+IFERROR(VLOOKUP(A700,'[1]Pending Dispatch'!$N$2:$O$651,2,0),0)</f>
        <v>0</v>
      </c>
      <c r="J700" s="27">
        <f t="shared" si="10"/>
        <v>0</v>
      </c>
      <c r="K700" s="28">
        <v>10.3</v>
      </c>
      <c r="L700" s="28">
        <v>0</v>
      </c>
      <c r="M700" s="26">
        <v>2762</v>
      </c>
      <c r="N700" s="26">
        <v>0</v>
      </c>
    </row>
    <row r="701" spans="1:14" ht="15" customHeight="1" x14ac:dyDescent="0.3">
      <c r="A701" s="25" t="s">
        <v>1344</v>
      </c>
      <c r="B701" s="26" t="s">
        <v>1345</v>
      </c>
      <c r="C701" s="26" t="s">
        <v>1172</v>
      </c>
      <c r="D701" s="27">
        <v>1</v>
      </c>
      <c r="E701" s="27">
        <v>0</v>
      </c>
      <c r="F701" s="27">
        <v>0</v>
      </c>
      <c r="G701" s="27">
        <v>0</v>
      </c>
      <c r="H701" s="27">
        <v>0</v>
      </c>
      <c r="I701" s="27">
        <f>+IFERROR(VLOOKUP(A701,'[1]Pending Dispatch'!$N$2:$O$651,2,0),0)</f>
        <v>0</v>
      </c>
      <c r="J701" s="27">
        <f t="shared" si="10"/>
        <v>0</v>
      </c>
      <c r="K701" s="28">
        <v>1.04</v>
      </c>
      <c r="L701" s="28">
        <v>0</v>
      </c>
      <c r="M701" s="26">
        <v>336</v>
      </c>
      <c r="N701" s="26">
        <v>0</v>
      </c>
    </row>
    <row r="702" spans="1:14" ht="15" customHeight="1" x14ac:dyDescent="0.3">
      <c r="A702" s="25" t="s">
        <v>1346</v>
      </c>
      <c r="B702" s="26" t="s">
        <v>1347</v>
      </c>
      <c r="C702" s="26" t="s">
        <v>1172</v>
      </c>
      <c r="D702" s="27">
        <v>1</v>
      </c>
      <c r="E702" s="27">
        <v>0</v>
      </c>
      <c r="F702" s="27">
        <v>0</v>
      </c>
      <c r="G702" s="27">
        <v>0</v>
      </c>
      <c r="H702" s="27">
        <v>0</v>
      </c>
      <c r="I702" s="27">
        <f>+IFERROR(VLOOKUP(A702,'[1]Pending Dispatch'!$N$2:$O$651,2,0),0)</f>
        <v>0</v>
      </c>
      <c r="J702" s="27">
        <f t="shared" si="10"/>
        <v>0</v>
      </c>
      <c r="K702" s="28">
        <v>1.56</v>
      </c>
      <c r="L702" s="28">
        <v>0</v>
      </c>
      <c r="M702" s="26">
        <v>488</v>
      </c>
      <c r="N702" s="26">
        <v>0</v>
      </c>
    </row>
    <row r="703" spans="1:14" ht="15" customHeight="1" x14ac:dyDescent="0.3">
      <c r="A703" s="25" t="s">
        <v>1348</v>
      </c>
      <c r="B703" s="26" t="s">
        <v>1349</v>
      </c>
      <c r="C703" s="26" t="s">
        <v>1172</v>
      </c>
      <c r="D703" s="27">
        <v>1</v>
      </c>
      <c r="E703" s="27">
        <v>0</v>
      </c>
      <c r="F703" s="27">
        <v>0</v>
      </c>
      <c r="G703" s="27">
        <v>0</v>
      </c>
      <c r="H703" s="27">
        <v>0</v>
      </c>
      <c r="I703" s="27">
        <f>+IFERROR(VLOOKUP(A703,'[1]Pending Dispatch'!$N$2:$O$651,2,0),0)</f>
        <v>0</v>
      </c>
      <c r="J703" s="27">
        <f t="shared" si="10"/>
        <v>0</v>
      </c>
      <c r="K703" s="28">
        <v>2.08</v>
      </c>
      <c r="L703" s="28">
        <v>0</v>
      </c>
      <c r="M703" s="26">
        <v>648</v>
      </c>
      <c r="N703" s="26">
        <v>0</v>
      </c>
    </row>
    <row r="704" spans="1:14" ht="15" customHeight="1" x14ac:dyDescent="0.3">
      <c r="A704" s="25" t="s">
        <v>1350</v>
      </c>
      <c r="B704" s="26" t="s">
        <v>1351</v>
      </c>
      <c r="C704" s="26" t="s">
        <v>1172</v>
      </c>
      <c r="D704" s="27">
        <v>1</v>
      </c>
      <c r="E704" s="27">
        <v>0</v>
      </c>
      <c r="F704" s="27">
        <v>0</v>
      </c>
      <c r="G704" s="27">
        <v>0</v>
      </c>
      <c r="H704" s="27">
        <v>0</v>
      </c>
      <c r="I704" s="27">
        <f>+IFERROR(VLOOKUP(A704,'[1]Pending Dispatch'!$N$2:$O$651,2,0),0)</f>
        <v>0</v>
      </c>
      <c r="J704" s="27">
        <f t="shared" si="10"/>
        <v>0</v>
      </c>
      <c r="K704" s="28">
        <v>3.12</v>
      </c>
      <c r="L704" s="28">
        <v>0</v>
      </c>
      <c r="M704" s="26">
        <v>938</v>
      </c>
      <c r="N704" s="26">
        <v>0</v>
      </c>
    </row>
    <row r="705" spans="1:14" ht="15" customHeight="1" x14ac:dyDescent="0.3">
      <c r="A705" s="25" t="s">
        <v>1352</v>
      </c>
      <c r="B705" s="26" t="s">
        <v>1353</v>
      </c>
      <c r="C705" s="26" t="s">
        <v>1172</v>
      </c>
      <c r="D705" s="27">
        <v>1</v>
      </c>
      <c r="E705" s="27">
        <v>0</v>
      </c>
      <c r="F705" s="27">
        <v>0</v>
      </c>
      <c r="G705" s="27">
        <v>0</v>
      </c>
      <c r="H705" s="27">
        <v>0</v>
      </c>
      <c r="I705" s="27">
        <f>+IFERROR(VLOOKUP(A705,'[1]Pending Dispatch'!$N$2:$O$651,2,0),0)</f>
        <v>0</v>
      </c>
      <c r="J705" s="27">
        <f t="shared" si="10"/>
        <v>0</v>
      </c>
      <c r="K705" s="28">
        <v>3.12</v>
      </c>
      <c r="L705" s="28">
        <v>0</v>
      </c>
      <c r="M705" s="26">
        <v>930</v>
      </c>
      <c r="N705" s="26">
        <v>0</v>
      </c>
    </row>
    <row r="706" spans="1:14" ht="15" customHeight="1" x14ac:dyDescent="0.3">
      <c r="A706" s="25" t="s">
        <v>1354</v>
      </c>
      <c r="B706" s="26" t="s">
        <v>1355</v>
      </c>
      <c r="C706" s="26" t="s">
        <v>1172</v>
      </c>
      <c r="D706" s="27">
        <v>1</v>
      </c>
      <c r="E706" s="27">
        <v>0</v>
      </c>
      <c r="F706" s="27">
        <v>0</v>
      </c>
      <c r="G706" s="27">
        <v>0</v>
      </c>
      <c r="H706" s="27">
        <v>0</v>
      </c>
      <c r="I706" s="27">
        <f>+IFERROR(VLOOKUP(A706,'[1]Pending Dispatch'!$N$2:$O$651,2,0),0)</f>
        <v>0</v>
      </c>
      <c r="J706" s="27">
        <f t="shared" si="10"/>
        <v>0</v>
      </c>
      <c r="K706" s="28">
        <v>2.08</v>
      </c>
      <c r="L706" s="28">
        <v>0</v>
      </c>
      <c r="M706" s="26">
        <v>640</v>
      </c>
      <c r="N706" s="26">
        <v>0</v>
      </c>
    </row>
    <row r="707" spans="1:14" ht="15" customHeight="1" x14ac:dyDescent="0.3">
      <c r="A707" s="25" t="s">
        <v>1356</v>
      </c>
      <c r="B707" s="26" t="s">
        <v>1357</v>
      </c>
      <c r="C707" s="26" t="s">
        <v>1172</v>
      </c>
      <c r="D707" s="27">
        <v>1</v>
      </c>
      <c r="E707" s="27">
        <v>220</v>
      </c>
      <c r="F707" s="27">
        <v>0</v>
      </c>
      <c r="G707" s="27">
        <v>0</v>
      </c>
      <c r="H707" s="27">
        <v>220</v>
      </c>
      <c r="I707" s="27">
        <f>+IFERROR(VLOOKUP(A707,'[1]Pending Dispatch'!$N$2:$O$651,2,0),0)</f>
        <v>0</v>
      </c>
      <c r="J707" s="27">
        <f t="shared" si="10"/>
        <v>220</v>
      </c>
      <c r="K707" s="28">
        <v>3.6</v>
      </c>
      <c r="L707" s="28">
        <v>792</v>
      </c>
      <c r="M707" s="26">
        <v>921</v>
      </c>
      <c r="N707" s="26">
        <v>202620</v>
      </c>
    </row>
    <row r="708" spans="1:14" ht="15" customHeight="1" x14ac:dyDescent="0.3">
      <c r="A708" s="25" t="s">
        <v>1358</v>
      </c>
      <c r="B708" s="26" t="s">
        <v>1359</v>
      </c>
      <c r="C708" s="26" t="s">
        <v>1172</v>
      </c>
      <c r="D708" s="27">
        <v>1</v>
      </c>
      <c r="E708" s="27">
        <v>0</v>
      </c>
      <c r="F708" s="27">
        <v>0</v>
      </c>
      <c r="G708" s="27">
        <v>0</v>
      </c>
      <c r="H708" s="27">
        <v>0</v>
      </c>
      <c r="I708" s="27">
        <f>+IFERROR(VLOOKUP(A708,'[1]Pending Dispatch'!$N$2:$O$651,2,0),0)</f>
        <v>0</v>
      </c>
      <c r="J708" s="27">
        <f t="shared" si="10"/>
        <v>0</v>
      </c>
      <c r="K708" s="28">
        <v>3.6</v>
      </c>
      <c r="L708" s="28">
        <v>0</v>
      </c>
      <c r="M708" s="26">
        <v>927</v>
      </c>
      <c r="N708" s="26">
        <v>0</v>
      </c>
    </row>
    <row r="709" spans="1:14" ht="15" customHeight="1" x14ac:dyDescent="0.3">
      <c r="A709" s="25" t="s">
        <v>1360</v>
      </c>
      <c r="B709" s="26" t="s">
        <v>1361</v>
      </c>
      <c r="C709" s="26" t="s">
        <v>1172</v>
      </c>
      <c r="D709" s="27">
        <v>1</v>
      </c>
      <c r="E709" s="27">
        <v>167</v>
      </c>
      <c r="F709" s="27">
        <v>0</v>
      </c>
      <c r="G709" s="27">
        <v>0</v>
      </c>
      <c r="H709" s="27">
        <v>167</v>
      </c>
      <c r="I709" s="27">
        <f>+IFERROR(VLOOKUP(A709,'[1]Pending Dispatch'!$N$2:$O$651,2,0),0)</f>
        <v>0</v>
      </c>
      <c r="J709" s="27">
        <f t="shared" si="10"/>
        <v>167</v>
      </c>
      <c r="K709" s="28">
        <v>7.1</v>
      </c>
      <c r="L709" s="28">
        <v>1185.7</v>
      </c>
      <c r="M709" s="26">
        <v>1842</v>
      </c>
      <c r="N709" s="26">
        <v>307614</v>
      </c>
    </row>
    <row r="710" spans="1:14" ht="15" customHeight="1" x14ac:dyDescent="0.3">
      <c r="A710" s="25" t="s">
        <v>1362</v>
      </c>
      <c r="B710" s="26" t="s">
        <v>1363</v>
      </c>
      <c r="C710" s="26" t="s">
        <v>1172</v>
      </c>
      <c r="D710" s="27">
        <v>1</v>
      </c>
      <c r="E710" s="27">
        <v>0</v>
      </c>
      <c r="F710" s="27">
        <v>0</v>
      </c>
      <c r="G710" s="27">
        <v>0</v>
      </c>
      <c r="H710" s="27">
        <v>0</v>
      </c>
      <c r="I710" s="27">
        <f>+IFERROR(VLOOKUP(A710,'[1]Pending Dispatch'!$N$2:$O$651,2,0),0)</f>
        <v>0</v>
      </c>
      <c r="J710" s="27">
        <f t="shared" ref="J710:J773" si="11">+H710-I710</f>
        <v>0</v>
      </c>
      <c r="K710" s="28">
        <v>7.1</v>
      </c>
      <c r="L710" s="28">
        <v>0</v>
      </c>
      <c r="M710" s="26">
        <v>1848</v>
      </c>
      <c r="N710" s="26">
        <v>0</v>
      </c>
    </row>
    <row r="711" spans="1:14" ht="15" customHeight="1" x14ac:dyDescent="0.3">
      <c r="A711" s="25" t="s">
        <v>1364</v>
      </c>
      <c r="B711" s="26" t="s">
        <v>1365</v>
      </c>
      <c r="C711" s="26" t="s">
        <v>1172</v>
      </c>
      <c r="D711" s="27">
        <v>1</v>
      </c>
      <c r="E711" s="27">
        <v>0</v>
      </c>
      <c r="F711" s="27">
        <v>0</v>
      </c>
      <c r="G711" s="27">
        <v>0</v>
      </c>
      <c r="H711" s="27">
        <v>0</v>
      </c>
      <c r="I711" s="27">
        <f>+IFERROR(VLOOKUP(A711,'[1]Pending Dispatch'!$N$2:$O$651,2,0),0)</f>
        <v>0</v>
      </c>
      <c r="J711" s="27">
        <f t="shared" si="11"/>
        <v>0</v>
      </c>
      <c r="K711" s="28">
        <v>0.72</v>
      </c>
      <c r="L711" s="28">
        <v>0</v>
      </c>
      <c r="M711" s="26">
        <v>222.3</v>
      </c>
      <c r="N711" s="26">
        <v>0</v>
      </c>
    </row>
    <row r="712" spans="1:14" ht="15" customHeight="1" x14ac:dyDescent="0.3">
      <c r="A712" s="25" t="s">
        <v>1366</v>
      </c>
      <c r="B712" s="26" t="s">
        <v>1367</v>
      </c>
      <c r="C712" s="26" t="s">
        <v>1172</v>
      </c>
      <c r="D712" s="27">
        <v>1</v>
      </c>
      <c r="E712" s="27">
        <v>0</v>
      </c>
      <c r="F712" s="27">
        <v>0</v>
      </c>
      <c r="G712" s="27">
        <v>0</v>
      </c>
      <c r="H712" s="27">
        <v>0</v>
      </c>
      <c r="I712" s="27">
        <f>+IFERROR(VLOOKUP(A712,'[1]Pending Dispatch'!$N$2:$O$651,2,0),0)</f>
        <v>0</v>
      </c>
      <c r="J712" s="27">
        <f t="shared" si="11"/>
        <v>0</v>
      </c>
      <c r="K712" s="28">
        <v>1.08</v>
      </c>
      <c r="L712" s="28">
        <v>0</v>
      </c>
      <c r="M712" s="26">
        <v>325.47000000000003</v>
      </c>
      <c r="N712" s="26">
        <v>0</v>
      </c>
    </row>
    <row r="713" spans="1:14" ht="15" customHeight="1" x14ac:dyDescent="0.3">
      <c r="A713" s="25" t="s">
        <v>1368</v>
      </c>
      <c r="B713" s="26" t="s">
        <v>1369</v>
      </c>
      <c r="C713" s="26" t="s">
        <v>1172</v>
      </c>
      <c r="D713" s="27">
        <v>1</v>
      </c>
      <c r="E713" s="27">
        <v>0</v>
      </c>
      <c r="F713" s="27">
        <v>0</v>
      </c>
      <c r="G713" s="27">
        <v>0</v>
      </c>
      <c r="H713" s="27">
        <v>0</v>
      </c>
      <c r="I713" s="27">
        <f>+IFERROR(VLOOKUP(A713,'[1]Pending Dispatch'!$N$2:$O$651,2,0),0)</f>
        <v>0</v>
      </c>
      <c r="J713" s="27">
        <f t="shared" si="11"/>
        <v>0</v>
      </c>
      <c r="K713" s="28">
        <v>1.44</v>
      </c>
      <c r="L713" s="28">
        <v>0</v>
      </c>
      <c r="M713" s="26">
        <v>428.93</v>
      </c>
      <c r="N713" s="26">
        <v>0</v>
      </c>
    </row>
    <row r="714" spans="1:14" ht="15" customHeight="1" x14ac:dyDescent="0.3">
      <c r="A714" s="25" t="s">
        <v>1370</v>
      </c>
      <c r="B714" s="26" t="s">
        <v>1371</v>
      </c>
      <c r="C714" s="26" t="s">
        <v>1172</v>
      </c>
      <c r="D714" s="27">
        <v>1</v>
      </c>
      <c r="E714" s="27">
        <v>0</v>
      </c>
      <c r="F714" s="27">
        <v>0</v>
      </c>
      <c r="G714" s="27">
        <v>0</v>
      </c>
      <c r="H714" s="27">
        <v>0</v>
      </c>
      <c r="I714" s="27">
        <f>+IFERROR(VLOOKUP(A714,'[1]Pending Dispatch'!$N$2:$O$651,2,0),0)</f>
        <v>0</v>
      </c>
      <c r="J714" s="27">
        <f t="shared" si="11"/>
        <v>0</v>
      </c>
      <c r="K714" s="28">
        <v>2.16</v>
      </c>
      <c r="L714" s="28">
        <v>0</v>
      </c>
      <c r="M714" s="26">
        <v>635.84</v>
      </c>
      <c r="N714" s="26">
        <v>0</v>
      </c>
    </row>
    <row r="715" spans="1:14" ht="15" customHeight="1" x14ac:dyDescent="0.3">
      <c r="A715" s="25" t="s">
        <v>1372</v>
      </c>
      <c r="B715" s="26" t="s">
        <v>1373</v>
      </c>
      <c r="C715" s="26" t="s">
        <v>1172</v>
      </c>
      <c r="D715" s="27">
        <v>1</v>
      </c>
      <c r="E715" s="27">
        <v>0</v>
      </c>
      <c r="F715" s="27">
        <v>0</v>
      </c>
      <c r="G715" s="27">
        <v>0</v>
      </c>
      <c r="H715" s="27">
        <v>0</v>
      </c>
      <c r="I715" s="27">
        <f>+IFERROR(VLOOKUP(A715,'[1]Pending Dispatch'!$N$2:$O$651,2,0),0)</f>
        <v>0</v>
      </c>
      <c r="J715" s="27">
        <f t="shared" si="11"/>
        <v>0</v>
      </c>
      <c r="K715" s="28">
        <v>2.16</v>
      </c>
      <c r="L715" s="28">
        <v>0</v>
      </c>
      <c r="M715" s="26">
        <v>630</v>
      </c>
      <c r="N715" s="26">
        <v>0</v>
      </c>
    </row>
    <row r="716" spans="1:14" ht="15" customHeight="1" x14ac:dyDescent="0.3">
      <c r="A716" s="25" t="s">
        <v>1374</v>
      </c>
      <c r="B716" s="26" t="s">
        <v>1375</v>
      </c>
      <c r="C716" s="26" t="s">
        <v>1172</v>
      </c>
      <c r="D716" s="27">
        <v>1</v>
      </c>
      <c r="E716" s="27">
        <v>0</v>
      </c>
      <c r="F716" s="27">
        <v>0</v>
      </c>
      <c r="G716" s="27">
        <v>0</v>
      </c>
      <c r="H716" s="27">
        <v>0</v>
      </c>
      <c r="I716" s="27">
        <f>+IFERROR(VLOOKUP(A716,'[1]Pending Dispatch'!$N$2:$O$651,2,0),0)</f>
        <v>0</v>
      </c>
      <c r="J716" s="27">
        <f t="shared" si="11"/>
        <v>0</v>
      </c>
      <c r="K716" s="28">
        <v>1.44</v>
      </c>
      <c r="L716" s="28">
        <v>0</v>
      </c>
      <c r="M716" s="26">
        <v>424</v>
      </c>
      <c r="N716" s="26">
        <v>0</v>
      </c>
    </row>
    <row r="717" spans="1:14" ht="15" customHeight="1" x14ac:dyDescent="0.3">
      <c r="A717" s="25" t="s">
        <v>1376</v>
      </c>
      <c r="B717" s="26" t="s">
        <v>1377</v>
      </c>
      <c r="C717" s="26" t="s">
        <v>1172</v>
      </c>
      <c r="D717" s="27">
        <v>1</v>
      </c>
      <c r="E717" s="27">
        <v>116</v>
      </c>
      <c r="F717" s="27">
        <v>0</v>
      </c>
      <c r="G717" s="27">
        <v>0</v>
      </c>
      <c r="H717" s="27">
        <v>116</v>
      </c>
      <c r="I717" s="27">
        <f>+IFERROR(VLOOKUP(A717,'[1]Pending Dispatch'!$N$2:$O$651,2,0),0)</f>
        <v>0</v>
      </c>
      <c r="J717" s="27">
        <f t="shared" si="11"/>
        <v>116</v>
      </c>
      <c r="K717" s="28">
        <v>9.1</v>
      </c>
      <c r="L717" s="28">
        <v>1055.5999999999999</v>
      </c>
      <c r="M717" s="26">
        <v>2488</v>
      </c>
      <c r="N717" s="26">
        <v>288608</v>
      </c>
    </row>
    <row r="718" spans="1:14" ht="15" customHeight="1" x14ac:dyDescent="0.3">
      <c r="A718" s="25" t="s">
        <v>1378</v>
      </c>
      <c r="B718" s="26" t="s">
        <v>1379</v>
      </c>
      <c r="C718" s="26" t="s">
        <v>1172</v>
      </c>
      <c r="D718" s="27">
        <v>1</v>
      </c>
      <c r="E718" s="27">
        <v>5</v>
      </c>
      <c r="F718" s="27">
        <v>0</v>
      </c>
      <c r="G718" s="27">
        <v>0</v>
      </c>
      <c r="H718" s="27">
        <v>5</v>
      </c>
      <c r="I718" s="27">
        <f>+IFERROR(VLOOKUP(A718,'[1]Pending Dispatch'!$N$2:$O$651,2,0),0)</f>
        <v>0</v>
      </c>
      <c r="J718" s="27">
        <f t="shared" si="11"/>
        <v>5</v>
      </c>
      <c r="K718" s="28">
        <v>9.1</v>
      </c>
      <c r="L718" s="28">
        <v>45.5</v>
      </c>
      <c r="M718" s="26">
        <v>2498</v>
      </c>
      <c r="N718" s="26">
        <v>12490</v>
      </c>
    </row>
    <row r="719" spans="1:14" ht="15" customHeight="1" x14ac:dyDescent="0.3">
      <c r="A719" s="25" t="s">
        <v>1380</v>
      </c>
      <c r="B719" s="26" t="s">
        <v>1381</v>
      </c>
      <c r="C719" s="26" t="s">
        <v>1172</v>
      </c>
      <c r="D719" s="27">
        <v>1</v>
      </c>
      <c r="E719" s="27">
        <v>26</v>
      </c>
      <c r="F719" s="27">
        <v>289</v>
      </c>
      <c r="G719" s="27">
        <v>95</v>
      </c>
      <c r="H719" s="27">
        <v>220</v>
      </c>
      <c r="I719" s="27">
        <f>+IFERROR(VLOOKUP(A719,'[1]Pending Dispatch'!$N$2:$O$651,2,0),0)</f>
        <v>0</v>
      </c>
      <c r="J719" s="27">
        <f t="shared" si="11"/>
        <v>220</v>
      </c>
      <c r="K719" s="28">
        <v>18.100000000000001</v>
      </c>
      <c r="L719" s="28">
        <v>0</v>
      </c>
      <c r="M719" s="26">
        <v>4976</v>
      </c>
      <c r="N719" s="26">
        <v>1094720</v>
      </c>
    </row>
    <row r="720" spans="1:14" ht="15" customHeight="1" x14ac:dyDescent="0.3">
      <c r="A720" s="25" t="s">
        <v>1382</v>
      </c>
      <c r="B720" s="26" t="s">
        <v>1383</v>
      </c>
      <c r="C720" s="26" t="s">
        <v>1172</v>
      </c>
      <c r="D720" s="27">
        <v>1</v>
      </c>
      <c r="E720" s="27">
        <v>0</v>
      </c>
      <c r="F720" s="27">
        <v>0</v>
      </c>
      <c r="G720" s="27">
        <v>0</v>
      </c>
      <c r="H720" s="27">
        <v>0</v>
      </c>
      <c r="I720" s="27">
        <f>+IFERROR(VLOOKUP(A720,'[1]Pending Dispatch'!$N$2:$O$651,2,0),0)</f>
        <v>0</v>
      </c>
      <c r="J720" s="27">
        <f t="shared" si="11"/>
        <v>0</v>
      </c>
      <c r="K720" s="28">
        <v>18.100000000000001</v>
      </c>
      <c r="L720" s="28">
        <v>0</v>
      </c>
      <c r="M720" s="26">
        <v>4986</v>
      </c>
      <c r="N720" s="26">
        <v>0</v>
      </c>
    </row>
    <row r="721" spans="1:14" ht="15" customHeight="1" x14ac:dyDescent="0.3">
      <c r="A721" s="25" t="s">
        <v>1384</v>
      </c>
      <c r="B721" s="26" t="s">
        <v>1385</v>
      </c>
      <c r="C721" s="26" t="s">
        <v>1172</v>
      </c>
      <c r="D721" s="27">
        <v>1</v>
      </c>
      <c r="E721" s="27">
        <v>0</v>
      </c>
      <c r="F721" s="27">
        <v>0</v>
      </c>
      <c r="G721" s="27">
        <v>0</v>
      </c>
      <c r="H721" s="27">
        <v>0</v>
      </c>
      <c r="I721" s="27">
        <f>+IFERROR(VLOOKUP(A721,'[1]Pending Dispatch'!$N$2:$O$651,2,0),0)</f>
        <v>0</v>
      </c>
      <c r="J721" s="27">
        <f t="shared" si="11"/>
        <v>0</v>
      </c>
      <c r="K721" s="28">
        <v>1.8199999999999998</v>
      </c>
      <c r="L721" s="28">
        <v>0</v>
      </c>
      <c r="M721" s="26">
        <v>588</v>
      </c>
      <c r="N721" s="26">
        <v>0</v>
      </c>
    </row>
    <row r="722" spans="1:14" ht="15" customHeight="1" x14ac:dyDescent="0.3">
      <c r="A722" s="25" t="s">
        <v>1386</v>
      </c>
      <c r="B722" s="26" t="s">
        <v>1387</v>
      </c>
      <c r="C722" s="26" t="s">
        <v>1172</v>
      </c>
      <c r="D722" s="27">
        <v>1</v>
      </c>
      <c r="E722" s="27">
        <v>0</v>
      </c>
      <c r="F722" s="27">
        <v>0</v>
      </c>
      <c r="G722" s="27">
        <v>0</v>
      </c>
      <c r="H722" s="27">
        <v>0</v>
      </c>
      <c r="I722" s="27">
        <f>+IFERROR(VLOOKUP(A722,'[1]Pending Dispatch'!$N$2:$O$651,2,0),0)</f>
        <v>0</v>
      </c>
      <c r="J722" s="27">
        <f t="shared" si="11"/>
        <v>0</v>
      </c>
      <c r="K722" s="28">
        <v>2.7299999999999995</v>
      </c>
      <c r="L722" s="28">
        <v>0</v>
      </c>
      <c r="M722" s="26">
        <v>882</v>
      </c>
      <c r="N722" s="26">
        <v>0</v>
      </c>
    </row>
    <row r="723" spans="1:14" ht="15" customHeight="1" x14ac:dyDescent="0.3">
      <c r="A723" s="25" t="s">
        <v>1388</v>
      </c>
      <c r="B723" s="26" t="s">
        <v>1389</v>
      </c>
      <c r="C723" s="26" t="s">
        <v>1172</v>
      </c>
      <c r="D723" s="27">
        <v>1</v>
      </c>
      <c r="E723" s="27">
        <v>0</v>
      </c>
      <c r="F723" s="27">
        <v>0</v>
      </c>
      <c r="G723" s="27">
        <v>0</v>
      </c>
      <c r="H723" s="27">
        <v>0</v>
      </c>
      <c r="I723" s="27">
        <f>+IFERROR(VLOOKUP(A723,'[1]Pending Dispatch'!$N$2:$O$651,2,0),0)</f>
        <v>0</v>
      </c>
      <c r="J723" s="27">
        <f t="shared" si="11"/>
        <v>0</v>
      </c>
      <c r="K723" s="28">
        <v>3.6399999999999997</v>
      </c>
      <c r="L723" s="28">
        <v>0</v>
      </c>
      <c r="M723" s="26">
        <v>1176</v>
      </c>
      <c r="N723" s="26">
        <v>0</v>
      </c>
    </row>
    <row r="724" spans="1:14" ht="15" customHeight="1" x14ac:dyDescent="0.3">
      <c r="A724" s="25" t="s">
        <v>1390</v>
      </c>
      <c r="B724" s="26" t="s">
        <v>1391</v>
      </c>
      <c r="C724" s="26" t="s">
        <v>1172</v>
      </c>
      <c r="D724" s="27">
        <v>1</v>
      </c>
      <c r="E724" s="27">
        <v>0</v>
      </c>
      <c r="F724" s="27">
        <v>0</v>
      </c>
      <c r="G724" s="27">
        <v>0</v>
      </c>
      <c r="H724" s="27">
        <v>0</v>
      </c>
      <c r="I724" s="27">
        <f>+IFERROR(VLOOKUP(A724,'[1]Pending Dispatch'!$N$2:$O$651,2,0),0)</f>
        <v>0</v>
      </c>
      <c r="J724" s="27">
        <f t="shared" si="11"/>
        <v>0</v>
      </c>
      <c r="K724" s="28">
        <v>5.4599999999999991</v>
      </c>
      <c r="L724" s="28">
        <v>0</v>
      </c>
      <c r="M724" s="26">
        <v>1764</v>
      </c>
      <c r="N724" s="26">
        <v>0</v>
      </c>
    </row>
    <row r="725" spans="1:14" ht="15" customHeight="1" x14ac:dyDescent="0.3">
      <c r="A725" s="25" t="s">
        <v>1392</v>
      </c>
      <c r="B725" s="26" t="s">
        <v>1393</v>
      </c>
      <c r="C725" s="26" t="s">
        <v>1172</v>
      </c>
      <c r="D725" s="27">
        <v>1</v>
      </c>
      <c r="E725" s="27">
        <v>0</v>
      </c>
      <c r="F725" s="27">
        <v>0</v>
      </c>
      <c r="G725" s="27">
        <v>0</v>
      </c>
      <c r="H725" s="27">
        <v>0</v>
      </c>
      <c r="I725" s="27">
        <f>+IFERROR(VLOOKUP(A725,'[1]Pending Dispatch'!$N$2:$O$651,2,0),0)</f>
        <v>0</v>
      </c>
      <c r="J725" s="27">
        <f t="shared" si="11"/>
        <v>0</v>
      </c>
      <c r="K725" s="28">
        <v>5.46</v>
      </c>
      <c r="L725" s="28">
        <v>0</v>
      </c>
      <c r="M725" s="26">
        <v>1748</v>
      </c>
      <c r="N725" s="26">
        <v>0</v>
      </c>
    </row>
    <row r="726" spans="1:14" ht="15" customHeight="1" x14ac:dyDescent="0.3">
      <c r="A726" s="25" t="s">
        <v>1394</v>
      </c>
      <c r="B726" s="26" t="s">
        <v>1395</v>
      </c>
      <c r="C726" s="26" t="s">
        <v>1172</v>
      </c>
      <c r="D726" s="27">
        <v>1</v>
      </c>
      <c r="E726" s="27">
        <v>0</v>
      </c>
      <c r="F726" s="27">
        <v>0</v>
      </c>
      <c r="G726" s="27">
        <v>0</v>
      </c>
      <c r="H726" s="27">
        <v>0</v>
      </c>
      <c r="I726" s="27">
        <f>+IFERROR(VLOOKUP(A726,'[1]Pending Dispatch'!$N$2:$O$651,2,0),0)</f>
        <v>0</v>
      </c>
      <c r="J726" s="27">
        <f t="shared" si="11"/>
        <v>0</v>
      </c>
      <c r="K726" s="28">
        <v>3.64</v>
      </c>
      <c r="L726" s="28">
        <v>0</v>
      </c>
      <c r="M726" s="26">
        <v>1160</v>
      </c>
      <c r="N726" s="26">
        <v>0</v>
      </c>
    </row>
    <row r="727" spans="1:14" ht="15" customHeight="1" x14ac:dyDescent="0.3">
      <c r="A727" s="25" t="s">
        <v>1396</v>
      </c>
      <c r="B727" s="26" t="s">
        <v>1397</v>
      </c>
      <c r="C727" s="26" t="s">
        <v>1172</v>
      </c>
      <c r="D727" s="27">
        <v>1</v>
      </c>
      <c r="E727" s="27">
        <v>176</v>
      </c>
      <c r="F727" s="27">
        <v>0</v>
      </c>
      <c r="G727" s="27">
        <v>150</v>
      </c>
      <c r="H727" s="27">
        <v>26</v>
      </c>
      <c r="I727" s="27">
        <f>+IFERROR(VLOOKUP(A727,'[1]Pending Dispatch'!$N$2:$O$651,2,0),0)</f>
        <v>50</v>
      </c>
      <c r="J727" s="27">
        <f t="shared" si="11"/>
        <v>-24</v>
      </c>
      <c r="K727" s="28">
        <v>7.6</v>
      </c>
      <c r="L727" s="28">
        <v>1018.4</v>
      </c>
      <c r="M727" s="26">
        <v>2922</v>
      </c>
      <c r="N727" s="26">
        <v>-289278</v>
      </c>
    </row>
    <row r="728" spans="1:14" ht="15" customHeight="1" x14ac:dyDescent="0.3">
      <c r="A728" s="25" t="s">
        <v>1398</v>
      </c>
      <c r="B728" s="26" t="s">
        <v>1399</v>
      </c>
      <c r="C728" s="26" t="s">
        <v>1172</v>
      </c>
      <c r="D728" s="27">
        <v>1</v>
      </c>
      <c r="E728" s="27">
        <v>0</v>
      </c>
      <c r="F728" s="27">
        <v>0</v>
      </c>
      <c r="G728" s="27">
        <v>0</v>
      </c>
      <c r="H728" s="27">
        <v>0</v>
      </c>
      <c r="I728" s="27">
        <f>+IFERROR(VLOOKUP(A728,'[1]Pending Dispatch'!$N$2:$O$651,2,0),0)</f>
        <v>0</v>
      </c>
      <c r="J728" s="27">
        <f t="shared" si="11"/>
        <v>0</v>
      </c>
      <c r="K728" s="28">
        <v>7.6</v>
      </c>
      <c r="L728" s="28">
        <v>0</v>
      </c>
      <c r="M728" s="26">
        <v>2048</v>
      </c>
      <c r="N728" s="26">
        <v>0</v>
      </c>
    </row>
    <row r="729" spans="1:14" ht="15" customHeight="1" x14ac:dyDescent="0.3">
      <c r="A729" s="25" t="s">
        <v>1400</v>
      </c>
      <c r="B729" s="26" t="s">
        <v>1401</v>
      </c>
      <c r="C729" s="26" t="s">
        <v>1172</v>
      </c>
      <c r="D729" s="27">
        <v>1</v>
      </c>
      <c r="E729" s="27">
        <v>105</v>
      </c>
      <c r="F729" s="27">
        <v>0</v>
      </c>
      <c r="G729" s="27">
        <v>105</v>
      </c>
      <c r="H729" s="27">
        <v>0</v>
      </c>
      <c r="I729" s="27">
        <f>+IFERROR(VLOOKUP(A729,'[1]Pending Dispatch'!$N$2:$O$651,2,0),0)</f>
        <v>110</v>
      </c>
      <c r="J729" s="27">
        <f t="shared" si="11"/>
        <v>-110</v>
      </c>
      <c r="K729" s="28">
        <v>15.1</v>
      </c>
      <c r="L729" s="28">
        <v>0</v>
      </c>
      <c r="M729" s="26">
        <v>4076</v>
      </c>
      <c r="N729" s="26">
        <v>-448360</v>
      </c>
    </row>
    <row r="730" spans="1:14" ht="15" customHeight="1" x14ac:dyDescent="0.3">
      <c r="A730" s="25" t="s">
        <v>1402</v>
      </c>
      <c r="B730" s="26" t="s">
        <v>1403</v>
      </c>
      <c r="C730" s="26" t="s">
        <v>1172</v>
      </c>
      <c r="D730" s="27">
        <v>1</v>
      </c>
      <c r="E730" s="27">
        <v>0</v>
      </c>
      <c r="F730" s="27">
        <v>0</v>
      </c>
      <c r="G730" s="27">
        <v>0</v>
      </c>
      <c r="H730" s="27">
        <v>0</v>
      </c>
      <c r="I730" s="27">
        <f>+IFERROR(VLOOKUP(A730,'[1]Pending Dispatch'!$N$2:$O$651,2,0),0)</f>
        <v>0</v>
      </c>
      <c r="J730" s="27">
        <f t="shared" si="11"/>
        <v>0</v>
      </c>
      <c r="K730" s="28">
        <v>15.1</v>
      </c>
      <c r="L730" s="28">
        <v>0</v>
      </c>
      <c r="M730" s="26">
        <v>4086</v>
      </c>
      <c r="N730" s="26">
        <v>0</v>
      </c>
    </row>
    <row r="731" spans="1:14" ht="15" customHeight="1" x14ac:dyDescent="0.3">
      <c r="A731" s="25" t="s">
        <v>1404</v>
      </c>
      <c r="B731" s="26" t="s">
        <v>1405</v>
      </c>
      <c r="C731" s="26" t="s">
        <v>1172</v>
      </c>
      <c r="D731" s="27">
        <v>1</v>
      </c>
      <c r="E731" s="27">
        <v>0</v>
      </c>
      <c r="F731" s="27">
        <v>0</v>
      </c>
      <c r="G731" s="27">
        <v>0</v>
      </c>
      <c r="H731" s="27">
        <v>0</v>
      </c>
      <c r="I731" s="27">
        <f>+IFERROR(VLOOKUP(A731,'[1]Pending Dispatch'!$N$2:$O$651,2,0),0)</f>
        <v>0</v>
      </c>
      <c r="J731" s="27">
        <f t="shared" si="11"/>
        <v>0</v>
      </c>
      <c r="K731" s="28">
        <v>1.52</v>
      </c>
      <c r="L731" s="28">
        <v>0</v>
      </c>
      <c r="M731" s="26">
        <v>512</v>
      </c>
      <c r="N731" s="26">
        <v>0</v>
      </c>
    </row>
    <row r="732" spans="1:14" ht="15" customHeight="1" x14ac:dyDescent="0.3">
      <c r="A732" s="25" t="s">
        <v>1406</v>
      </c>
      <c r="B732" s="26" t="s">
        <v>1407</v>
      </c>
      <c r="C732" s="26" t="s">
        <v>1172</v>
      </c>
      <c r="D732" s="27">
        <v>1</v>
      </c>
      <c r="E732" s="27">
        <v>0</v>
      </c>
      <c r="F732" s="27">
        <v>0</v>
      </c>
      <c r="G732" s="27">
        <v>0</v>
      </c>
      <c r="H732" s="27">
        <v>0</v>
      </c>
      <c r="I732" s="27">
        <f>+IFERROR(VLOOKUP(A732,'[1]Pending Dispatch'!$N$2:$O$651,2,0),0)</f>
        <v>0</v>
      </c>
      <c r="J732" s="27">
        <f t="shared" si="11"/>
        <v>0</v>
      </c>
      <c r="K732" s="28">
        <v>2.2800000000000002</v>
      </c>
      <c r="L732" s="28">
        <v>0</v>
      </c>
      <c r="M732" s="26">
        <v>732</v>
      </c>
      <c r="N732" s="26">
        <v>0</v>
      </c>
    </row>
    <row r="733" spans="1:14" ht="15" customHeight="1" x14ac:dyDescent="0.3">
      <c r="A733" s="25" t="s">
        <v>1408</v>
      </c>
      <c r="B733" s="26" t="s">
        <v>1409</v>
      </c>
      <c r="C733" s="26" t="s">
        <v>1172</v>
      </c>
      <c r="D733" s="27">
        <v>1</v>
      </c>
      <c r="E733" s="27">
        <v>0</v>
      </c>
      <c r="F733" s="27">
        <v>0</v>
      </c>
      <c r="G733" s="27">
        <v>0</v>
      </c>
      <c r="H733" s="27">
        <v>0</v>
      </c>
      <c r="I733" s="27">
        <f>+IFERROR(VLOOKUP(A733,'[1]Pending Dispatch'!$N$2:$O$651,2,0),0)</f>
        <v>0</v>
      </c>
      <c r="J733" s="27">
        <f t="shared" si="11"/>
        <v>0</v>
      </c>
      <c r="K733" s="28">
        <v>3.04</v>
      </c>
      <c r="L733" s="28">
        <v>0</v>
      </c>
      <c r="M733" s="26">
        <v>978</v>
      </c>
      <c r="N733" s="26">
        <v>0</v>
      </c>
    </row>
    <row r="734" spans="1:14" ht="15" customHeight="1" x14ac:dyDescent="0.3">
      <c r="A734" s="25" t="s">
        <v>1410</v>
      </c>
      <c r="B734" s="26" t="s">
        <v>1411</v>
      </c>
      <c r="C734" s="26" t="s">
        <v>1172</v>
      </c>
      <c r="D734" s="27">
        <v>1</v>
      </c>
      <c r="E734" s="27">
        <v>0</v>
      </c>
      <c r="F734" s="27">
        <v>0</v>
      </c>
      <c r="G734" s="27">
        <v>0</v>
      </c>
      <c r="H734" s="27">
        <v>0</v>
      </c>
      <c r="I734" s="27">
        <f>+IFERROR(VLOOKUP(A734,'[1]Pending Dispatch'!$N$2:$O$651,2,0),0)</f>
        <v>0</v>
      </c>
      <c r="J734" s="27">
        <f t="shared" si="11"/>
        <v>0</v>
      </c>
      <c r="K734" s="28">
        <v>4.5600000000000005</v>
      </c>
      <c r="L734" s="28">
        <v>0</v>
      </c>
      <c r="M734" s="26">
        <v>1398</v>
      </c>
      <c r="N734" s="26">
        <v>0</v>
      </c>
    </row>
    <row r="735" spans="1:14" ht="15" customHeight="1" x14ac:dyDescent="0.3">
      <c r="A735" s="25" t="s">
        <v>1412</v>
      </c>
      <c r="B735" s="26" t="s">
        <v>1413</v>
      </c>
      <c r="C735" s="26" t="s">
        <v>1172</v>
      </c>
      <c r="D735" s="27">
        <v>1</v>
      </c>
      <c r="E735" s="27">
        <v>0</v>
      </c>
      <c r="F735" s="27">
        <v>0</v>
      </c>
      <c r="G735" s="27">
        <v>0</v>
      </c>
      <c r="H735" s="27">
        <v>0</v>
      </c>
      <c r="I735" s="27">
        <f>+IFERROR(VLOOKUP(A735,'[1]Pending Dispatch'!$N$2:$O$651,2,0),0)</f>
        <v>0</v>
      </c>
      <c r="J735" s="27">
        <f t="shared" si="11"/>
        <v>0</v>
      </c>
      <c r="K735" s="28">
        <v>4.5599999999999996</v>
      </c>
      <c r="L735" s="28">
        <v>0</v>
      </c>
      <c r="M735" s="26">
        <v>1388</v>
      </c>
      <c r="N735" s="26">
        <v>0</v>
      </c>
    </row>
    <row r="736" spans="1:14" ht="15" customHeight="1" x14ac:dyDescent="0.3">
      <c r="A736" s="25" t="s">
        <v>1414</v>
      </c>
      <c r="B736" s="26" t="s">
        <v>1415</v>
      </c>
      <c r="C736" s="26" t="s">
        <v>1172</v>
      </c>
      <c r="D736" s="27">
        <v>1</v>
      </c>
      <c r="E736" s="27">
        <v>0</v>
      </c>
      <c r="F736" s="27">
        <v>0</v>
      </c>
      <c r="G736" s="27">
        <v>0</v>
      </c>
      <c r="H736" s="27">
        <v>0</v>
      </c>
      <c r="I736" s="27">
        <f>+IFERROR(VLOOKUP(A736,'[1]Pending Dispatch'!$N$2:$O$651,2,0),0)</f>
        <v>0</v>
      </c>
      <c r="J736" s="27">
        <f t="shared" si="11"/>
        <v>0</v>
      </c>
      <c r="K736" s="28">
        <v>3.04</v>
      </c>
      <c r="L736" s="28">
        <v>0</v>
      </c>
      <c r="M736" s="26">
        <v>968</v>
      </c>
      <c r="N736" s="26">
        <v>0</v>
      </c>
    </row>
    <row r="737" spans="1:14" ht="15" customHeight="1" x14ac:dyDescent="0.3">
      <c r="A737" s="25" t="s">
        <v>1416</v>
      </c>
      <c r="B737" s="26" t="s">
        <v>1417</v>
      </c>
      <c r="C737" s="26" t="s">
        <v>1172</v>
      </c>
      <c r="D737" s="27">
        <v>1</v>
      </c>
      <c r="E737" s="27">
        <v>336</v>
      </c>
      <c r="F737" s="27">
        <v>0</v>
      </c>
      <c r="G737" s="27">
        <v>0</v>
      </c>
      <c r="H737" s="27">
        <v>336</v>
      </c>
      <c r="I737" s="27">
        <f>+IFERROR(VLOOKUP(A737,'[1]Pending Dispatch'!$N$2:$O$651,2,0),0)</f>
        <v>50</v>
      </c>
      <c r="J737" s="27">
        <f t="shared" si="11"/>
        <v>286</v>
      </c>
      <c r="K737" s="28">
        <v>2.4</v>
      </c>
      <c r="L737" s="28">
        <v>2284.7999999999997</v>
      </c>
      <c r="M737" s="26">
        <v>566</v>
      </c>
      <c r="N737" s="26">
        <v>48676</v>
      </c>
    </row>
    <row r="738" spans="1:14" ht="15" customHeight="1" x14ac:dyDescent="0.3">
      <c r="A738" s="25" t="s">
        <v>1418</v>
      </c>
      <c r="B738" s="26" t="s">
        <v>1419</v>
      </c>
      <c r="C738" s="26" t="s">
        <v>1172</v>
      </c>
      <c r="D738" s="27">
        <v>1</v>
      </c>
      <c r="E738" s="27">
        <v>0</v>
      </c>
      <c r="F738" s="27">
        <v>0</v>
      </c>
      <c r="G738" s="27">
        <v>0</v>
      </c>
      <c r="H738" s="27">
        <v>0</v>
      </c>
      <c r="I738" s="27">
        <f>+IFERROR(VLOOKUP(A738,'[1]Pending Dispatch'!$N$2:$O$651,2,0),0)</f>
        <v>0</v>
      </c>
      <c r="J738" s="27">
        <f t="shared" si="11"/>
        <v>0</v>
      </c>
      <c r="K738" s="28">
        <v>2.4</v>
      </c>
      <c r="L738" s="28">
        <v>0</v>
      </c>
      <c r="M738" s="26">
        <v>572</v>
      </c>
      <c r="N738" s="26">
        <v>0</v>
      </c>
    </row>
    <row r="739" spans="1:14" ht="15" customHeight="1" x14ac:dyDescent="0.3">
      <c r="A739" s="25" t="s">
        <v>1420</v>
      </c>
      <c r="B739" s="26" t="s">
        <v>1421</v>
      </c>
      <c r="C739" s="26" t="s">
        <v>1172</v>
      </c>
      <c r="D739" s="27">
        <v>1</v>
      </c>
      <c r="E739" s="27">
        <v>133</v>
      </c>
      <c r="F739" s="27">
        <v>355</v>
      </c>
      <c r="G739" s="27">
        <v>310</v>
      </c>
      <c r="H739" s="27">
        <v>178</v>
      </c>
      <c r="I739" s="27">
        <f>+IFERROR(VLOOKUP(A739,'[1]Pending Dispatch'!$N$2:$O$651,2,0),0)</f>
        <v>20</v>
      </c>
      <c r="J739" s="27">
        <f t="shared" si="11"/>
        <v>158</v>
      </c>
      <c r="K739" s="28">
        <v>4.7</v>
      </c>
      <c r="L739" s="28">
        <v>817.80000000000007</v>
      </c>
      <c r="M739" s="26">
        <v>1132</v>
      </c>
      <c r="N739" s="26">
        <v>178856</v>
      </c>
    </row>
    <row r="740" spans="1:14" ht="15" customHeight="1" x14ac:dyDescent="0.3">
      <c r="A740" s="25" t="s">
        <v>1422</v>
      </c>
      <c r="B740" s="26" t="s">
        <v>1423</v>
      </c>
      <c r="C740" s="26" t="s">
        <v>1172</v>
      </c>
      <c r="D740" s="27">
        <v>1</v>
      </c>
      <c r="E740" s="27">
        <v>0</v>
      </c>
      <c r="F740" s="27">
        <v>0</v>
      </c>
      <c r="G740" s="27">
        <v>0</v>
      </c>
      <c r="H740" s="27">
        <v>0</v>
      </c>
      <c r="I740" s="27">
        <f>+IFERROR(VLOOKUP(A740,'[1]Pending Dispatch'!$N$2:$O$651,2,0),0)</f>
        <v>0</v>
      </c>
      <c r="J740" s="27">
        <f t="shared" si="11"/>
        <v>0</v>
      </c>
      <c r="K740" s="28">
        <v>4.7</v>
      </c>
      <c r="L740" s="28">
        <v>0</v>
      </c>
      <c r="M740" s="26">
        <v>1138</v>
      </c>
      <c r="N740" s="26">
        <v>0</v>
      </c>
    </row>
    <row r="741" spans="1:14" ht="15" customHeight="1" x14ac:dyDescent="0.3">
      <c r="A741" s="25" t="s">
        <v>1424</v>
      </c>
      <c r="B741" s="26" t="s">
        <v>1425</v>
      </c>
      <c r="C741" s="26" t="s">
        <v>1172</v>
      </c>
      <c r="D741" s="27">
        <v>1</v>
      </c>
      <c r="E741" s="27">
        <v>0</v>
      </c>
      <c r="F741" s="27">
        <v>0</v>
      </c>
      <c r="G741" s="27">
        <v>0</v>
      </c>
      <c r="H741" s="27">
        <v>0</v>
      </c>
      <c r="I741" s="27">
        <f>+IFERROR(VLOOKUP(A741,'[1]Pending Dispatch'!$N$2:$O$651,2,0),0)</f>
        <v>0</v>
      </c>
      <c r="J741" s="27">
        <f t="shared" si="11"/>
        <v>0</v>
      </c>
      <c r="K741" s="28">
        <v>0.48</v>
      </c>
      <c r="L741" s="28">
        <v>0</v>
      </c>
      <c r="M741" s="26">
        <v>130.82</v>
      </c>
      <c r="N741" s="26">
        <v>0</v>
      </c>
    </row>
    <row r="742" spans="1:14" ht="15" customHeight="1" x14ac:dyDescent="0.3">
      <c r="A742" s="25" t="s">
        <v>1426</v>
      </c>
      <c r="B742" s="26" t="s">
        <v>1427</v>
      </c>
      <c r="C742" s="26" t="s">
        <v>1172</v>
      </c>
      <c r="D742" s="27">
        <v>1</v>
      </c>
      <c r="E742" s="27">
        <v>0</v>
      </c>
      <c r="F742" s="27">
        <v>0</v>
      </c>
      <c r="G742" s="27">
        <v>0</v>
      </c>
      <c r="H742" s="27">
        <v>0</v>
      </c>
      <c r="I742" s="27">
        <f>+IFERROR(VLOOKUP(A742,'[1]Pending Dispatch'!$N$2:$O$651,2,0),0)</f>
        <v>0</v>
      </c>
      <c r="J742" s="27">
        <f t="shared" si="11"/>
        <v>0</v>
      </c>
      <c r="K742" s="28">
        <v>0.72</v>
      </c>
      <c r="L742" s="28">
        <v>0</v>
      </c>
      <c r="M742" s="26">
        <v>191.24</v>
      </c>
      <c r="N742" s="26">
        <v>0</v>
      </c>
    </row>
    <row r="743" spans="1:14" ht="15" customHeight="1" x14ac:dyDescent="0.3">
      <c r="A743" s="25" t="s">
        <v>1428</v>
      </c>
      <c r="B743" s="26" t="s">
        <v>1429</v>
      </c>
      <c r="C743" s="26" t="s">
        <v>1172</v>
      </c>
      <c r="D743" s="27">
        <v>1</v>
      </c>
      <c r="E743" s="27">
        <v>0</v>
      </c>
      <c r="F743" s="27">
        <v>0</v>
      </c>
      <c r="G743" s="27">
        <v>0</v>
      </c>
      <c r="H743" s="27">
        <v>0</v>
      </c>
      <c r="I743" s="27">
        <f>+IFERROR(VLOOKUP(A743,'[1]Pending Dispatch'!$N$2:$O$651,2,0),0)</f>
        <v>0</v>
      </c>
      <c r="J743" s="27">
        <f t="shared" si="11"/>
        <v>0</v>
      </c>
      <c r="K743" s="28">
        <v>0.96</v>
      </c>
      <c r="L743" s="28">
        <v>0</v>
      </c>
      <c r="M743" s="26">
        <v>251.37</v>
      </c>
      <c r="N743" s="26">
        <v>0</v>
      </c>
    </row>
    <row r="744" spans="1:14" ht="15" customHeight="1" x14ac:dyDescent="0.3">
      <c r="A744" s="25" t="s">
        <v>1430</v>
      </c>
      <c r="B744" s="26" t="s">
        <v>1431</v>
      </c>
      <c r="C744" s="26" t="s">
        <v>1172</v>
      </c>
      <c r="D744" s="27">
        <v>1</v>
      </c>
      <c r="E744" s="27">
        <v>0</v>
      </c>
      <c r="F744" s="27">
        <v>0</v>
      </c>
      <c r="G744" s="27">
        <v>0</v>
      </c>
      <c r="H744" s="27">
        <v>0</v>
      </c>
      <c r="I744" s="27">
        <f>+IFERROR(VLOOKUP(A744,'[1]Pending Dispatch'!$N$2:$O$651,2,0),0)</f>
        <v>0</v>
      </c>
      <c r="J744" s="27">
        <f t="shared" si="11"/>
        <v>0</v>
      </c>
      <c r="K744" s="28">
        <v>1.44</v>
      </c>
      <c r="L744" s="28">
        <v>0</v>
      </c>
      <c r="M744" s="26">
        <v>372.21</v>
      </c>
      <c r="N744" s="26">
        <v>0</v>
      </c>
    </row>
    <row r="745" spans="1:14" ht="15" customHeight="1" x14ac:dyDescent="0.3">
      <c r="A745" s="25" t="s">
        <v>1432</v>
      </c>
      <c r="B745" s="26" t="s">
        <v>1433</v>
      </c>
      <c r="C745" s="26" t="s">
        <v>1172</v>
      </c>
      <c r="D745" s="27">
        <v>1</v>
      </c>
      <c r="E745" s="27">
        <v>0</v>
      </c>
      <c r="F745" s="27">
        <v>0</v>
      </c>
      <c r="G745" s="27">
        <v>0</v>
      </c>
      <c r="H745" s="27">
        <v>0</v>
      </c>
      <c r="I745" s="27">
        <f>+IFERROR(VLOOKUP(A745,'[1]Pending Dispatch'!$N$2:$O$651,2,0),0)</f>
        <v>0</v>
      </c>
      <c r="J745" s="27">
        <f t="shared" si="11"/>
        <v>0</v>
      </c>
      <c r="K745" s="28">
        <v>1.44</v>
      </c>
      <c r="L745" s="28">
        <v>0</v>
      </c>
      <c r="M745" s="26">
        <v>368</v>
      </c>
      <c r="N745" s="26">
        <v>0</v>
      </c>
    </row>
    <row r="746" spans="1:14" ht="15" customHeight="1" x14ac:dyDescent="0.3">
      <c r="A746" s="25" t="s">
        <v>1434</v>
      </c>
      <c r="B746" s="26" t="s">
        <v>1435</v>
      </c>
      <c r="C746" s="26" t="s">
        <v>1172</v>
      </c>
      <c r="D746" s="27">
        <v>1</v>
      </c>
      <c r="E746" s="27">
        <v>0</v>
      </c>
      <c r="F746" s="27">
        <v>0</v>
      </c>
      <c r="G746" s="27">
        <v>0</v>
      </c>
      <c r="H746" s="27">
        <v>0</v>
      </c>
      <c r="I746" s="27">
        <f>+IFERROR(VLOOKUP(A746,'[1]Pending Dispatch'!$N$2:$O$651,2,0),0)</f>
        <v>0</v>
      </c>
      <c r="J746" s="27">
        <f t="shared" si="11"/>
        <v>0</v>
      </c>
      <c r="K746" s="28">
        <v>0.96</v>
      </c>
      <c r="L746" s="28">
        <v>0</v>
      </c>
      <c r="M746" s="26">
        <v>246</v>
      </c>
      <c r="N746" s="26">
        <v>0</v>
      </c>
    </row>
    <row r="747" spans="1:14" ht="15" customHeight="1" x14ac:dyDescent="0.3">
      <c r="A747" s="25" t="s">
        <v>1436</v>
      </c>
      <c r="B747" s="26" t="s">
        <v>1437</v>
      </c>
      <c r="C747" s="26" t="s">
        <v>1172</v>
      </c>
      <c r="D747" s="27">
        <v>1</v>
      </c>
      <c r="E747" s="27">
        <v>95</v>
      </c>
      <c r="F747" s="27">
        <v>0</v>
      </c>
      <c r="G747" s="27">
        <v>0</v>
      </c>
      <c r="H747" s="27">
        <v>95</v>
      </c>
      <c r="I747" s="27">
        <f>+IFERROR(VLOOKUP(A747,'[1]Pending Dispatch'!$N$2:$O$651,2,0),0)</f>
        <v>0</v>
      </c>
      <c r="J747" s="27">
        <f t="shared" si="11"/>
        <v>95</v>
      </c>
      <c r="K747" s="28">
        <v>4.4000000000000004</v>
      </c>
      <c r="L747" s="28">
        <v>418.00000000000006</v>
      </c>
      <c r="M747" s="26">
        <v>1098</v>
      </c>
      <c r="N747" s="26">
        <v>104310</v>
      </c>
    </row>
    <row r="748" spans="1:14" ht="15" customHeight="1" x14ac:dyDescent="0.3">
      <c r="A748" s="25" t="s">
        <v>1438</v>
      </c>
      <c r="B748" s="26" t="s">
        <v>1439</v>
      </c>
      <c r="C748" s="26" t="s">
        <v>1172</v>
      </c>
      <c r="D748" s="27">
        <v>1</v>
      </c>
      <c r="E748" s="27">
        <v>0</v>
      </c>
      <c r="F748" s="27">
        <v>0</v>
      </c>
      <c r="G748" s="27">
        <v>0</v>
      </c>
      <c r="H748" s="27">
        <v>0</v>
      </c>
      <c r="I748" s="27">
        <f>+IFERROR(VLOOKUP(A748,'[1]Pending Dispatch'!$N$2:$O$651,2,0),0)</f>
        <v>0</v>
      </c>
      <c r="J748" s="27">
        <f t="shared" si="11"/>
        <v>0</v>
      </c>
      <c r="K748" s="28">
        <v>4.4000000000000004</v>
      </c>
      <c r="L748" s="28">
        <v>0</v>
      </c>
      <c r="M748" s="26">
        <v>1108</v>
      </c>
      <c r="N748" s="26">
        <v>0</v>
      </c>
    </row>
    <row r="749" spans="1:14" ht="15" customHeight="1" x14ac:dyDescent="0.3">
      <c r="A749" s="25" t="s">
        <v>1440</v>
      </c>
      <c r="B749" s="26" t="s">
        <v>1441</v>
      </c>
      <c r="C749" s="26" t="s">
        <v>1172</v>
      </c>
      <c r="D749" s="27">
        <v>1</v>
      </c>
      <c r="E749" s="27">
        <v>25</v>
      </c>
      <c r="F749" s="27">
        <v>0</v>
      </c>
      <c r="G749" s="27">
        <v>0</v>
      </c>
      <c r="H749" s="27">
        <v>25</v>
      </c>
      <c r="I749" s="27">
        <f>+IFERROR(VLOOKUP(A749,'[1]Pending Dispatch'!$N$2:$O$651,2,0),0)</f>
        <v>0</v>
      </c>
      <c r="J749" s="27">
        <f t="shared" si="11"/>
        <v>25</v>
      </c>
      <c r="K749" s="28">
        <v>8.6999999999999993</v>
      </c>
      <c r="L749" s="28">
        <v>217.49999999999997</v>
      </c>
      <c r="M749" s="26">
        <v>2196</v>
      </c>
      <c r="N749" s="26">
        <v>54900</v>
      </c>
    </row>
    <row r="750" spans="1:14" ht="15" customHeight="1" x14ac:dyDescent="0.3">
      <c r="A750" s="25" t="s">
        <v>1442</v>
      </c>
      <c r="B750" s="26" t="s">
        <v>1443</v>
      </c>
      <c r="C750" s="26" t="s">
        <v>1172</v>
      </c>
      <c r="D750" s="27">
        <v>1</v>
      </c>
      <c r="E750" s="27">
        <v>0</v>
      </c>
      <c r="F750" s="27">
        <v>0</v>
      </c>
      <c r="G750" s="27">
        <v>0</v>
      </c>
      <c r="H750" s="27">
        <v>0</v>
      </c>
      <c r="I750" s="27">
        <f>+IFERROR(VLOOKUP(A750,'[1]Pending Dispatch'!$N$2:$O$651,2,0),0)</f>
        <v>0</v>
      </c>
      <c r="J750" s="27">
        <f t="shared" si="11"/>
        <v>0</v>
      </c>
      <c r="K750" s="28">
        <v>8.6999999999999993</v>
      </c>
      <c r="L750" s="28">
        <v>0</v>
      </c>
      <c r="M750" s="26">
        <v>2208</v>
      </c>
      <c r="N750" s="26">
        <v>0</v>
      </c>
    </row>
    <row r="751" spans="1:14" ht="15" customHeight="1" x14ac:dyDescent="0.3">
      <c r="A751" s="25" t="s">
        <v>1444</v>
      </c>
      <c r="B751" s="26" t="s">
        <v>1445</v>
      </c>
      <c r="C751" s="26" t="s">
        <v>1172</v>
      </c>
      <c r="D751" s="27">
        <v>1</v>
      </c>
      <c r="E751" s="27">
        <v>0</v>
      </c>
      <c r="F751" s="27">
        <v>0</v>
      </c>
      <c r="G751" s="27">
        <v>0</v>
      </c>
      <c r="H751" s="27">
        <v>0</v>
      </c>
      <c r="I751" s="27">
        <f>+IFERROR(VLOOKUP(A751,'[1]Pending Dispatch'!$N$2:$O$651,2,0),0)</f>
        <v>0</v>
      </c>
      <c r="J751" s="27">
        <f t="shared" si="11"/>
        <v>0</v>
      </c>
      <c r="K751" s="28">
        <v>0.88000000000000012</v>
      </c>
      <c r="L751" s="28">
        <v>0</v>
      </c>
      <c r="M751" s="26">
        <v>273.60000000000002</v>
      </c>
      <c r="N751" s="26">
        <v>0</v>
      </c>
    </row>
    <row r="752" spans="1:14" ht="15" customHeight="1" x14ac:dyDescent="0.3">
      <c r="A752" s="25" t="s">
        <v>1446</v>
      </c>
      <c r="B752" s="26" t="s">
        <v>1447</v>
      </c>
      <c r="C752" s="26" t="s">
        <v>1172</v>
      </c>
      <c r="D752" s="27">
        <v>1</v>
      </c>
      <c r="E752" s="27">
        <v>0</v>
      </c>
      <c r="F752" s="27">
        <v>0</v>
      </c>
      <c r="G752" s="27">
        <v>0</v>
      </c>
      <c r="H752" s="27">
        <v>0</v>
      </c>
      <c r="I752" s="27">
        <f>+IFERROR(VLOOKUP(A752,'[1]Pending Dispatch'!$N$2:$O$651,2,0),0)</f>
        <v>0</v>
      </c>
      <c r="J752" s="27">
        <f t="shared" si="11"/>
        <v>0</v>
      </c>
      <c r="K752" s="28">
        <v>1.3200000000000003</v>
      </c>
      <c r="L752" s="28">
        <v>0</v>
      </c>
      <c r="M752" s="26">
        <v>398.72</v>
      </c>
      <c r="N752" s="26">
        <v>0</v>
      </c>
    </row>
    <row r="753" spans="1:14" ht="15" customHeight="1" x14ac:dyDescent="0.3">
      <c r="A753" s="25" t="s">
        <v>1448</v>
      </c>
      <c r="B753" s="26" t="s">
        <v>1449</v>
      </c>
      <c r="C753" s="26" t="s">
        <v>1172</v>
      </c>
      <c r="D753" s="27">
        <v>1</v>
      </c>
      <c r="E753" s="27">
        <v>0</v>
      </c>
      <c r="F753" s="27">
        <v>0</v>
      </c>
      <c r="G753" s="27">
        <v>0</v>
      </c>
      <c r="H753" s="27">
        <v>0</v>
      </c>
      <c r="I753" s="27">
        <f>+IFERROR(VLOOKUP(A753,'[1]Pending Dispatch'!$N$2:$O$651,2,0),0)</f>
        <v>0</v>
      </c>
      <c r="J753" s="27">
        <f t="shared" si="11"/>
        <v>0</v>
      </c>
      <c r="K753" s="28">
        <v>1.7600000000000002</v>
      </c>
      <c r="L753" s="28">
        <v>0</v>
      </c>
      <c r="M753" s="26">
        <v>523.83000000000004</v>
      </c>
      <c r="N753" s="26">
        <v>0</v>
      </c>
    </row>
    <row r="754" spans="1:14" ht="15" customHeight="1" x14ac:dyDescent="0.3">
      <c r="A754" s="25" t="s">
        <v>1450</v>
      </c>
      <c r="B754" s="26" t="s">
        <v>1451</v>
      </c>
      <c r="C754" s="26" t="s">
        <v>1172</v>
      </c>
      <c r="D754" s="27">
        <v>1</v>
      </c>
      <c r="E754" s="27">
        <v>0</v>
      </c>
      <c r="F754" s="27">
        <v>0</v>
      </c>
      <c r="G754" s="27">
        <v>0</v>
      </c>
      <c r="H754" s="27">
        <v>0</v>
      </c>
      <c r="I754" s="27">
        <f>+IFERROR(VLOOKUP(A754,'[1]Pending Dispatch'!$N$2:$O$651,2,0),0)</f>
        <v>0</v>
      </c>
      <c r="J754" s="27">
        <f t="shared" si="11"/>
        <v>0</v>
      </c>
      <c r="K754" s="28">
        <v>2.6400000000000006</v>
      </c>
      <c r="L754" s="28">
        <v>0</v>
      </c>
      <c r="M754" s="26">
        <v>773.78</v>
      </c>
      <c r="N754" s="26">
        <v>0</v>
      </c>
    </row>
    <row r="755" spans="1:14" ht="15" customHeight="1" x14ac:dyDescent="0.3">
      <c r="A755" s="25" t="s">
        <v>1452</v>
      </c>
      <c r="B755" s="26" t="s">
        <v>1453</v>
      </c>
      <c r="C755" s="26" t="s">
        <v>1172</v>
      </c>
      <c r="D755" s="27">
        <v>1</v>
      </c>
      <c r="E755" s="27">
        <v>0</v>
      </c>
      <c r="F755" s="27">
        <v>0</v>
      </c>
      <c r="G755" s="27">
        <v>0</v>
      </c>
      <c r="H755" s="27">
        <v>0</v>
      </c>
      <c r="I755" s="27">
        <f>+IFERROR(VLOOKUP(A755,'[1]Pending Dispatch'!$N$2:$O$651,2,0),0)</f>
        <v>0</v>
      </c>
      <c r="J755" s="27">
        <f t="shared" si="11"/>
        <v>0</v>
      </c>
      <c r="K755" s="28">
        <v>2.64</v>
      </c>
      <c r="L755" s="28">
        <v>0</v>
      </c>
      <c r="M755" s="26">
        <v>773.78</v>
      </c>
      <c r="N755" s="26">
        <v>0</v>
      </c>
    </row>
    <row r="756" spans="1:14" ht="15" customHeight="1" x14ac:dyDescent="0.3">
      <c r="A756" s="25" t="s">
        <v>1454</v>
      </c>
      <c r="B756" s="26" t="s">
        <v>1455</v>
      </c>
      <c r="C756" s="26" t="s">
        <v>1172</v>
      </c>
      <c r="D756" s="27">
        <v>1</v>
      </c>
      <c r="E756" s="27">
        <v>0</v>
      </c>
      <c r="F756" s="27">
        <v>0</v>
      </c>
      <c r="G756" s="27">
        <v>0</v>
      </c>
      <c r="H756" s="27">
        <v>0</v>
      </c>
      <c r="I756" s="27">
        <f>+IFERROR(VLOOKUP(A756,'[1]Pending Dispatch'!$N$2:$O$651,2,0),0)</f>
        <v>0</v>
      </c>
      <c r="J756" s="27">
        <f t="shared" si="11"/>
        <v>0</v>
      </c>
      <c r="K756" s="28">
        <v>1.7600000000000002</v>
      </c>
      <c r="L756" s="28">
        <v>0</v>
      </c>
      <c r="M756" s="26">
        <v>523.83000000000004</v>
      </c>
      <c r="N756" s="26">
        <v>0</v>
      </c>
    </row>
    <row r="757" spans="1:14" ht="15" customHeight="1" x14ac:dyDescent="0.3">
      <c r="A757" s="25" t="s">
        <v>1456</v>
      </c>
      <c r="B757" s="26" t="s">
        <v>1457</v>
      </c>
      <c r="C757" s="26" t="s">
        <v>1172</v>
      </c>
      <c r="D757" s="27">
        <v>1</v>
      </c>
      <c r="E757" s="27">
        <v>25</v>
      </c>
      <c r="F757" s="27">
        <v>0</v>
      </c>
      <c r="G757" s="27">
        <v>0</v>
      </c>
      <c r="H757" s="27">
        <v>25</v>
      </c>
      <c r="I757" s="27">
        <f>+IFERROR(VLOOKUP(A757,'[1]Pending Dispatch'!$N$2:$O$651,2,0),0)</f>
        <v>30</v>
      </c>
      <c r="J757" s="27">
        <f t="shared" si="11"/>
        <v>-5</v>
      </c>
      <c r="K757" s="28">
        <v>2.6</v>
      </c>
      <c r="L757" s="28">
        <v>969.80000000000007</v>
      </c>
      <c r="M757" s="26">
        <v>688</v>
      </c>
      <c r="N757" s="26">
        <v>-3440</v>
      </c>
    </row>
    <row r="758" spans="1:14" ht="15" customHeight="1" x14ac:dyDescent="0.3">
      <c r="A758" s="25" t="s">
        <v>1458</v>
      </c>
      <c r="B758" s="26" t="s">
        <v>1459</v>
      </c>
      <c r="C758" s="26" t="s">
        <v>1172</v>
      </c>
      <c r="D758" s="27">
        <v>1</v>
      </c>
      <c r="E758" s="27">
        <v>0</v>
      </c>
      <c r="F758" s="27">
        <v>0</v>
      </c>
      <c r="G758" s="27">
        <v>0</v>
      </c>
      <c r="H758" s="27">
        <v>0</v>
      </c>
      <c r="I758" s="27">
        <f>+IFERROR(VLOOKUP(A758,'[1]Pending Dispatch'!$N$2:$O$651,2,0),0)</f>
        <v>0</v>
      </c>
      <c r="J758" s="27">
        <f t="shared" si="11"/>
        <v>0</v>
      </c>
      <c r="K758" s="28">
        <v>2.6</v>
      </c>
      <c r="L758" s="28">
        <v>0</v>
      </c>
      <c r="M758" s="26">
        <v>2500</v>
      </c>
      <c r="N758" s="26">
        <v>0</v>
      </c>
    </row>
    <row r="759" spans="1:14" ht="15" customHeight="1" x14ac:dyDescent="0.3">
      <c r="A759" s="25" t="s">
        <v>1460</v>
      </c>
      <c r="B759" s="26" t="s">
        <v>1461</v>
      </c>
      <c r="C759" s="26" t="s">
        <v>1172</v>
      </c>
      <c r="D759" s="27">
        <v>1</v>
      </c>
      <c r="E759" s="27">
        <v>431</v>
      </c>
      <c r="F759" s="27">
        <v>266</v>
      </c>
      <c r="G759" s="27">
        <v>580</v>
      </c>
      <c r="H759" s="27">
        <v>117</v>
      </c>
      <c r="I759" s="27">
        <f>+IFERROR(VLOOKUP(A759,'[1]Pending Dispatch'!$N$2:$O$651,2,0),0)</f>
        <v>350</v>
      </c>
      <c r="J759" s="27">
        <f t="shared" si="11"/>
        <v>-233</v>
      </c>
      <c r="K759" s="28">
        <v>5.0999999999999996</v>
      </c>
      <c r="L759" s="28">
        <v>938.4</v>
      </c>
      <c r="M759" s="26">
        <v>1376</v>
      </c>
      <c r="N759" s="26">
        <v>-320608</v>
      </c>
    </row>
    <row r="760" spans="1:14" ht="15" customHeight="1" x14ac:dyDescent="0.3">
      <c r="A760" s="25" t="s">
        <v>1462</v>
      </c>
      <c r="B760" s="26" t="s">
        <v>1463</v>
      </c>
      <c r="C760" s="26" t="s">
        <v>1172</v>
      </c>
      <c r="D760" s="27">
        <v>1</v>
      </c>
      <c r="E760" s="27">
        <v>0</v>
      </c>
      <c r="F760" s="27">
        <v>0</v>
      </c>
      <c r="G760" s="27">
        <v>0</v>
      </c>
      <c r="H760" s="27">
        <v>0</v>
      </c>
      <c r="I760" s="27">
        <f>+IFERROR(VLOOKUP(A760,'[1]Pending Dispatch'!$N$2:$O$651,2,0),0)</f>
        <v>0</v>
      </c>
      <c r="J760" s="27">
        <f t="shared" si="11"/>
        <v>0</v>
      </c>
      <c r="K760" s="28">
        <v>5.0999999999999996</v>
      </c>
      <c r="L760" s="28">
        <v>0</v>
      </c>
      <c r="M760" s="26">
        <v>1382</v>
      </c>
      <c r="N760" s="26">
        <v>0</v>
      </c>
    </row>
    <row r="761" spans="1:14" ht="15" customHeight="1" x14ac:dyDescent="0.3">
      <c r="A761" s="25" t="s">
        <v>1464</v>
      </c>
      <c r="B761" s="26" t="s">
        <v>1465</v>
      </c>
      <c r="C761" s="26" t="s">
        <v>1172</v>
      </c>
      <c r="D761" s="27">
        <v>1</v>
      </c>
      <c r="E761" s="27">
        <v>0</v>
      </c>
      <c r="F761" s="27">
        <v>0</v>
      </c>
      <c r="G761" s="27">
        <v>0</v>
      </c>
      <c r="H761" s="27">
        <v>0</v>
      </c>
      <c r="I761" s="27">
        <f>+IFERROR(VLOOKUP(A761,'[1]Pending Dispatch'!$N$2:$O$651,2,0),0)</f>
        <v>0</v>
      </c>
      <c r="J761" s="27">
        <f t="shared" si="11"/>
        <v>0</v>
      </c>
      <c r="K761" s="28">
        <v>0.52</v>
      </c>
      <c r="L761" s="28">
        <v>0</v>
      </c>
      <c r="M761" s="26">
        <v>167.01</v>
      </c>
      <c r="N761" s="26">
        <v>0</v>
      </c>
    </row>
    <row r="762" spans="1:14" ht="15" customHeight="1" x14ac:dyDescent="0.3">
      <c r="A762" s="25" t="s">
        <v>1466</v>
      </c>
      <c r="B762" s="26" t="s">
        <v>1467</v>
      </c>
      <c r="C762" s="26" t="s">
        <v>1172</v>
      </c>
      <c r="D762" s="27">
        <v>1</v>
      </c>
      <c r="E762" s="27">
        <v>0</v>
      </c>
      <c r="F762" s="27">
        <v>0</v>
      </c>
      <c r="G762" s="27">
        <v>0</v>
      </c>
      <c r="H762" s="27">
        <v>0</v>
      </c>
      <c r="I762" s="27">
        <f>+IFERROR(VLOOKUP(A762,'[1]Pending Dispatch'!$N$2:$O$651,2,0),0)</f>
        <v>0</v>
      </c>
      <c r="J762" s="27">
        <f t="shared" si="11"/>
        <v>0</v>
      </c>
      <c r="K762" s="28">
        <v>0.78</v>
      </c>
      <c r="L762" s="28">
        <v>0</v>
      </c>
      <c r="M762" s="26">
        <v>243.11</v>
      </c>
      <c r="N762" s="26">
        <v>0</v>
      </c>
    </row>
    <row r="763" spans="1:14" ht="15" customHeight="1" x14ac:dyDescent="0.3">
      <c r="A763" s="25" t="s">
        <v>1468</v>
      </c>
      <c r="B763" s="26" t="s">
        <v>1469</v>
      </c>
      <c r="C763" s="26" t="s">
        <v>1172</v>
      </c>
      <c r="D763" s="27">
        <v>1</v>
      </c>
      <c r="E763" s="27">
        <v>0</v>
      </c>
      <c r="F763" s="27">
        <v>0</v>
      </c>
      <c r="G763" s="27">
        <v>0</v>
      </c>
      <c r="H763" s="27">
        <v>0</v>
      </c>
      <c r="I763" s="27">
        <f>+IFERROR(VLOOKUP(A763,'[1]Pending Dispatch'!$N$2:$O$651,2,0),0)</f>
        <v>0</v>
      </c>
      <c r="J763" s="27">
        <f t="shared" si="11"/>
        <v>0</v>
      </c>
      <c r="K763" s="28">
        <v>1.04</v>
      </c>
      <c r="L763" s="28">
        <v>0</v>
      </c>
      <c r="M763" s="26">
        <v>318</v>
      </c>
      <c r="N763" s="26">
        <v>0</v>
      </c>
    </row>
    <row r="764" spans="1:14" ht="15" customHeight="1" x14ac:dyDescent="0.3">
      <c r="A764" s="25" t="s">
        <v>1470</v>
      </c>
      <c r="B764" s="26" t="s">
        <v>1471</v>
      </c>
      <c r="C764" s="26" t="s">
        <v>1172</v>
      </c>
      <c r="D764" s="27">
        <v>1</v>
      </c>
      <c r="E764" s="27">
        <v>0</v>
      </c>
      <c r="F764" s="27">
        <v>0</v>
      </c>
      <c r="G764" s="27">
        <v>0</v>
      </c>
      <c r="H764" s="27">
        <v>0</v>
      </c>
      <c r="I764" s="27">
        <f>+IFERROR(VLOOKUP(A764,'[1]Pending Dispatch'!$N$2:$O$651,2,0),0)</f>
        <v>0</v>
      </c>
      <c r="J764" s="27">
        <f t="shared" si="11"/>
        <v>0</v>
      </c>
      <c r="K764" s="28">
        <v>1.56</v>
      </c>
      <c r="L764" s="28">
        <v>0</v>
      </c>
      <c r="M764" s="26">
        <v>471.96</v>
      </c>
      <c r="N764" s="26">
        <v>0</v>
      </c>
    </row>
    <row r="765" spans="1:14" ht="16.8" customHeight="1" x14ac:dyDescent="0.3">
      <c r="A765" s="25" t="s">
        <v>1472</v>
      </c>
      <c r="B765" s="26" t="s">
        <v>1473</v>
      </c>
      <c r="C765" s="26" t="s">
        <v>1172</v>
      </c>
      <c r="D765" s="27">
        <v>1</v>
      </c>
      <c r="E765" s="27">
        <v>0</v>
      </c>
      <c r="F765" s="27">
        <v>0</v>
      </c>
      <c r="G765" s="27">
        <v>0</v>
      </c>
      <c r="H765" s="27">
        <v>0</v>
      </c>
      <c r="I765" s="27">
        <f>+IFERROR(VLOOKUP(A765,'[1]Pending Dispatch'!$N$2:$O$651,2,0),0)</f>
        <v>0</v>
      </c>
      <c r="J765" s="27">
        <f t="shared" si="11"/>
        <v>0</v>
      </c>
      <c r="K765" s="28">
        <v>1.56</v>
      </c>
      <c r="L765" s="28">
        <v>0</v>
      </c>
      <c r="M765" s="26">
        <v>466</v>
      </c>
      <c r="N765" s="26">
        <v>0</v>
      </c>
    </row>
    <row r="766" spans="1:14" ht="15" customHeight="1" x14ac:dyDescent="0.3">
      <c r="A766" s="25" t="s">
        <v>1474</v>
      </c>
      <c r="B766" s="26" t="s">
        <v>1475</v>
      </c>
      <c r="C766" s="26" t="s">
        <v>1476</v>
      </c>
      <c r="D766" s="27">
        <v>30</v>
      </c>
      <c r="E766" s="27">
        <v>1230</v>
      </c>
      <c r="F766" s="27">
        <v>7410</v>
      </c>
      <c r="G766" s="27">
        <v>5550</v>
      </c>
      <c r="H766" s="27">
        <v>3090</v>
      </c>
      <c r="I766" s="27">
        <f>+IFERROR(VLOOKUP(A766,'[1]Pending Dispatch'!$N$2:$O$651,2,0),0)</f>
        <v>1050</v>
      </c>
      <c r="J766" s="27">
        <f t="shared" si="11"/>
        <v>2040</v>
      </c>
      <c r="K766" s="28">
        <v>0.25800000000000001</v>
      </c>
      <c r="L766" s="28">
        <v>317.34000000000003</v>
      </c>
      <c r="M766" s="26">
        <v>970</v>
      </c>
      <c r="N766" s="26">
        <v>1891500</v>
      </c>
    </row>
    <row r="767" spans="1:14" ht="15" customHeight="1" x14ac:dyDescent="0.3">
      <c r="A767" s="25" t="s">
        <v>1477</v>
      </c>
      <c r="B767" s="26" t="s">
        <v>1478</v>
      </c>
      <c r="C767" s="26" t="s">
        <v>1476</v>
      </c>
      <c r="D767" s="27">
        <v>25</v>
      </c>
      <c r="E767" s="27">
        <v>88</v>
      </c>
      <c r="F767" s="27">
        <v>900</v>
      </c>
      <c r="G767" s="27">
        <v>350</v>
      </c>
      <c r="H767" s="27">
        <v>638</v>
      </c>
      <c r="I767" s="27">
        <f>+IFERROR(VLOOKUP(A767,'[1]Pending Dispatch'!$N$2:$O$651,2,0),0)</f>
        <v>325</v>
      </c>
      <c r="J767" s="27">
        <f t="shared" si="11"/>
        <v>313</v>
      </c>
      <c r="K767" s="28">
        <v>0.32700000000000001</v>
      </c>
      <c r="L767" s="28">
        <v>97.77300000000001</v>
      </c>
      <c r="M767" s="26">
        <v>158</v>
      </c>
      <c r="N767" s="26">
        <v>17854</v>
      </c>
    </row>
    <row r="768" spans="1:14" ht="15" customHeight="1" x14ac:dyDescent="0.3">
      <c r="A768" s="25" t="s">
        <v>1479</v>
      </c>
      <c r="B768" s="26" t="s">
        <v>1480</v>
      </c>
      <c r="C768" s="26" t="s">
        <v>1476</v>
      </c>
      <c r="D768" s="27">
        <v>50</v>
      </c>
      <c r="E768" s="27">
        <v>1452</v>
      </c>
      <c r="F768" s="27">
        <v>0</v>
      </c>
      <c r="G768" s="27">
        <v>300</v>
      </c>
      <c r="H768" s="27">
        <v>1152</v>
      </c>
      <c r="I768" s="27">
        <f>+IFERROR(VLOOKUP(A768,'[1]Pending Dispatch'!$N$2:$O$651,2,0),0)</f>
        <v>0</v>
      </c>
      <c r="J768" s="27">
        <f t="shared" si="11"/>
        <v>1152</v>
      </c>
      <c r="K768" s="28">
        <v>0.1797</v>
      </c>
      <c r="L768" s="28">
        <v>9.5241000000000007</v>
      </c>
      <c r="M768" s="26">
        <v>88</v>
      </c>
      <c r="N768" s="26">
        <v>92576</v>
      </c>
    </row>
    <row r="769" spans="1:14" ht="15" customHeight="1" x14ac:dyDescent="0.3">
      <c r="A769" s="25" t="s">
        <v>1481</v>
      </c>
      <c r="B769" s="26" t="s">
        <v>1482</v>
      </c>
      <c r="C769" s="26" t="s">
        <v>1476</v>
      </c>
      <c r="D769" s="27">
        <v>15</v>
      </c>
      <c r="E769" s="27">
        <v>358</v>
      </c>
      <c r="F769" s="27">
        <v>840</v>
      </c>
      <c r="G769" s="27">
        <v>135</v>
      </c>
      <c r="H769" s="27">
        <v>1063</v>
      </c>
      <c r="I769" s="27">
        <f>+IFERROR(VLOOKUP(A769,'[1]Pending Dispatch'!$N$2:$O$651,2,0),0)</f>
        <v>270</v>
      </c>
      <c r="J769" s="27">
        <f t="shared" si="11"/>
        <v>793</v>
      </c>
      <c r="K769" s="28">
        <v>0.45250000000000001</v>
      </c>
      <c r="L769" s="28">
        <v>156.565</v>
      </c>
      <c r="M769" s="26">
        <v>987</v>
      </c>
      <c r="N769" s="26">
        <v>634641</v>
      </c>
    </row>
    <row r="770" spans="1:14" ht="15" customHeight="1" x14ac:dyDescent="0.3">
      <c r="A770" s="33" t="s">
        <v>1483</v>
      </c>
      <c r="B770" s="34" t="s">
        <v>1484</v>
      </c>
      <c r="C770" s="34" t="s">
        <v>1476</v>
      </c>
      <c r="D770" s="35">
        <v>12</v>
      </c>
      <c r="E770" s="35">
        <v>489</v>
      </c>
      <c r="F770" s="35">
        <v>379</v>
      </c>
      <c r="G770" s="35">
        <v>576</v>
      </c>
      <c r="H770" s="35">
        <v>292</v>
      </c>
      <c r="I770" s="27">
        <f>+IFERROR(VLOOKUP(A770,'[1]Pending Dispatch'!$N$2:$O$651,2,0),0)</f>
        <v>60</v>
      </c>
      <c r="J770" s="27">
        <f t="shared" si="11"/>
        <v>232</v>
      </c>
      <c r="K770" s="36">
        <v>0.58699999999999997</v>
      </c>
      <c r="L770" s="36">
        <v>94.506999999999991</v>
      </c>
      <c r="M770" s="34">
        <v>284</v>
      </c>
      <c r="N770" s="34">
        <v>59072</v>
      </c>
    </row>
    <row r="771" spans="1:14" ht="15" customHeight="1" x14ac:dyDescent="0.3">
      <c r="A771" s="25" t="s">
        <v>1485</v>
      </c>
      <c r="B771" s="26" t="s">
        <v>1486</v>
      </c>
      <c r="C771" s="26" t="s">
        <v>1476</v>
      </c>
      <c r="D771" s="27">
        <v>40</v>
      </c>
      <c r="E771" s="27">
        <v>850</v>
      </c>
      <c r="F771" s="27">
        <v>0</v>
      </c>
      <c r="G771" s="27">
        <v>80</v>
      </c>
      <c r="H771" s="27">
        <v>770</v>
      </c>
      <c r="I771" s="27">
        <f>+IFERROR(VLOOKUP(A771,'[1]Pending Dispatch'!$N$2:$O$651,2,0),0)</f>
        <v>80</v>
      </c>
      <c r="J771" s="27">
        <f t="shared" si="11"/>
        <v>690</v>
      </c>
      <c r="K771" s="28">
        <v>0.221</v>
      </c>
      <c r="L771" s="28">
        <v>108.29</v>
      </c>
      <c r="M771" s="26">
        <v>1940</v>
      </c>
      <c r="N771" s="26">
        <v>1338600</v>
      </c>
    </row>
    <row r="772" spans="1:14" ht="15" customHeight="1" x14ac:dyDescent="0.3">
      <c r="A772" s="25" t="s">
        <v>1487</v>
      </c>
      <c r="B772" s="26" t="s">
        <v>1488</v>
      </c>
      <c r="C772" s="26" t="s">
        <v>1476</v>
      </c>
      <c r="D772" s="27">
        <v>20</v>
      </c>
      <c r="E772" s="27">
        <v>735</v>
      </c>
      <c r="F772" s="27">
        <v>0</v>
      </c>
      <c r="G772" s="27">
        <v>100</v>
      </c>
      <c r="H772" s="27">
        <v>635</v>
      </c>
      <c r="I772" s="27">
        <f>+IFERROR(VLOOKUP(A772,'[1]Pending Dispatch'!$N$2:$O$651,2,0),0)</f>
        <v>300</v>
      </c>
      <c r="J772" s="27">
        <f t="shared" si="11"/>
        <v>335</v>
      </c>
      <c r="K772" s="28">
        <v>0.34399999999999997</v>
      </c>
      <c r="L772" s="28">
        <v>177.16</v>
      </c>
      <c r="M772" s="26">
        <v>180.3</v>
      </c>
      <c r="N772" s="26">
        <v>53188.5</v>
      </c>
    </row>
    <row r="773" spans="1:14" ht="15" customHeight="1" x14ac:dyDescent="0.3">
      <c r="A773" s="25" t="s">
        <v>1489</v>
      </c>
      <c r="B773" s="26" t="s">
        <v>1490</v>
      </c>
      <c r="C773" s="26" t="s">
        <v>1476</v>
      </c>
      <c r="D773" s="27">
        <v>50</v>
      </c>
      <c r="E773" s="27">
        <v>830</v>
      </c>
      <c r="F773" s="27">
        <v>0</v>
      </c>
      <c r="G773" s="27">
        <v>0</v>
      </c>
      <c r="H773" s="27">
        <v>830</v>
      </c>
      <c r="I773" s="27">
        <f>+IFERROR(VLOOKUP(A773,'[1]Pending Dispatch'!$N$2:$O$651,2,0),0)</f>
        <v>0</v>
      </c>
      <c r="J773" s="27">
        <f t="shared" si="11"/>
        <v>830</v>
      </c>
      <c r="K773" s="28">
        <v>0.17699999999999999</v>
      </c>
      <c r="L773" s="28">
        <v>146.91</v>
      </c>
      <c r="M773" s="26">
        <v>1690</v>
      </c>
      <c r="N773" s="26">
        <v>1402700</v>
      </c>
    </row>
    <row r="774" spans="1:14" ht="15" customHeight="1" x14ac:dyDescent="0.3">
      <c r="A774" s="33" t="s">
        <v>1491</v>
      </c>
      <c r="B774" s="34" t="s">
        <v>1492</v>
      </c>
      <c r="C774" s="34" t="s">
        <v>1476</v>
      </c>
      <c r="D774" s="35">
        <v>15</v>
      </c>
      <c r="E774" s="35">
        <v>505</v>
      </c>
      <c r="F774" s="35">
        <v>240</v>
      </c>
      <c r="G774" s="35">
        <v>0</v>
      </c>
      <c r="H774" s="35">
        <v>745</v>
      </c>
      <c r="I774" s="27">
        <f>+IFERROR(VLOOKUP(A774,'[1]Pending Dispatch'!$N$2:$O$651,2,0),0)</f>
        <v>135</v>
      </c>
      <c r="J774" s="27">
        <f t="shared" ref="J774:J837" si="12">+H774-I774</f>
        <v>610</v>
      </c>
      <c r="K774" s="36">
        <v>0.48099999999999998</v>
      </c>
      <c r="L774" s="36">
        <v>10.581999999999999</v>
      </c>
      <c r="M774" s="34">
        <v>248</v>
      </c>
      <c r="N774" s="34">
        <v>140120</v>
      </c>
    </row>
    <row r="775" spans="1:14" ht="15" customHeight="1" x14ac:dyDescent="0.3">
      <c r="A775" s="25" t="s">
        <v>1493</v>
      </c>
      <c r="B775" s="26" t="s">
        <v>1494</v>
      </c>
      <c r="C775" s="26" t="s">
        <v>1476</v>
      </c>
      <c r="D775" s="27">
        <v>12</v>
      </c>
      <c r="E775" s="27">
        <v>240</v>
      </c>
      <c r="F775" s="27">
        <v>0</v>
      </c>
      <c r="G775" s="27">
        <v>0</v>
      </c>
      <c r="H775" s="27">
        <v>240</v>
      </c>
      <c r="I775" s="27">
        <f>+IFERROR(VLOOKUP(A775,'[1]Pending Dispatch'!$N$2:$O$651,2,0),0)</f>
        <v>0</v>
      </c>
      <c r="J775" s="27">
        <f t="shared" si="12"/>
        <v>240</v>
      </c>
      <c r="K775" s="28">
        <v>0.61399999999999999</v>
      </c>
      <c r="L775" s="28">
        <v>169.464</v>
      </c>
      <c r="M775" s="26">
        <v>258</v>
      </c>
      <c r="N775" s="26">
        <v>61920</v>
      </c>
    </row>
    <row r="776" spans="1:14" ht="15" customHeight="1" x14ac:dyDescent="0.3">
      <c r="A776" s="25" t="s">
        <v>1495</v>
      </c>
      <c r="B776" s="26" t="s">
        <v>1496</v>
      </c>
      <c r="C776" s="26" t="s">
        <v>1476</v>
      </c>
      <c r="D776" s="27">
        <v>10</v>
      </c>
      <c r="E776" s="27">
        <v>360</v>
      </c>
      <c r="F776" s="27">
        <v>0</v>
      </c>
      <c r="G776" s="27">
        <v>160</v>
      </c>
      <c r="H776" s="27">
        <v>200</v>
      </c>
      <c r="I776" s="27">
        <f>+IFERROR(VLOOKUP(A776,'[1]Pending Dispatch'!$N$2:$O$651,2,0),0)</f>
        <v>20</v>
      </c>
      <c r="J776" s="27">
        <f t="shared" si="12"/>
        <v>180</v>
      </c>
      <c r="K776" s="28">
        <v>0.66200000000000003</v>
      </c>
      <c r="L776" s="28">
        <v>161.52800000000002</v>
      </c>
      <c r="M776" s="26">
        <v>324</v>
      </c>
      <c r="N776" s="26">
        <v>55080</v>
      </c>
    </row>
    <row r="777" spans="1:14" ht="15" customHeight="1" x14ac:dyDescent="0.3">
      <c r="A777" s="25" t="s">
        <v>1497</v>
      </c>
      <c r="B777" s="26" t="s">
        <v>1498</v>
      </c>
      <c r="C777" s="26" t="s">
        <v>1476</v>
      </c>
      <c r="D777" s="27">
        <v>8</v>
      </c>
      <c r="E777" s="27">
        <v>340</v>
      </c>
      <c r="F777" s="27">
        <v>0</v>
      </c>
      <c r="G777" s="27">
        <v>24</v>
      </c>
      <c r="H777" s="27">
        <v>316</v>
      </c>
      <c r="I777" s="27">
        <f>+IFERROR(VLOOKUP(A777,'[1]Pending Dispatch'!$N$2:$O$651,2,0),0)</f>
        <v>0</v>
      </c>
      <c r="J777" s="27">
        <f t="shared" si="12"/>
        <v>316</v>
      </c>
      <c r="K777" s="28">
        <v>0.81699999999999995</v>
      </c>
      <c r="L777" s="28">
        <v>137.256</v>
      </c>
      <c r="M777" s="26">
        <v>378</v>
      </c>
      <c r="N777" s="26">
        <v>110376</v>
      </c>
    </row>
    <row r="778" spans="1:14" ht="15" customHeight="1" x14ac:dyDescent="0.3">
      <c r="A778" s="25" t="s">
        <v>1499</v>
      </c>
      <c r="B778" s="26" t="s">
        <v>1500</v>
      </c>
      <c r="C778" s="26" t="s">
        <v>1476</v>
      </c>
      <c r="D778" s="27">
        <v>8</v>
      </c>
      <c r="E778" s="27">
        <v>6</v>
      </c>
      <c r="F778" s="27">
        <v>216</v>
      </c>
      <c r="G778" s="27">
        <v>0</v>
      </c>
      <c r="H778" s="27">
        <v>222</v>
      </c>
      <c r="I778" s="27">
        <f>+IFERROR(VLOOKUP(A778,'[1]Pending Dispatch'!$N$2:$O$651,2,0),0)</f>
        <v>0</v>
      </c>
      <c r="J778" s="27">
        <f t="shared" si="12"/>
        <v>222</v>
      </c>
      <c r="K778" s="28">
        <v>0.82699999999999996</v>
      </c>
      <c r="L778" s="28">
        <v>34.733999999999995</v>
      </c>
      <c r="M778" s="26">
        <v>437.9</v>
      </c>
      <c r="N778" s="26">
        <v>93710.599999999991</v>
      </c>
    </row>
    <row r="779" spans="1:14" ht="15" customHeight="1" x14ac:dyDescent="0.3">
      <c r="A779" s="25" t="s">
        <v>1501</v>
      </c>
      <c r="B779" s="26" t="s">
        <v>1502</v>
      </c>
      <c r="C779" s="26" t="s">
        <v>1476</v>
      </c>
      <c r="D779" s="27">
        <v>20</v>
      </c>
      <c r="E779" s="27">
        <v>136</v>
      </c>
      <c r="F779" s="27">
        <v>0</v>
      </c>
      <c r="G779" s="27">
        <v>0</v>
      </c>
      <c r="H779" s="27">
        <v>136</v>
      </c>
      <c r="I779" s="27">
        <f>+IFERROR(VLOOKUP(A779,'[1]Pending Dispatch'!$N$2:$O$651,2,0),0)</f>
        <v>0</v>
      </c>
      <c r="J779" s="27">
        <f t="shared" si="12"/>
        <v>136</v>
      </c>
      <c r="K779" s="28">
        <v>0.40550000000000003</v>
      </c>
      <c r="L779" s="28">
        <v>159.76700000000002</v>
      </c>
      <c r="M779" s="26">
        <v>494</v>
      </c>
      <c r="N779" s="26">
        <v>47424</v>
      </c>
    </row>
    <row r="780" spans="1:14" ht="15" customHeight="1" x14ac:dyDescent="0.3">
      <c r="A780" s="25" t="s">
        <v>1503</v>
      </c>
      <c r="B780" s="26" t="s">
        <v>1504</v>
      </c>
      <c r="C780" s="26" t="s">
        <v>1476</v>
      </c>
      <c r="D780" s="27">
        <v>20</v>
      </c>
      <c r="E780" s="27">
        <v>150</v>
      </c>
      <c r="F780" s="27">
        <v>0</v>
      </c>
      <c r="G780" s="27">
        <v>0</v>
      </c>
      <c r="H780" s="27">
        <v>150</v>
      </c>
      <c r="I780" s="27">
        <f>+IFERROR(VLOOKUP(A780,'[1]Pending Dispatch'!$N$2:$O$651,2,0),0)</f>
        <v>0</v>
      </c>
      <c r="J780" s="27">
        <f t="shared" si="12"/>
        <v>150</v>
      </c>
      <c r="K780" s="28">
        <v>0.40100000000000002</v>
      </c>
      <c r="L780" s="28">
        <v>60.150000000000006</v>
      </c>
      <c r="M780" s="26">
        <v>198</v>
      </c>
      <c r="N780" s="26">
        <v>29700</v>
      </c>
    </row>
    <row r="781" spans="1:14" ht="15" customHeight="1" x14ac:dyDescent="0.3">
      <c r="A781" s="25" t="s">
        <v>1505</v>
      </c>
      <c r="B781" s="26" t="s">
        <v>1506</v>
      </c>
      <c r="C781" s="26" t="s">
        <v>1476</v>
      </c>
      <c r="D781" s="27">
        <v>5</v>
      </c>
      <c r="E781" s="27">
        <v>131</v>
      </c>
      <c r="F781" s="27">
        <v>0</v>
      </c>
      <c r="G781" s="27">
        <v>0</v>
      </c>
      <c r="H781" s="27">
        <v>131</v>
      </c>
      <c r="I781" s="27">
        <f>+IFERROR(VLOOKUP(A781,'[1]Pending Dispatch'!$N$2:$O$651,2,0),0)</f>
        <v>0</v>
      </c>
      <c r="J781" s="27">
        <f t="shared" si="12"/>
        <v>131</v>
      </c>
      <c r="K781" s="28">
        <v>1.151</v>
      </c>
      <c r="L781" s="28">
        <v>26.472999999999999</v>
      </c>
      <c r="M781" s="26">
        <v>734</v>
      </c>
      <c r="N781" s="26">
        <v>88814</v>
      </c>
    </row>
    <row r="782" spans="1:14" ht="15" customHeight="1" x14ac:dyDescent="0.3">
      <c r="A782" s="25" t="s">
        <v>1507</v>
      </c>
      <c r="B782" s="26" t="s">
        <v>1508</v>
      </c>
      <c r="C782" s="26" t="s">
        <v>1476</v>
      </c>
      <c r="D782" s="27">
        <v>5</v>
      </c>
      <c r="E782" s="27">
        <v>0</v>
      </c>
      <c r="F782" s="27">
        <v>55</v>
      </c>
      <c r="G782" s="27">
        <v>0</v>
      </c>
      <c r="H782" s="27">
        <v>55</v>
      </c>
      <c r="I782" s="27">
        <f>+IFERROR(VLOOKUP(A782,'[1]Pending Dispatch'!$N$2:$O$651,2,0),0)</f>
        <v>0</v>
      </c>
      <c r="J782" s="27">
        <f t="shared" si="12"/>
        <v>55</v>
      </c>
      <c r="K782" s="28">
        <v>1.1419999999999999</v>
      </c>
      <c r="L782" s="28">
        <v>10.277999999999999</v>
      </c>
      <c r="M782" s="26">
        <v>585</v>
      </c>
      <c r="N782" s="26">
        <v>26325</v>
      </c>
    </row>
    <row r="783" spans="1:14" ht="15" customHeight="1" x14ac:dyDescent="0.3">
      <c r="A783" s="25" t="s">
        <v>1509</v>
      </c>
      <c r="B783" s="26" t="s">
        <v>1510</v>
      </c>
      <c r="C783" s="26" t="s">
        <v>1476</v>
      </c>
      <c r="D783" s="27">
        <v>4</v>
      </c>
      <c r="E783" s="27">
        <v>8</v>
      </c>
      <c r="F783" s="27">
        <v>0</v>
      </c>
      <c r="G783" s="27">
        <v>0</v>
      </c>
      <c r="H783" s="27">
        <v>8</v>
      </c>
      <c r="I783" s="27">
        <f>+IFERROR(VLOOKUP(A783,'[1]Pending Dispatch'!$N$2:$O$651,2,0),0)</f>
        <v>16</v>
      </c>
      <c r="J783" s="27">
        <f t="shared" si="12"/>
        <v>-8</v>
      </c>
      <c r="K783" s="28">
        <v>1.5129999999999999</v>
      </c>
      <c r="L783" s="28">
        <v>66.572000000000003</v>
      </c>
      <c r="M783" s="26">
        <v>720</v>
      </c>
      <c r="N783" s="26">
        <v>-8640</v>
      </c>
    </row>
    <row r="784" spans="1:14" ht="15" customHeight="1" x14ac:dyDescent="0.3">
      <c r="A784" s="25" t="s">
        <v>1511</v>
      </c>
      <c r="B784" s="26" t="s">
        <v>1512</v>
      </c>
      <c r="C784" s="26" t="s">
        <v>1476</v>
      </c>
      <c r="D784" s="27">
        <v>3</v>
      </c>
      <c r="E784" s="27">
        <v>66</v>
      </c>
      <c r="F784" s="27">
        <v>0</v>
      </c>
      <c r="G784" s="27">
        <v>0</v>
      </c>
      <c r="H784" s="27">
        <v>66</v>
      </c>
      <c r="I784" s="27">
        <f>+IFERROR(VLOOKUP(A784,'[1]Pending Dispatch'!$N$2:$O$651,2,0),0)</f>
        <v>0</v>
      </c>
      <c r="J784" s="27">
        <f t="shared" si="12"/>
        <v>66</v>
      </c>
      <c r="K784" s="28">
        <v>1.5139999999999999E-3</v>
      </c>
      <c r="L784" s="28">
        <v>0.10446599999999999</v>
      </c>
      <c r="M784" s="26">
        <v>778</v>
      </c>
      <c r="N784" s="26">
        <v>51348</v>
      </c>
    </row>
    <row r="785" spans="1:14" ht="15" customHeight="1" x14ac:dyDescent="0.3">
      <c r="A785" s="25" t="s">
        <v>1513</v>
      </c>
      <c r="B785" s="26" t="s">
        <v>1514</v>
      </c>
      <c r="C785" s="26" t="s">
        <v>1476</v>
      </c>
      <c r="D785" s="27">
        <v>90</v>
      </c>
      <c r="E785" s="27">
        <v>1257</v>
      </c>
      <c r="F785" s="27">
        <v>0</v>
      </c>
      <c r="G785" s="27">
        <v>270</v>
      </c>
      <c r="H785" s="27">
        <v>987</v>
      </c>
      <c r="I785" s="27">
        <f>+IFERROR(VLOOKUP(A785,'[1]Pending Dispatch'!$N$2:$O$651,2,0),0)</f>
        <v>1170</v>
      </c>
      <c r="J785" s="27">
        <f t="shared" si="12"/>
        <v>-183</v>
      </c>
      <c r="K785" s="28">
        <v>0.14099999999999999</v>
      </c>
      <c r="L785" s="28">
        <v>59.642999999999994</v>
      </c>
      <c r="M785" s="26">
        <v>68</v>
      </c>
      <c r="N785" s="26">
        <v>67116</v>
      </c>
    </row>
    <row r="786" spans="1:14" ht="15" customHeight="1" x14ac:dyDescent="0.3">
      <c r="A786" s="25" t="s">
        <v>1515</v>
      </c>
      <c r="B786" s="26" t="s">
        <v>1516</v>
      </c>
      <c r="C786" s="26" t="s">
        <v>1476</v>
      </c>
      <c r="D786" s="27">
        <v>70</v>
      </c>
      <c r="E786" s="27">
        <v>599</v>
      </c>
      <c r="F786" s="27">
        <v>0</v>
      </c>
      <c r="G786" s="27">
        <v>211</v>
      </c>
      <c r="H786" s="27">
        <v>388</v>
      </c>
      <c r="I786" s="27">
        <f>+IFERROR(VLOOKUP(A786,'[1]Pending Dispatch'!$N$2:$O$651,2,0),0)</f>
        <v>140</v>
      </c>
      <c r="J786" s="27">
        <f t="shared" si="12"/>
        <v>248</v>
      </c>
      <c r="K786" s="28">
        <v>0.16500000000000001</v>
      </c>
      <c r="L786" s="28">
        <v>110.715</v>
      </c>
      <c r="M786" s="26">
        <v>80</v>
      </c>
      <c r="N786" s="26">
        <v>8640</v>
      </c>
    </row>
    <row r="787" spans="1:14" ht="15" customHeight="1" x14ac:dyDescent="0.3">
      <c r="A787" s="25" t="s">
        <v>1517</v>
      </c>
      <c r="B787" s="26" t="s">
        <v>1518</v>
      </c>
      <c r="C787" s="26" t="s">
        <v>1476</v>
      </c>
      <c r="D787" s="27">
        <v>50</v>
      </c>
      <c r="E787" s="27">
        <v>485</v>
      </c>
      <c r="F787" s="27">
        <v>0</v>
      </c>
      <c r="G787" s="27">
        <v>50</v>
      </c>
      <c r="H787" s="27">
        <v>435</v>
      </c>
      <c r="I787" s="27">
        <f>+IFERROR(VLOOKUP(A787,'[1]Pending Dispatch'!$N$2:$O$651,2,0),0)</f>
        <v>400</v>
      </c>
      <c r="J787" s="27">
        <f t="shared" si="12"/>
        <v>35</v>
      </c>
      <c r="K787" s="28">
        <v>0.17599999999999999</v>
      </c>
      <c r="L787" s="28">
        <v>146.95999999999998</v>
      </c>
      <c r="M787" s="26">
        <v>1398</v>
      </c>
      <c r="N787" s="26">
        <v>-20970</v>
      </c>
    </row>
    <row r="788" spans="1:14" ht="15" customHeight="1" x14ac:dyDescent="0.3">
      <c r="A788" s="25" t="s">
        <v>1519</v>
      </c>
      <c r="B788" s="26" t="s">
        <v>1520</v>
      </c>
      <c r="C788" s="26" t="s">
        <v>1476</v>
      </c>
      <c r="D788" s="27">
        <v>140</v>
      </c>
      <c r="E788" s="27">
        <v>148</v>
      </c>
      <c r="F788" s="27">
        <v>1820</v>
      </c>
      <c r="G788" s="27">
        <v>421</v>
      </c>
      <c r="H788" s="27">
        <v>1547</v>
      </c>
      <c r="I788" s="27">
        <f>+IFERROR(VLOOKUP(A788,'[1]Pending Dispatch'!$N$2:$O$651,2,0),0)</f>
        <v>0</v>
      </c>
      <c r="J788" s="27">
        <f t="shared" si="12"/>
        <v>1547</v>
      </c>
      <c r="K788" s="28">
        <v>9.9500000000000005E-2</v>
      </c>
      <c r="L788" s="28">
        <v>195.816</v>
      </c>
      <c r="M788" s="26">
        <v>48</v>
      </c>
      <c r="N788" s="26">
        <v>67536</v>
      </c>
    </row>
    <row r="789" spans="1:14" ht="15" customHeight="1" x14ac:dyDescent="0.3">
      <c r="A789" s="25" t="s">
        <v>1521</v>
      </c>
      <c r="B789" s="26" t="s">
        <v>1522</v>
      </c>
      <c r="C789" s="26" t="s">
        <v>1476</v>
      </c>
      <c r="D789" s="27">
        <v>140</v>
      </c>
      <c r="E789" s="27">
        <v>2064</v>
      </c>
      <c r="F789" s="27">
        <v>0</v>
      </c>
      <c r="G789" s="27">
        <v>0</v>
      </c>
      <c r="H789" s="27">
        <v>2064</v>
      </c>
      <c r="I789" s="27">
        <f>+IFERROR(VLOOKUP(A789,'[1]Pending Dispatch'!$N$2:$O$651,2,0),0)</f>
        <v>0</v>
      </c>
      <c r="J789" s="27">
        <f t="shared" si="12"/>
        <v>2064</v>
      </c>
      <c r="K789" s="28">
        <v>9.8000000000000004E-2</v>
      </c>
      <c r="L789" s="28">
        <v>202.27200000000002</v>
      </c>
      <c r="M789" s="26">
        <v>1414</v>
      </c>
      <c r="N789" s="26">
        <v>2918496</v>
      </c>
    </row>
    <row r="790" spans="1:14" ht="15" customHeight="1" x14ac:dyDescent="0.3">
      <c r="A790" s="25" t="s">
        <v>1523</v>
      </c>
      <c r="B790" s="26" t="s">
        <v>1524</v>
      </c>
      <c r="C790" s="26" t="s">
        <v>1476</v>
      </c>
      <c r="D790" s="27">
        <v>45</v>
      </c>
      <c r="E790" s="27">
        <v>831</v>
      </c>
      <c r="F790" s="27">
        <v>0</v>
      </c>
      <c r="G790" s="27">
        <v>136</v>
      </c>
      <c r="H790" s="27">
        <v>695</v>
      </c>
      <c r="I790" s="27">
        <f>+IFERROR(VLOOKUP(A790,'[1]Pending Dispatch'!$N$2:$O$651,2,0),0)</f>
        <v>0</v>
      </c>
      <c r="J790" s="27">
        <f t="shared" si="12"/>
        <v>695</v>
      </c>
      <c r="K790" s="28">
        <v>0.251</v>
      </c>
      <c r="L790" s="28">
        <v>175.19800000000001</v>
      </c>
      <c r="M790" s="26">
        <v>123</v>
      </c>
      <c r="N790" s="26">
        <v>74415</v>
      </c>
    </row>
    <row r="791" spans="1:14" ht="15" customHeight="1" x14ac:dyDescent="0.3">
      <c r="A791" s="25" t="s">
        <v>1525</v>
      </c>
      <c r="B791" s="26" t="s">
        <v>1526</v>
      </c>
      <c r="C791" s="26" t="s">
        <v>1476</v>
      </c>
      <c r="D791" s="27">
        <v>40</v>
      </c>
      <c r="E791" s="27">
        <v>1321</v>
      </c>
      <c r="F791" s="27">
        <v>0</v>
      </c>
      <c r="G791" s="27">
        <v>0</v>
      </c>
      <c r="H791" s="27">
        <v>1321</v>
      </c>
      <c r="I791" s="27">
        <f>+IFERROR(VLOOKUP(A791,'[1]Pending Dispatch'!$N$2:$O$651,2,0),0)</f>
        <v>200</v>
      </c>
      <c r="J791" s="27">
        <f t="shared" si="12"/>
        <v>1121</v>
      </c>
      <c r="K791" s="28">
        <v>0.26900000000000002</v>
      </c>
      <c r="L791" s="28">
        <v>409.149</v>
      </c>
      <c r="M791" s="26">
        <v>2798</v>
      </c>
      <c r="N791" s="26">
        <v>3136558</v>
      </c>
    </row>
    <row r="792" spans="1:14" ht="15" customHeight="1" x14ac:dyDescent="0.3">
      <c r="A792" s="25" t="s">
        <v>1527</v>
      </c>
      <c r="B792" s="26" t="s">
        <v>1528</v>
      </c>
      <c r="C792" s="26" t="s">
        <v>1476</v>
      </c>
      <c r="D792" s="27">
        <v>35</v>
      </c>
      <c r="E792" s="27">
        <v>672</v>
      </c>
      <c r="F792" s="27">
        <v>0</v>
      </c>
      <c r="G792" s="27">
        <v>35</v>
      </c>
      <c r="H792" s="27">
        <v>637</v>
      </c>
      <c r="I792" s="27">
        <f>+IFERROR(VLOOKUP(A792,'[1]Pending Dispatch'!$N$2:$O$651,2,0),0)</f>
        <v>105</v>
      </c>
      <c r="J792" s="27">
        <f t="shared" si="12"/>
        <v>532</v>
      </c>
      <c r="K792" s="28">
        <v>0.308</v>
      </c>
      <c r="L792" s="28">
        <v>163.85599999999999</v>
      </c>
      <c r="M792" s="26">
        <v>152</v>
      </c>
      <c r="N792" s="26">
        <v>75544</v>
      </c>
    </row>
    <row r="793" spans="1:14" ht="15" customHeight="1" x14ac:dyDescent="0.3">
      <c r="A793" s="25" t="s">
        <v>1529</v>
      </c>
      <c r="B793" s="26" t="s">
        <v>1530</v>
      </c>
      <c r="C793" s="26" t="s">
        <v>1476</v>
      </c>
      <c r="D793" s="27">
        <v>30</v>
      </c>
      <c r="E793" s="27">
        <v>207</v>
      </c>
      <c r="F793" s="27">
        <v>0</v>
      </c>
      <c r="G793" s="27">
        <v>0</v>
      </c>
      <c r="H793" s="27">
        <v>207</v>
      </c>
      <c r="I793" s="27">
        <f>+IFERROR(VLOOKUP(A793,'[1]Pending Dispatch'!$N$2:$O$651,2,0),0)</f>
        <v>0</v>
      </c>
      <c r="J793" s="27">
        <f t="shared" si="12"/>
        <v>207</v>
      </c>
      <c r="K793" s="28">
        <v>0.317</v>
      </c>
      <c r="L793" s="28">
        <v>113.169</v>
      </c>
      <c r="M793" s="26">
        <v>2812</v>
      </c>
      <c r="N793" s="26">
        <v>582084</v>
      </c>
    </row>
    <row r="794" spans="1:14" ht="15" customHeight="1" x14ac:dyDescent="0.3">
      <c r="A794" s="25" t="s">
        <v>1531</v>
      </c>
      <c r="B794" s="26" t="s">
        <v>1532</v>
      </c>
      <c r="C794" s="26" t="s">
        <v>1476</v>
      </c>
      <c r="D794" s="27">
        <v>50</v>
      </c>
      <c r="E794" s="27">
        <v>365</v>
      </c>
      <c r="F794" s="27">
        <v>1650</v>
      </c>
      <c r="G794" s="27">
        <v>700</v>
      </c>
      <c r="H794" s="27">
        <v>1315</v>
      </c>
      <c r="I794" s="27">
        <f>+IFERROR(VLOOKUP(A794,'[1]Pending Dispatch'!$N$2:$O$651,2,0),0)</f>
        <v>500</v>
      </c>
      <c r="J794" s="27">
        <f t="shared" si="12"/>
        <v>815</v>
      </c>
      <c r="K794" s="28">
        <v>0.19</v>
      </c>
      <c r="L794" s="28">
        <v>202.35</v>
      </c>
      <c r="M794" s="26">
        <v>92</v>
      </c>
      <c r="N794" s="26">
        <v>88780</v>
      </c>
    </row>
    <row r="795" spans="1:14" ht="15" customHeight="1" x14ac:dyDescent="0.3">
      <c r="A795" s="25" t="s">
        <v>1533</v>
      </c>
      <c r="B795" s="26" t="s">
        <v>1534</v>
      </c>
      <c r="C795" s="26" t="s">
        <v>1476</v>
      </c>
      <c r="D795" s="27">
        <v>30</v>
      </c>
      <c r="E795" s="27">
        <v>204</v>
      </c>
      <c r="F795" s="27">
        <v>0</v>
      </c>
      <c r="G795" s="27">
        <v>90</v>
      </c>
      <c r="H795" s="27">
        <v>114</v>
      </c>
      <c r="I795" s="27">
        <f>+IFERROR(VLOOKUP(A795,'[1]Pending Dispatch'!$N$2:$O$651,2,0),0)</f>
        <v>60</v>
      </c>
      <c r="J795" s="27">
        <f t="shared" si="12"/>
        <v>54</v>
      </c>
      <c r="K795" s="28">
        <v>0.23200000000000001</v>
      </c>
      <c r="L795" s="28">
        <v>89.088000000000008</v>
      </c>
      <c r="M795" s="26">
        <v>378</v>
      </c>
      <c r="N795" s="26">
        <v>20412</v>
      </c>
    </row>
    <row r="796" spans="1:14" ht="15" customHeight="1" x14ac:dyDescent="0.3">
      <c r="A796" s="25" t="s">
        <v>1535</v>
      </c>
      <c r="B796" s="26" t="s">
        <v>1536</v>
      </c>
      <c r="C796" s="26" t="s">
        <v>1476</v>
      </c>
      <c r="D796" s="27">
        <v>80</v>
      </c>
      <c r="E796" s="27">
        <v>324</v>
      </c>
      <c r="F796" s="27">
        <v>0</v>
      </c>
      <c r="G796" s="27">
        <v>80</v>
      </c>
      <c r="H796" s="27">
        <v>244</v>
      </c>
      <c r="I796" s="27">
        <f>+IFERROR(VLOOKUP(A796,'[1]Pending Dispatch'!$N$2:$O$651,2,0),0)</f>
        <v>0</v>
      </c>
      <c r="J796" s="27">
        <f t="shared" si="12"/>
        <v>244</v>
      </c>
      <c r="K796" s="28">
        <v>0.13800000000000001</v>
      </c>
      <c r="L796" s="28">
        <v>152.90400000000002</v>
      </c>
      <c r="M796" s="26">
        <v>67</v>
      </c>
      <c r="N796" s="26">
        <v>16348</v>
      </c>
    </row>
    <row r="797" spans="1:14" ht="15" customHeight="1" x14ac:dyDescent="0.3">
      <c r="A797" s="25" t="s">
        <v>1537</v>
      </c>
      <c r="B797" s="26" t="s">
        <v>1538</v>
      </c>
      <c r="C797" s="26" t="s">
        <v>1476</v>
      </c>
      <c r="D797" s="27">
        <v>80</v>
      </c>
      <c r="E797" s="27">
        <v>388</v>
      </c>
      <c r="F797" s="27">
        <v>0</v>
      </c>
      <c r="G797" s="27">
        <v>0</v>
      </c>
      <c r="H797" s="27">
        <v>388</v>
      </c>
      <c r="I797" s="27">
        <f>+IFERROR(VLOOKUP(A797,'[1]Pending Dispatch'!$N$2:$O$651,2,0),0)</f>
        <v>0</v>
      </c>
      <c r="J797" s="27">
        <f t="shared" si="12"/>
        <v>388</v>
      </c>
      <c r="K797" s="28">
        <v>0.13700000000000001</v>
      </c>
      <c r="L797" s="28">
        <v>53.156000000000006</v>
      </c>
      <c r="M797" s="26">
        <v>536</v>
      </c>
      <c r="N797" s="26">
        <v>207968</v>
      </c>
    </row>
    <row r="798" spans="1:14" ht="15" customHeight="1" x14ac:dyDescent="0.3">
      <c r="A798" s="25" t="s">
        <v>1539</v>
      </c>
      <c r="B798" s="26" t="s">
        <v>1540</v>
      </c>
      <c r="C798" s="26" t="s">
        <v>1476</v>
      </c>
      <c r="D798" s="27">
        <v>25</v>
      </c>
      <c r="E798" s="27">
        <v>389</v>
      </c>
      <c r="F798" s="27">
        <v>0</v>
      </c>
      <c r="G798" s="27">
        <v>0</v>
      </c>
      <c r="H798" s="27">
        <v>389</v>
      </c>
      <c r="I798" s="27">
        <f>+IFERROR(VLOOKUP(A798,'[1]Pending Dispatch'!$N$2:$O$651,2,0),0)</f>
        <v>50</v>
      </c>
      <c r="J798" s="27">
        <f t="shared" si="12"/>
        <v>339</v>
      </c>
      <c r="K798" s="28">
        <v>0.32400000000000001</v>
      </c>
      <c r="L798" s="28">
        <v>236.196</v>
      </c>
      <c r="M798" s="26">
        <v>160</v>
      </c>
      <c r="N798" s="26">
        <v>54240</v>
      </c>
    </row>
    <row r="799" spans="1:14" ht="15" customHeight="1" x14ac:dyDescent="0.3">
      <c r="A799" s="25" t="s">
        <v>1541</v>
      </c>
      <c r="B799" s="26" t="s">
        <v>1542</v>
      </c>
      <c r="C799" s="26" t="s">
        <v>1476</v>
      </c>
      <c r="D799" s="27">
        <v>24</v>
      </c>
      <c r="E799" s="27">
        <v>301</v>
      </c>
      <c r="F799" s="27">
        <v>0</v>
      </c>
      <c r="G799" s="27">
        <v>0</v>
      </c>
      <c r="H799" s="27">
        <v>301</v>
      </c>
      <c r="I799" s="27">
        <f>+IFERROR(VLOOKUP(A799,'[1]Pending Dispatch'!$N$2:$O$651,2,0),0)</f>
        <v>0</v>
      </c>
      <c r="J799" s="27">
        <f t="shared" si="12"/>
        <v>301</v>
      </c>
      <c r="K799" s="28">
        <v>0.33900000000000002</v>
      </c>
      <c r="L799" s="28">
        <v>53.223000000000006</v>
      </c>
      <c r="M799" s="26">
        <v>724</v>
      </c>
      <c r="N799" s="26">
        <v>217924</v>
      </c>
    </row>
    <row r="800" spans="1:14" ht="15" customHeight="1" x14ac:dyDescent="0.3">
      <c r="A800" s="25" t="s">
        <v>1543</v>
      </c>
      <c r="B800" s="26" t="s">
        <v>1544</v>
      </c>
      <c r="C800" s="26" t="s">
        <v>1476</v>
      </c>
      <c r="D800" s="27">
        <v>20</v>
      </c>
      <c r="E800" s="27">
        <v>201</v>
      </c>
      <c r="F800" s="27">
        <v>0</v>
      </c>
      <c r="G800" s="27">
        <v>200</v>
      </c>
      <c r="H800" s="27">
        <v>1</v>
      </c>
      <c r="I800" s="27">
        <f>+IFERROR(VLOOKUP(A800,'[1]Pending Dispatch'!$N$2:$O$651,2,0),0)</f>
        <v>0</v>
      </c>
      <c r="J800" s="27">
        <f t="shared" si="12"/>
        <v>1</v>
      </c>
      <c r="K800" s="28">
        <v>0.40100000000000002</v>
      </c>
      <c r="L800" s="28">
        <v>136.74100000000001</v>
      </c>
      <c r="M800" s="26">
        <v>197</v>
      </c>
      <c r="N800" s="26">
        <v>197</v>
      </c>
    </row>
    <row r="801" spans="1:14" ht="15" customHeight="1" x14ac:dyDescent="0.3">
      <c r="A801" s="25" t="s">
        <v>1545</v>
      </c>
      <c r="B801" s="26" t="s">
        <v>1546</v>
      </c>
      <c r="C801" s="26" t="s">
        <v>1476</v>
      </c>
      <c r="D801" s="27">
        <v>20</v>
      </c>
      <c r="E801" s="27">
        <v>158</v>
      </c>
      <c r="F801" s="27">
        <v>0</v>
      </c>
      <c r="G801" s="27">
        <v>0</v>
      </c>
      <c r="H801" s="27">
        <v>158</v>
      </c>
      <c r="I801" s="27">
        <f>+IFERROR(VLOOKUP(A801,'[1]Pending Dispatch'!$N$2:$O$651,2,0),0)</f>
        <v>0</v>
      </c>
      <c r="J801" s="27">
        <f t="shared" si="12"/>
        <v>158</v>
      </c>
      <c r="K801" s="28">
        <v>0.41199999999999998</v>
      </c>
      <c r="L801" s="28">
        <v>98.055999999999997</v>
      </c>
      <c r="M801" s="26">
        <v>1058</v>
      </c>
      <c r="N801" s="26">
        <v>167164</v>
      </c>
    </row>
    <row r="802" spans="1:14" ht="15" customHeight="1" x14ac:dyDescent="0.3">
      <c r="A802" s="25">
        <v>5102</v>
      </c>
      <c r="B802" s="26" t="s">
        <v>1547</v>
      </c>
      <c r="C802" s="26" t="s">
        <v>1476</v>
      </c>
      <c r="D802" s="27">
        <v>1000</v>
      </c>
      <c r="E802" s="27">
        <v>0</v>
      </c>
      <c r="F802" s="27">
        <v>0</v>
      </c>
      <c r="G802" s="27">
        <v>0</v>
      </c>
      <c r="H802" s="27">
        <v>0</v>
      </c>
      <c r="I802" s="27">
        <f>+IFERROR(VLOOKUP(A802,'[1]Pending Dispatch'!$N$2:$O$651,2,0),0)</f>
        <v>300</v>
      </c>
      <c r="J802" s="27">
        <f t="shared" si="12"/>
        <v>-300</v>
      </c>
      <c r="K802" s="28">
        <v>6.0000000000000001E-3</v>
      </c>
      <c r="L802" s="28">
        <v>0</v>
      </c>
      <c r="M802" s="26">
        <v>10.5</v>
      </c>
      <c r="N802" s="26">
        <v>-3150</v>
      </c>
    </row>
    <row r="803" spans="1:14" ht="15" customHeight="1" x14ac:dyDescent="0.3">
      <c r="A803" s="25">
        <v>5103</v>
      </c>
      <c r="B803" s="26" t="s">
        <v>1548</v>
      </c>
      <c r="C803" s="26" t="s">
        <v>1476</v>
      </c>
      <c r="D803" s="27">
        <v>1000</v>
      </c>
      <c r="E803" s="27">
        <v>0</v>
      </c>
      <c r="F803" s="27">
        <v>0</v>
      </c>
      <c r="G803" s="27">
        <v>0</v>
      </c>
      <c r="H803" s="27">
        <v>0</v>
      </c>
      <c r="I803" s="27">
        <f>+IFERROR(VLOOKUP(A803,'[1]Pending Dispatch'!$N$2:$O$651,2,0),0)</f>
        <v>0</v>
      </c>
      <c r="J803" s="27">
        <f t="shared" si="12"/>
        <v>0</v>
      </c>
      <c r="K803" s="28">
        <v>0.01</v>
      </c>
      <c r="L803" s="28">
        <v>0</v>
      </c>
      <c r="M803" s="26">
        <v>1038</v>
      </c>
      <c r="N803" s="26">
        <v>0</v>
      </c>
    </row>
    <row r="804" spans="1:14" ht="15" customHeight="1" x14ac:dyDescent="0.3">
      <c r="A804" s="25">
        <v>5104</v>
      </c>
      <c r="B804" s="26" t="s">
        <v>1548</v>
      </c>
      <c r="C804" s="26" t="s">
        <v>1476</v>
      </c>
      <c r="D804" s="27">
        <v>1000</v>
      </c>
      <c r="E804" s="27">
        <v>0</v>
      </c>
      <c r="F804" s="27">
        <v>0</v>
      </c>
      <c r="G804" s="27">
        <v>0</v>
      </c>
      <c r="H804" s="27">
        <v>0</v>
      </c>
      <c r="I804" s="27">
        <f>+IFERROR(VLOOKUP(A804,'[1]Pending Dispatch'!$N$2:$O$651,2,0),0)</f>
        <v>200</v>
      </c>
      <c r="J804" s="27">
        <f t="shared" si="12"/>
        <v>-200</v>
      </c>
      <c r="K804" s="28">
        <v>1.2999999999999999E-2</v>
      </c>
      <c r="L804" s="28">
        <v>0</v>
      </c>
      <c r="M804" s="26">
        <v>23.4</v>
      </c>
      <c r="N804" s="26">
        <v>-4680</v>
      </c>
    </row>
    <row r="805" spans="1:14" ht="15" customHeight="1" x14ac:dyDescent="0.3">
      <c r="A805" s="25">
        <v>5105</v>
      </c>
      <c r="B805" s="26" t="s">
        <v>1549</v>
      </c>
      <c r="C805" s="26" t="s">
        <v>1476</v>
      </c>
      <c r="D805" s="27">
        <v>1000</v>
      </c>
      <c r="E805" s="27">
        <v>0</v>
      </c>
      <c r="F805" s="27">
        <v>0</v>
      </c>
      <c r="G805" s="27">
        <v>0</v>
      </c>
      <c r="H805" s="27">
        <v>0</v>
      </c>
      <c r="I805" s="27">
        <f>+IFERROR(VLOOKUP(A805,'[1]Pending Dispatch'!$N$2:$O$651,2,0),0)</f>
        <v>0</v>
      </c>
      <c r="J805" s="27">
        <f t="shared" si="12"/>
        <v>0</v>
      </c>
      <c r="K805" s="28">
        <v>4.7E-2</v>
      </c>
      <c r="L805" s="28">
        <v>0</v>
      </c>
      <c r="M805" s="26">
        <v>40.9</v>
      </c>
      <c r="N805" s="26">
        <v>0</v>
      </c>
    </row>
    <row r="806" spans="1:14" ht="15" customHeight="1" x14ac:dyDescent="0.3">
      <c r="A806" s="33">
        <v>5110</v>
      </c>
      <c r="B806" s="34" t="s">
        <v>1550</v>
      </c>
      <c r="C806" s="34" t="s">
        <v>1476</v>
      </c>
      <c r="D806" s="35">
        <v>25</v>
      </c>
      <c r="E806" s="35">
        <v>2458</v>
      </c>
      <c r="F806" s="35">
        <v>11495</v>
      </c>
      <c r="G806" s="35">
        <v>13105</v>
      </c>
      <c r="H806" s="35">
        <v>848</v>
      </c>
      <c r="I806" s="27">
        <f>+IFERROR(VLOOKUP(A806,'[1]Pending Dispatch'!$N$2:$O$651,2,0),0)</f>
        <v>7450</v>
      </c>
      <c r="J806" s="27">
        <f t="shared" si="12"/>
        <v>-6602</v>
      </c>
      <c r="K806" s="36">
        <v>0.33500000000000002</v>
      </c>
      <c r="L806" s="36">
        <v>600.32000000000005</v>
      </c>
      <c r="M806" s="34">
        <v>918</v>
      </c>
      <c r="N806" s="34">
        <v>-4844286</v>
      </c>
    </row>
    <row r="807" spans="1:14" ht="15" customHeight="1" x14ac:dyDescent="0.3">
      <c r="A807" s="25">
        <v>5111</v>
      </c>
      <c r="B807" s="26" t="s">
        <v>1551</v>
      </c>
      <c r="C807" s="26" t="s">
        <v>1476</v>
      </c>
      <c r="D807" s="27">
        <v>20</v>
      </c>
      <c r="E807" s="27">
        <v>3342</v>
      </c>
      <c r="F807" s="27">
        <v>24780</v>
      </c>
      <c r="G807" s="27">
        <v>24197</v>
      </c>
      <c r="H807" s="27">
        <v>3925</v>
      </c>
      <c r="I807" s="27">
        <f>+IFERROR(VLOOKUP(A807,'[1]Pending Dispatch'!$N$2:$O$651,2,0),0)</f>
        <v>9820</v>
      </c>
      <c r="J807" s="27">
        <f t="shared" si="12"/>
        <v>-5895</v>
      </c>
      <c r="K807" s="28">
        <v>0.43360000000000004</v>
      </c>
      <c r="L807" s="28">
        <v>2442.0352000000003</v>
      </c>
      <c r="M807" s="26">
        <v>188</v>
      </c>
      <c r="N807" s="26">
        <v>-702180</v>
      </c>
    </row>
    <row r="808" spans="1:14" ht="15" customHeight="1" x14ac:dyDescent="0.3">
      <c r="A808" s="33">
        <v>5112</v>
      </c>
      <c r="B808" s="34" t="s">
        <v>1552</v>
      </c>
      <c r="C808" s="34" t="s">
        <v>1476</v>
      </c>
      <c r="D808" s="35">
        <v>18</v>
      </c>
      <c r="E808" s="35">
        <v>1108</v>
      </c>
      <c r="F808" s="35">
        <v>1585</v>
      </c>
      <c r="G808" s="35">
        <v>2261</v>
      </c>
      <c r="H808" s="35">
        <v>432</v>
      </c>
      <c r="I808" s="27">
        <f>+IFERROR(VLOOKUP(A808,'[1]Pending Dispatch'!$N$2:$O$651,2,0),0)</f>
        <v>1656</v>
      </c>
      <c r="J808" s="27">
        <f t="shared" si="12"/>
        <v>-1224</v>
      </c>
      <c r="K808" s="36">
        <v>0.42149999999999999</v>
      </c>
      <c r="L808" s="36">
        <v>837.09899999999993</v>
      </c>
      <c r="M808" s="34">
        <v>928</v>
      </c>
      <c r="N808" s="34">
        <v>-183744</v>
      </c>
    </row>
    <row r="809" spans="1:14" ht="15" customHeight="1" x14ac:dyDescent="0.3">
      <c r="A809" s="25">
        <v>5114</v>
      </c>
      <c r="B809" s="26" t="s">
        <v>1553</v>
      </c>
      <c r="C809" s="26" t="s">
        <v>1476</v>
      </c>
      <c r="D809" s="27">
        <v>15</v>
      </c>
      <c r="E809" s="27">
        <v>234</v>
      </c>
      <c r="F809" s="27">
        <v>0</v>
      </c>
      <c r="G809" s="27">
        <v>0</v>
      </c>
      <c r="H809" s="27">
        <v>234</v>
      </c>
      <c r="I809" s="27">
        <f>+IFERROR(VLOOKUP(A809,'[1]Pending Dispatch'!$N$2:$O$651,2,0),0)</f>
        <v>0</v>
      </c>
      <c r="J809" s="27">
        <f t="shared" si="12"/>
        <v>234</v>
      </c>
      <c r="K809" s="28">
        <v>0.4148</v>
      </c>
      <c r="L809" s="28">
        <v>173.38640000000001</v>
      </c>
      <c r="M809" s="26">
        <v>224</v>
      </c>
      <c r="N809" s="26">
        <v>52416</v>
      </c>
    </row>
    <row r="810" spans="1:14" ht="15" customHeight="1" x14ac:dyDescent="0.3">
      <c r="A810" s="38">
        <v>5115</v>
      </c>
      <c r="B810" s="44" t="s">
        <v>1554</v>
      </c>
      <c r="C810" s="26" t="s">
        <v>1476</v>
      </c>
      <c r="D810" s="27">
        <v>15</v>
      </c>
      <c r="E810" s="27">
        <v>95</v>
      </c>
      <c r="F810" s="27">
        <v>0</v>
      </c>
      <c r="G810" s="27">
        <v>45</v>
      </c>
      <c r="H810" s="27">
        <v>50</v>
      </c>
      <c r="I810" s="27">
        <f>+IFERROR(VLOOKUP(A810,'[1]Pending Dispatch'!$N$2:$O$651,2,0),0)</f>
        <v>75</v>
      </c>
      <c r="J810" s="27">
        <f t="shared" si="12"/>
        <v>-25</v>
      </c>
      <c r="K810" s="28">
        <v>0.4148</v>
      </c>
      <c r="L810" s="28">
        <v>114.07000000000001</v>
      </c>
      <c r="M810" s="26">
        <v>1836</v>
      </c>
      <c r="N810" s="26">
        <v>91800</v>
      </c>
    </row>
    <row r="811" spans="1:14" ht="15" customHeight="1" x14ac:dyDescent="0.3">
      <c r="A811" s="25">
        <v>5121</v>
      </c>
      <c r="B811" s="26" t="s">
        <v>1555</v>
      </c>
      <c r="C811" s="26" t="s">
        <v>1476</v>
      </c>
      <c r="D811" s="27">
        <v>36</v>
      </c>
      <c r="E811" s="27">
        <v>2980</v>
      </c>
      <c r="F811" s="27">
        <v>11304</v>
      </c>
      <c r="G811" s="27">
        <v>12288</v>
      </c>
      <c r="H811" s="27">
        <v>1996</v>
      </c>
      <c r="I811" s="27">
        <f>+IFERROR(VLOOKUP(A811,'[1]Pending Dispatch'!$N$2:$O$651,2,0),0)</f>
        <v>2052</v>
      </c>
      <c r="J811" s="27">
        <f t="shared" si="12"/>
        <v>-56</v>
      </c>
      <c r="K811" s="28">
        <v>0.307</v>
      </c>
      <c r="L811" s="28">
        <v>1555.876</v>
      </c>
      <c r="M811" s="26">
        <v>134</v>
      </c>
      <c r="N811" s="26">
        <v>-7504</v>
      </c>
    </row>
    <row r="812" spans="1:14" ht="15" customHeight="1" x14ac:dyDescent="0.3">
      <c r="A812" s="25">
        <v>5122</v>
      </c>
      <c r="B812" s="26" t="s">
        <v>1556</v>
      </c>
      <c r="C812" s="26" t="s">
        <v>1476</v>
      </c>
      <c r="D812" s="27">
        <v>36</v>
      </c>
      <c r="E812" s="27">
        <v>387</v>
      </c>
      <c r="F812" s="27">
        <v>0</v>
      </c>
      <c r="G812" s="27">
        <v>72</v>
      </c>
      <c r="H812" s="27">
        <v>315</v>
      </c>
      <c r="I812" s="27">
        <f>+IFERROR(VLOOKUP(A812,'[1]Pending Dispatch'!$N$2:$O$651,2,0),0)</f>
        <v>0</v>
      </c>
      <c r="J812" s="27">
        <f t="shared" si="12"/>
        <v>315</v>
      </c>
      <c r="K812" s="28">
        <v>0.30399999999999999</v>
      </c>
      <c r="L812" s="28">
        <v>292.75200000000001</v>
      </c>
      <c r="M812" s="26">
        <v>1846</v>
      </c>
      <c r="N812" s="26">
        <v>581490</v>
      </c>
    </row>
    <row r="813" spans="1:14" ht="15" customHeight="1" x14ac:dyDescent="0.3">
      <c r="A813" s="25">
        <v>5131</v>
      </c>
      <c r="B813" s="26" t="s">
        <v>1557</v>
      </c>
      <c r="C813" s="26" t="s">
        <v>1476</v>
      </c>
      <c r="D813" s="27">
        <v>8</v>
      </c>
      <c r="E813" s="27">
        <v>19</v>
      </c>
      <c r="F813" s="27">
        <v>464</v>
      </c>
      <c r="G813" s="27">
        <v>96</v>
      </c>
      <c r="H813" s="27">
        <v>387</v>
      </c>
      <c r="I813" s="27">
        <f>+IFERROR(VLOOKUP(A813,'[1]Pending Dispatch'!$N$2:$O$651,2,0),0)</f>
        <v>24</v>
      </c>
      <c r="J813" s="27">
        <f t="shared" si="12"/>
        <v>363</v>
      </c>
      <c r="K813" s="28">
        <v>0.68679999999999997</v>
      </c>
      <c r="L813" s="28">
        <v>183.37559999999999</v>
      </c>
      <c r="M813" s="26">
        <v>310</v>
      </c>
      <c r="N813" s="26">
        <v>112530</v>
      </c>
    </row>
    <row r="814" spans="1:14" ht="15" customHeight="1" x14ac:dyDescent="0.3">
      <c r="A814" s="25">
        <v>5132</v>
      </c>
      <c r="B814" s="26" t="s">
        <v>1558</v>
      </c>
      <c r="C814" s="26" t="s">
        <v>1476</v>
      </c>
      <c r="D814" s="27">
        <v>7</v>
      </c>
      <c r="E814" s="27">
        <v>6</v>
      </c>
      <c r="F814" s="27">
        <v>98</v>
      </c>
      <c r="G814" s="27">
        <v>21</v>
      </c>
      <c r="H814" s="27">
        <v>83</v>
      </c>
      <c r="I814" s="27">
        <f>+IFERROR(VLOOKUP(A814,'[1]Pending Dispatch'!$N$2:$O$651,2,0),0)</f>
        <v>0</v>
      </c>
      <c r="J814" s="27">
        <f t="shared" si="12"/>
        <v>83</v>
      </c>
      <c r="K814" s="28">
        <v>0.69550000000000001</v>
      </c>
      <c r="L814" s="28">
        <v>38.252499999999998</v>
      </c>
      <c r="M814" s="26">
        <v>248</v>
      </c>
      <c r="N814" s="26">
        <v>20584</v>
      </c>
    </row>
    <row r="815" spans="1:14" ht="15" customHeight="1" x14ac:dyDescent="0.3">
      <c r="A815" s="25">
        <v>5133</v>
      </c>
      <c r="B815" s="26" t="s">
        <v>1559</v>
      </c>
      <c r="C815" s="26" t="s">
        <v>1476</v>
      </c>
      <c r="D815" s="27">
        <v>15</v>
      </c>
      <c r="E815" s="27">
        <v>1682</v>
      </c>
      <c r="F815" s="27">
        <v>11730</v>
      </c>
      <c r="G815" s="27">
        <v>11760</v>
      </c>
      <c r="H815" s="27">
        <v>1652</v>
      </c>
      <c r="I815" s="27">
        <f>+IFERROR(VLOOKUP(A815,'[1]Pending Dispatch'!$N$2:$O$651,2,0),0)</f>
        <v>2220</v>
      </c>
      <c r="J815" s="27">
        <f t="shared" si="12"/>
        <v>-568</v>
      </c>
      <c r="K815" s="28">
        <v>0.55800000000000005</v>
      </c>
      <c r="L815" s="28">
        <v>1448.0100000000002</v>
      </c>
      <c r="M815" s="26">
        <v>248</v>
      </c>
      <c r="N815" s="26">
        <v>-77624</v>
      </c>
    </row>
    <row r="816" spans="1:14" ht="15" customHeight="1" x14ac:dyDescent="0.3">
      <c r="A816" s="33">
        <v>5134</v>
      </c>
      <c r="B816" s="34" t="s">
        <v>1560</v>
      </c>
      <c r="C816" s="34" t="s">
        <v>1476</v>
      </c>
      <c r="D816" s="35">
        <v>10</v>
      </c>
      <c r="E816" s="35">
        <v>63</v>
      </c>
      <c r="F816" s="35">
        <v>2830</v>
      </c>
      <c r="G816" s="35">
        <v>1820</v>
      </c>
      <c r="H816" s="35">
        <v>1073</v>
      </c>
      <c r="I816" s="27">
        <f>+IFERROR(VLOOKUP(A816,'[1]Pending Dispatch'!$N$2:$O$651,2,0),0)</f>
        <v>460</v>
      </c>
      <c r="J816" s="27">
        <f t="shared" si="12"/>
        <v>613</v>
      </c>
      <c r="K816" s="36">
        <v>0.56899999999999995</v>
      </c>
      <c r="L816" s="36">
        <v>135.99099999999999</v>
      </c>
      <c r="M816" s="34">
        <v>368</v>
      </c>
      <c r="N816" s="34">
        <v>225584</v>
      </c>
    </row>
    <row r="817" spans="1:14" ht="15" customHeight="1" x14ac:dyDescent="0.3">
      <c r="A817" s="25">
        <v>5141</v>
      </c>
      <c r="B817" s="26" t="s">
        <v>1561</v>
      </c>
      <c r="C817" s="26" t="s">
        <v>1476</v>
      </c>
      <c r="D817" s="27">
        <v>10</v>
      </c>
      <c r="E817" s="27">
        <v>416</v>
      </c>
      <c r="F817" s="27">
        <v>878</v>
      </c>
      <c r="G817" s="27">
        <v>1200</v>
      </c>
      <c r="H817" s="27">
        <v>94</v>
      </c>
      <c r="I817" s="27">
        <f>+IFERROR(VLOOKUP(A817,'[1]Pending Dispatch'!$N$2:$O$651,2,0),0)</f>
        <v>1510</v>
      </c>
      <c r="J817" s="27">
        <f t="shared" si="12"/>
        <v>-1416</v>
      </c>
      <c r="K817" s="28">
        <v>0.69499999999999995</v>
      </c>
      <c r="L817" s="28">
        <v>912.53499999999997</v>
      </c>
      <c r="M817" s="26">
        <v>314.2</v>
      </c>
      <c r="N817" s="26">
        <v>-385209.2</v>
      </c>
    </row>
    <row r="818" spans="1:14" ht="15" customHeight="1" x14ac:dyDescent="0.3">
      <c r="A818" s="25">
        <v>5142</v>
      </c>
      <c r="B818" s="26" t="s">
        <v>1562</v>
      </c>
      <c r="C818" s="26" t="s">
        <v>1476</v>
      </c>
      <c r="D818" s="27">
        <v>10</v>
      </c>
      <c r="E818" s="27">
        <v>259</v>
      </c>
      <c r="F818" s="27">
        <v>0</v>
      </c>
      <c r="G818" s="27">
        <v>20</v>
      </c>
      <c r="H818" s="27">
        <v>239</v>
      </c>
      <c r="I818" s="27">
        <f>+IFERROR(VLOOKUP(A818,'[1]Pending Dispatch'!$N$2:$O$651,2,0),0)</f>
        <v>70</v>
      </c>
      <c r="J818" s="27">
        <f t="shared" si="12"/>
        <v>169</v>
      </c>
      <c r="K818" s="28">
        <v>0.74760000000000004</v>
      </c>
      <c r="L818" s="28">
        <v>271.37880000000001</v>
      </c>
      <c r="M818" s="26">
        <v>482</v>
      </c>
      <c r="N818" s="26">
        <v>81458</v>
      </c>
    </row>
    <row r="819" spans="1:14" ht="15" customHeight="1" x14ac:dyDescent="0.3">
      <c r="A819" s="25">
        <v>5143</v>
      </c>
      <c r="B819" s="26" t="s">
        <v>1563</v>
      </c>
      <c r="C819" s="26" t="s">
        <v>1476</v>
      </c>
      <c r="D819" s="27">
        <v>10</v>
      </c>
      <c r="E819" s="27">
        <v>0</v>
      </c>
      <c r="F819" s="27">
        <v>0</v>
      </c>
      <c r="G819" s="27">
        <v>0</v>
      </c>
      <c r="H819" s="27">
        <v>0</v>
      </c>
      <c r="I819" s="27">
        <f>+IFERROR(VLOOKUP(A819,'[1]Pending Dispatch'!$N$2:$O$651,2,0),0)</f>
        <v>20</v>
      </c>
      <c r="J819" s="27">
        <f t="shared" si="12"/>
        <v>-20</v>
      </c>
      <c r="K819" s="28">
        <v>0</v>
      </c>
      <c r="L819" s="28">
        <v>0</v>
      </c>
      <c r="M819" s="26">
        <v>438</v>
      </c>
      <c r="N819" s="26">
        <v>-8760</v>
      </c>
    </row>
    <row r="820" spans="1:14" ht="15" customHeight="1" x14ac:dyDescent="0.3">
      <c r="A820" s="25">
        <v>5144</v>
      </c>
      <c r="B820" s="26" t="s">
        <v>1564</v>
      </c>
      <c r="C820" s="26" t="s">
        <v>1476</v>
      </c>
      <c r="D820" s="27">
        <v>7</v>
      </c>
      <c r="E820" s="27">
        <v>97</v>
      </c>
      <c r="F820" s="27">
        <v>0</v>
      </c>
      <c r="G820" s="27">
        <v>0</v>
      </c>
      <c r="H820" s="27">
        <v>97</v>
      </c>
      <c r="I820" s="27">
        <f>+IFERROR(VLOOKUP(A820,'[1]Pending Dispatch'!$N$2:$O$651,2,0),0)</f>
        <v>7</v>
      </c>
      <c r="J820" s="27">
        <f t="shared" si="12"/>
        <v>90</v>
      </c>
      <c r="K820" s="28">
        <v>0.92049999999999998</v>
      </c>
      <c r="L820" s="28">
        <v>172.1335</v>
      </c>
      <c r="M820" s="26">
        <v>712</v>
      </c>
      <c r="N820" s="26">
        <v>64080</v>
      </c>
    </row>
    <row r="821" spans="1:14" ht="15" customHeight="1" x14ac:dyDescent="0.3">
      <c r="A821" s="25">
        <v>5145</v>
      </c>
      <c r="B821" s="26" t="s">
        <v>1565</v>
      </c>
      <c r="C821" s="26" t="s">
        <v>1476</v>
      </c>
      <c r="D821" s="27">
        <v>6</v>
      </c>
      <c r="E821" s="27">
        <v>236</v>
      </c>
      <c r="F821" s="27">
        <v>0</v>
      </c>
      <c r="G821" s="27">
        <v>12</v>
      </c>
      <c r="H821" s="27">
        <v>224</v>
      </c>
      <c r="I821" s="27">
        <f>+IFERROR(VLOOKUP(A821,'[1]Pending Dispatch'!$N$2:$O$651,2,0),0)</f>
        <v>0</v>
      </c>
      <c r="J821" s="27">
        <f t="shared" si="12"/>
        <v>224</v>
      </c>
      <c r="K821" s="28">
        <v>0.93049999999999999</v>
      </c>
      <c r="L821" s="28">
        <v>253.096</v>
      </c>
      <c r="M821" s="26">
        <v>444.4</v>
      </c>
      <c r="N821" s="26">
        <v>99545.599999999991</v>
      </c>
    </row>
    <row r="822" spans="1:14" ht="15" customHeight="1" x14ac:dyDescent="0.3">
      <c r="A822" s="25">
        <v>5151</v>
      </c>
      <c r="B822" s="26" t="s">
        <v>1566</v>
      </c>
      <c r="C822" s="26" t="s">
        <v>1476</v>
      </c>
      <c r="D822" s="27">
        <v>16</v>
      </c>
      <c r="E822" s="27">
        <v>393</v>
      </c>
      <c r="F822" s="27">
        <v>2408</v>
      </c>
      <c r="G822" s="27">
        <v>1488</v>
      </c>
      <c r="H822" s="27">
        <v>1313</v>
      </c>
      <c r="I822" s="27">
        <f>+IFERROR(VLOOKUP(A822,'[1]Pending Dispatch'!$N$2:$O$651,2,0),0)</f>
        <v>1104</v>
      </c>
      <c r="J822" s="27">
        <f t="shared" si="12"/>
        <v>209</v>
      </c>
      <c r="K822" s="28">
        <v>0.49349999999999999</v>
      </c>
      <c r="L822" s="28">
        <v>846.35249999999996</v>
      </c>
      <c r="M822" s="26">
        <v>692</v>
      </c>
      <c r="N822" s="26">
        <v>820020</v>
      </c>
    </row>
    <row r="823" spans="1:14" ht="15" customHeight="1" x14ac:dyDescent="0.3">
      <c r="A823" s="25">
        <v>5152</v>
      </c>
      <c r="B823" s="26" t="s">
        <v>1567</v>
      </c>
      <c r="C823" s="26" t="s">
        <v>1476</v>
      </c>
      <c r="D823" s="27">
        <v>14</v>
      </c>
      <c r="E823" s="27">
        <v>278</v>
      </c>
      <c r="F823" s="27">
        <v>0</v>
      </c>
      <c r="G823" s="27">
        <v>42</v>
      </c>
      <c r="H823" s="27">
        <v>236</v>
      </c>
      <c r="I823" s="27">
        <f>+IFERROR(VLOOKUP(A823,'[1]Pending Dispatch'!$N$2:$O$651,2,0),0)</f>
        <v>0</v>
      </c>
      <c r="J823" s="27">
        <f t="shared" si="12"/>
        <v>236</v>
      </c>
      <c r="K823" s="28">
        <v>0.52700000000000002</v>
      </c>
      <c r="L823" s="28">
        <v>220.286</v>
      </c>
      <c r="M823" s="26">
        <v>239.8</v>
      </c>
      <c r="N823" s="26">
        <v>56592.800000000003</v>
      </c>
    </row>
    <row r="824" spans="1:14" ht="15" customHeight="1" x14ac:dyDescent="0.3">
      <c r="A824" s="25">
        <v>5155</v>
      </c>
      <c r="B824" s="26" t="s">
        <v>1568</v>
      </c>
      <c r="C824" s="26" t="s">
        <v>1476</v>
      </c>
      <c r="D824" s="27">
        <v>15</v>
      </c>
      <c r="E824" s="27">
        <v>577</v>
      </c>
      <c r="F824" s="27">
        <v>0</v>
      </c>
      <c r="G824" s="27">
        <v>90</v>
      </c>
      <c r="H824" s="27">
        <v>487</v>
      </c>
      <c r="I824" s="27">
        <f>+IFERROR(VLOOKUP(A824,'[1]Pending Dispatch'!$N$2:$O$651,2,0),0)</f>
        <v>60</v>
      </c>
      <c r="J824" s="27">
        <f t="shared" si="12"/>
        <v>427</v>
      </c>
      <c r="K824" s="28">
        <v>0.54500000000000004</v>
      </c>
      <c r="L824" s="28">
        <v>11.99</v>
      </c>
      <c r="M824" s="26">
        <v>264.89999999999998</v>
      </c>
      <c r="N824" s="26">
        <v>113112.29999999999</v>
      </c>
    </row>
    <row r="825" spans="1:14" ht="15" customHeight="1" x14ac:dyDescent="0.3">
      <c r="A825" s="25">
        <v>5156</v>
      </c>
      <c r="B825" s="26" t="s">
        <v>1569</v>
      </c>
      <c r="C825" s="26" t="s">
        <v>1476</v>
      </c>
      <c r="D825" s="27">
        <v>12</v>
      </c>
      <c r="E825" s="27">
        <v>611</v>
      </c>
      <c r="F825" s="27">
        <v>0</v>
      </c>
      <c r="G825" s="27">
        <v>12</v>
      </c>
      <c r="H825" s="27">
        <v>599</v>
      </c>
      <c r="I825" s="27">
        <f>+IFERROR(VLOOKUP(A825,'[1]Pending Dispatch'!$N$2:$O$651,2,0),0)</f>
        <v>0</v>
      </c>
      <c r="J825" s="27">
        <f t="shared" si="12"/>
        <v>599</v>
      </c>
      <c r="K825" s="28">
        <v>0.57099999999999995</v>
      </c>
      <c r="L825" s="28">
        <v>348.88099999999997</v>
      </c>
      <c r="M825" s="26">
        <v>2498</v>
      </c>
      <c r="N825" s="26">
        <v>1496302</v>
      </c>
    </row>
    <row r="826" spans="1:14" ht="15" customHeight="1" x14ac:dyDescent="0.3">
      <c r="A826" s="25">
        <v>5157</v>
      </c>
      <c r="B826" s="26" t="s">
        <v>1570</v>
      </c>
      <c r="C826" s="26" t="s">
        <v>1476</v>
      </c>
      <c r="D826" s="27">
        <v>60</v>
      </c>
      <c r="E826" s="27">
        <v>297</v>
      </c>
      <c r="F826" s="27">
        <v>3840</v>
      </c>
      <c r="G826" s="27">
        <v>3420</v>
      </c>
      <c r="H826" s="27">
        <v>717</v>
      </c>
      <c r="I826" s="27">
        <f>+IFERROR(VLOOKUP(A826,'[1]Pending Dispatch'!$N$2:$O$651,2,0),0)</f>
        <v>1500</v>
      </c>
      <c r="J826" s="27">
        <f t="shared" si="12"/>
        <v>-783</v>
      </c>
      <c r="K826" s="28">
        <v>0.23130000000000001</v>
      </c>
      <c r="L826" s="28">
        <v>526.67010000000005</v>
      </c>
      <c r="M826" s="26">
        <v>107.8</v>
      </c>
      <c r="N826" s="26">
        <v>68992</v>
      </c>
    </row>
    <row r="827" spans="1:14" ht="15" customHeight="1" x14ac:dyDescent="0.3">
      <c r="A827" s="25">
        <v>5158</v>
      </c>
      <c r="B827" s="26" t="s">
        <v>1571</v>
      </c>
      <c r="C827" s="26" t="s">
        <v>1476</v>
      </c>
      <c r="D827" s="27">
        <v>15</v>
      </c>
      <c r="E827" s="27">
        <v>518</v>
      </c>
      <c r="F827" s="27">
        <v>0</v>
      </c>
      <c r="G827" s="27">
        <v>450</v>
      </c>
      <c r="H827" s="27">
        <v>68</v>
      </c>
      <c r="I827" s="27">
        <f>+IFERROR(VLOOKUP(A827,'[1]Pending Dispatch'!$N$2:$O$651,2,0),0)</f>
        <v>30</v>
      </c>
      <c r="J827" s="27">
        <f t="shared" si="12"/>
        <v>38</v>
      </c>
      <c r="K827" s="28">
        <v>0.46800000000000003</v>
      </c>
      <c r="L827" s="28">
        <v>111.384</v>
      </c>
      <c r="M827" s="26">
        <v>2524</v>
      </c>
      <c r="N827" s="26">
        <v>95912</v>
      </c>
    </row>
    <row r="828" spans="1:14" ht="15" customHeight="1" x14ac:dyDescent="0.3">
      <c r="A828" s="25">
        <v>5161</v>
      </c>
      <c r="B828" s="26" t="s">
        <v>1572</v>
      </c>
      <c r="C828" s="26" t="s">
        <v>1476</v>
      </c>
      <c r="D828" s="27">
        <v>108</v>
      </c>
      <c r="E828" s="27">
        <v>32</v>
      </c>
      <c r="F828" s="27">
        <v>5292</v>
      </c>
      <c r="G828" s="27">
        <v>3108</v>
      </c>
      <c r="H828" s="27">
        <v>2216</v>
      </c>
      <c r="I828" s="27">
        <f>+IFERROR(VLOOKUP(A828,'[1]Pending Dispatch'!$N$2:$O$651,2,0),0)</f>
        <v>2700</v>
      </c>
      <c r="J828" s="27">
        <f t="shared" si="12"/>
        <v>-484</v>
      </c>
      <c r="K828" s="28">
        <v>7.6100000000000001E-2</v>
      </c>
      <c r="L828" s="28">
        <v>241.99799999999999</v>
      </c>
      <c r="M828" s="26">
        <v>37.4</v>
      </c>
      <c r="N828" s="26">
        <v>-22140.799999999999</v>
      </c>
    </row>
    <row r="829" spans="1:14" ht="15" customHeight="1" x14ac:dyDescent="0.3">
      <c r="A829" s="33">
        <v>5162</v>
      </c>
      <c r="B829" s="34" t="s">
        <v>1573</v>
      </c>
      <c r="C829" s="34" t="s">
        <v>1476</v>
      </c>
      <c r="D829" s="35">
        <v>150</v>
      </c>
      <c r="E829" s="35">
        <v>3209</v>
      </c>
      <c r="F829" s="35">
        <v>5961</v>
      </c>
      <c r="G829" s="35">
        <v>8450</v>
      </c>
      <c r="H829" s="35">
        <v>720</v>
      </c>
      <c r="I829" s="27">
        <f>+IFERROR(VLOOKUP(A829,'[1]Pending Dispatch'!$N$2:$O$651,2,0),0)</f>
        <v>8100</v>
      </c>
      <c r="J829" s="27">
        <f t="shared" si="12"/>
        <v>-7380</v>
      </c>
      <c r="K829" s="36">
        <v>5.5E-2</v>
      </c>
      <c r="L829" s="36">
        <v>206.745</v>
      </c>
      <c r="M829" s="34">
        <v>4996</v>
      </c>
      <c r="N829" s="34">
        <v>-29376480</v>
      </c>
    </row>
    <row r="830" spans="1:14" ht="15" customHeight="1" x14ac:dyDescent="0.3">
      <c r="A830" s="25">
        <v>5163</v>
      </c>
      <c r="B830" s="26" t="s">
        <v>1574</v>
      </c>
      <c r="C830" s="26" t="s">
        <v>1476</v>
      </c>
      <c r="D830" s="27">
        <v>24</v>
      </c>
      <c r="E830" s="27">
        <v>0</v>
      </c>
      <c r="F830" s="27">
        <v>224</v>
      </c>
      <c r="G830" s="27">
        <v>220</v>
      </c>
      <c r="H830" s="27">
        <v>4</v>
      </c>
      <c r="I830" s="27">
        <f>+IFERROR(VLOOKUP(A830,'[1]Pending Dispatch'!$N$2:$O$651,2,0),0)</f>
        <v>240</v>
      </c>
      <c r="J830" s="27">
        <f t="shared" si="12"/>
        <v>-236</v>
      </c>
      <c r="K830" s="28">
        <v>0.42299999999999999</v>
      </c>
      <c r="L830" s="28">
        <v>0</v>
      </c>
      <c r="M830" s="26">
        <v>203.3</v>
      </c>
      <c r="N830" s="26">
        <v>-47978.8</v>
      </c>
    </row>
    <row r="831" spans="1:14" ht="15" customHeight="1" x14ac:dyDescent="0.3">
      <c r="A831" s="25" t="s">
        <v>1575</v>
      </c>
      <c r="B831" s="26" t="s">
        <v>1576</v>
      </c>
      <c r="C831" s="26" t="s">
        <v>1476</v>
      </c>
      <c r="D831" s="27">
        <v>24</v>
      </c>
      <c r="E831" s="27">
        <v>6</v>
      </c>
      <c r="F831" s="27">
        <v>6848</v>
      </c>
      <c r="G831" s="27">
        <v>3608</v>
      </c>
      <c r="H831" s="27">
        <v>3246</v>
      </c>
      <c r="I831" s="27">
        <f>+IFERROR(VLOOKUP(A831,'[1]Pending Dispatch'!$N$2:$O$651,2,0),0)</f>
        <v>984</v>
      </c>
      <c r="J831" s="27">
        <f t="shared" si="12"/>
        <v>2262</v>
      </c>
      <c r="K831" s="28">
        <v>0.42299999999999999</v>
      </c>
      <c r="L831" s="28">
        <v>2188.1790000000001</v>
      </c>
      <c r="M831" s="26">
        <v>5020</v>
      </c>
      <c r="N831" s="26">
        <v>11355240</v>
      </c>
    </row>
    <row r="832" spans="1:14" ht="15" customHeight="1" x14ac:dyDescent="0.3">
      <c r="A832" s="33">
        <v>5164</v>
      </c>
      <c r="B832" s="34" t="s">
        <v>1577</v>
      </c>
      <c r="C832" s="34" t="s">
        <v>1476</v>
      </c>
      <c r="D832" s="35">
        <v>150</v>
      </c>
      <c r="E832" s="35">
        <v>13314</v>
      </c>
      <c r="F832" s="35">
        <v>3680</v>
      </c>
      <c r="G832" s="35">
        <v>16994</v>
      </c>
      <c r="H832" s="35">
        <v>0</v>
      </c>
      <c r="I832" s="27">
        <f>+IFERROR(VLOOKUP(A832,'[1]Pending Dispatch'!$N$2:$O$651,2,0),0)</f>
        <v>600</v>
      </c>
      <c r="J832" s="27">
        <f t="shared" si="12"/>
        <v>-600</v>
      </c>
      <c r="K832" s="36">
        <v>8.5300000000000001E-2</v>
      </c>
      <c r="L832" s="36">
        <v>461.30239999999998</v>
      </c>
      <c r="M832" s="34">
        <v>42.6</v>
      </c>
      <c r="N832" s="34">
        <v>-6390</v>
      </c>
    </row>
    <row r="833" spans="1:14" ht="15" customHeight="1" x14ac:dyDescent="0.3">
      <c r="A833" s="25">
        <v>5171</v>
      </c>
      <c r="B833" s="26" t="s">
        <v>1578</v>
      </c>
      <c r="C833" s="26" t="s">
        <v>1476</v>
      </c>
      <c r="D833" s="27">
        <v>10</v>
      </c>
      <c r="E833" s="27">
        <v>732</v>
      </c>
      <c r="F833" s="27">
        <v>2990</v>
      </c>
      <c r="G833" s="27">
        <v>3200</v>
      </c>
      <c r="H833" s="27">
        <v>522</v>
      </c>
      <c r="I833" s="27">
        <f>+IFERROR(VLOOKUP(A833,'[1]Pending Dispatch'!$N$2:$O$651,2,0),0)</f>
        <v>620</v>
      </c>
      <c r="J833" s="27">
        <f t="shared" si="12"/>
        <v>-98</v>
      </c>
      <c r="K833" s="28">
        <v>0.81499999999999995</v>
      </c>
      <c r="L833" s="28">
        <v>516.70999999999992</v>
      </c>
      <c r="M833" s="26">
        <v>692</v>
      </c>
      <c r="N833" s="26">
        <v>-102416</v>
      </c>
    </row>
    <row r="834" spans="1:14" ht="15" customHeight="1" x14ac:dyDescent="0.3">
      <c r="A834" s="25">
        <v>5172</v>
      </c>
      <c r="B834" s="26" t="s">
        <v>1579</v>
      </c>
      <c r="C834" s="26" t="s">
        <v>1476</v>
      </c>
      <c r="D834" s="27">
        <v>10</v>
      </c>
      <c r="E834" s="27">
        <v>108</v>
      </c>
      <c r="F834" s="27">
        <v>0</v>
      </c>
      <c r="G834" s="27">
        <v>0</v>
      </c>
      <c r="H834" s="27">
        <v>108</v>
      </c>
      <c r="I834" s="27">
        <f>+IFERROR(VLOOKUP(A834,'[1]Pending Dispatch'!$N$2:$O$651,2,0),0)</f>
        <v>0</v>
      </c>
      <c r="J834" s="27">
        <f t="shared" si="12"/>
        <v>108</v>
      </c>
      <c r="K834" s="28">
        <v>0.91359999999999997</v>
      </c>
      <c r="L834" s="28">
        <v>116.9408</v>
      </c>
      <c r="M834" s="26">
        <v>424</v>
      </c>
      <c r="N834" s="26">
        <v>45792</v>
      </c>
    </row>
    <row r="835" spans="1:14" ht="15" customHeight="1" x14ac:dyDescent="0.3">
      <c r="A835" s="25">
        <v>5173</v>
      </c>
      <c r="B835" s="26" t="s">
        <v>1580</v>
      </c>
      <c r="C835" s="26" t="s">
        <v>1476</v>
      </c>
      <c r="D835" s="27">
        <v>10</v>
      </c>
      <c r="E835" s="27">
        <v>0</v>
      </c>
      <c r="F835" s="27">
        <v>42</v>
      </c>
      <c r="G835" s="27">
        <v>30</v>
      </c>
      <c r="H835" s="27">
        <v>12</v>
      </c>
      <c r="I835" s="27">
        <f>+IFERROR(VLOOKUP(A835,'[1]Pending Dispatch'!$N$2:$O$651,2,0),0)</f>
        <v>70</v>
      </c>
      <c r="J835" s="27">
        <f t="shared" si="12"/>
        <v>-58</v>
      </c>
      <c r="K835" s="28">
        <v>0.96</v>
      </c>
      <c r="L835" s="28">
        <v>0</v>
      </c>
      <c r="M835" s="26">
        <v>998</v>
      </c>
      <c r="N835" s="26">
        <v>-97804</v>
      </c>
    </row>
    <row r="836" spans="1:14" ht="15" customHeight="1" x14ac:dyDescent="0.3">
      <c r="A836" s="33">
        <v>5710</v>
      </c>
      <c r="B836" s="34" t="s">
        <v>1581</v>
      </c>
      <c r="C836" s="34" t="s">
        <v>1476</v>
      </c>
      <c r="D836" s="35">
        <v>75</v>
      </c>
      <c r="E836" s="35">
        <v>3412</v>
      </c>
      <c r="F836" s="35">
        <v>6183</v>
      </c>
      <c r="G836" s="35">
        <v>6750</v>
      </c>
      <c r="H836" s="35">
        <v>2845</v>
      </c>
      <c r="I836" s="27">
        <f>+IFERROR(VLOOKUP(A836,'[1]Pending Dispatch'!$N$2:$O$651,2,0),0)</f>
        <v>2925</v>
      </c>
      <c r="J836" s="27">
        <f t="shared" si="12"/>
        <v>-80</v>
      </c>
      <c r="K836" s="36">
        <v>0.17100000000000001</v>
      </c>
      <c r="L836" s="36">
        <v>614.91600000000005</v>
      </c>
      <c r="M836" s="34">
        <v>72.7</v>
      </c>
      <c r="N836" s="34">
        <v>-5816</v>
      </c>
    </row>
    <row r="837" spans="1:14" ht="15" customHeight="1" x14ac:dyDescent="0.3">
      <c r="A837" s="25">
        <v>5711</v>
      </c>
      <c r="B837" s="26" t="s">
        <v>1582</v>
      </c>
      <c r="C837" s="26" t="s">
        <v>1476</v>
      </c>
      <c r="D837" s="27">
        <v>60</v>
      </c>
      <c r="E837" s="27">
        <v>4024</v>
      </c>
      <c r="F837" s="27">
        <v>20220</v>
      </c>
      <c r="G837" s="27">
        <v>13351</v>
      </c>
      <c r="H837" s="27">
        <v>10893</v>
      </c>
      <c r="I837" s="27">
        <f>+IFERROR(VLOOKUP(A837,'[1]Pending Dispatch'!$N$2:$O$651,2,0),0)</f>
        <v>10320</v>
      </c>
      <c r="J837" s="27">
        <f t="shared" si="12"/>
        <v>573</v>
      </c>
      <c r="K837" s="28">
        <v>0.19850000000000001</v>
      </c>
      <c r="L837" s="28">
        <v>2494.748</v>
      </c>
      <c r="M837" s="26">
        <v>1298</v>
      </c>
      <c r="N837" s="26">
        <v>743754</v>
      </c>
    </row>
    <row r="838" spans="1:14" ht="15" customHeight="1" x14ac:dyDescent="0.3">
      <c r="A838" s="33">
        <v>5712</v>
      </c>
      <c r="B838" s="34" t="s">
        <v>1583</v>
      </c>
      <c r="C838" s="34" t="s">
        <v>1476</v>
      </c>
      <c r="D838" s="35">
        <v>50</v>
      </c>
      <c r="E838" s="35">
        <v>2464</v>
      </c>
      <c r="F838" s="35">
        <v>3001</v>
      </c>
      <c r="G838" s="35">
        <v>3395</v>
      </c>
      <c r="H838" s="35">
        <v>2070</v>
      </c>
      <c r="I838" s="27">
        <f>+IFERROR(VLOOKUP(A838,'[1]Pending Dispatch'!$N$2:$O$651,2,0),0)</f>
        <v>1200</v>
      </c>
      <c r="J838" s="27">
        <f t="shared" ref="J838:J901" si="13">+H838-I838</f>
        <v>870</v>
      </c>
      <c r="K838" s="36">
        <v>0.20799999999999999</v>
      </c>
      <c r="L838" s="36">
        <v>649.79199999999992</v>
      </c>
      <c r="M838" s="34">
        <v>98</v>
      </c>
      <c r="N838" s="34">
        <v>85260</v>
      </c>
    </row>
    <row r="839" spans="1:14" ht="15" customHeight="1" x14ac:dyDescent="0.3">
      <c r="A839" s="25">
        <v>5714</v>
      </c>
      <c r="B839" s="26" t="s">
        <v>1584</v>
      </c>
      <c r="C839" s="26" t="s">
        <v>1476</v>
      </c>
      <c r="D839" s="27">
        <v>45</v>
      </c>
      <c r="E839" s="27">
        <v>488</v>
      </c>
      <c r="F839" s="27">
        <v>0</v>
      </c>
      <c r="G839" s="27">
        <v>0</v>
      </c>
      <c r="H839" s="27">
        <v>488</v>
      </c>
      <c r="I839" s="27">
        <f>+IFERROR(VLOOKUP(A839,'[1]Pending Dispatch'!$N$2:$O$651,2,0),0)</f>
        <v>0</v>
      </c>
      <c r="J839" s="27">
        <f t="shared" si="13"/>
        <v>488</v>
      </c>
      <c r="K839" s="28">
        <v>0.2</v>
      </c>
      <c r="L839" s="28">
        <v>97.600000000000009</v>
      </c>
      <c r="M839" s="26">
        <v>1884</v>
      </c>
      <c r="N839" s="26">
        <v>919392</v>
      </c>
    </row>
    <row r="840" spans="1:14" ht="15" customHeight="1" x14ac:dyDescent="0.3">
      <c r="A840" s="25">
        <v>5715</v>
      </c>
      <c r="B840" s="26" t="s">
        <v>1585</v>
      </c>
      <c r="C840" s="26" t="s">
        <v>1476</v>
      </c>
      <c r="D840" s="27">
        <v>45</v>
      </c>
      <c r="E840" s="27">
        <v>293</v>
      </c>
      <c r="F840" s="27">
        <v>0</v>
      </c>
      <c r="G840" s="27">
        <v>0</v>
      </c>
      <c r="H840" s="27">
        <v>293</v>
      </c>
      <c r="I840" s="27">
        <f>+IFERROR(VLOOKUP(A840,'[1]Pending Dispatch'!$N$2:$O$651,2,0),0)</f>
        <v>0</v>
      </c>
      <c r="J840" s="27">
        <f t="shared" si="13"/>
        <v>293</v>
      </c>
      <c r="K840" s="28">
        <v>0.2</v>
      </c>
      <c r="L840" s="28">
        <v>58.6</v>
      </c>
      <c r="M840" s="26">
        <v>108.3</v>
      </c>
      <c r="N840" s="26">
        <v>31731.899999999998</v>
      </c>
    </row>
    <row r="841" spans="1:14" ht="15" customHeight="1" x14ac:dyDescent="0.3">
      <c r="A841" s="25">
        <v>5721</v>
      </c>
      <c r="B841" s="26" t="s">
        <v>1586</v>
      </c>
      <c r="C841" s="26" t="s">
        <v>1476</v>
      </c>
      <c r="D841" s="27">
        <v>90</v>
      </c>
      <c r="E841" s="27">
        <v>2276</v>
      </c>
      <c r="F841" s="27">
        <v>5233</v>
      </c>
      <c r="G841" s="27">
        <v>4082</v>
      </c>
      <c r="H841" s="27">
        <v>3427</v>
      </c>
      <c r="I841" s="27">
        <f>+IFERROR(VLOOKUP(A841,'[1]Pending Dispatch'!$N$2:$O$651,2,0),0)</f>
        <v>2160</v>
      </c>
      <c r="J841" s="27">
        <f t="shared" si="13"/>
        <v>1267</v>
      </c>
      <c r="K841" s="28">
        <v>0.14699999999999999</v>
      </c>
      <c r="L841" s="28">
        <v>820.11299999999994</v>
      </c>
      <c r="M841" s="26">
        <v>1860</v>
      </c>
      <c r="N841" s="26">
        <v>2356620</v>
      </c>
    </row>
    <row r="842" spans="1:14" ht="15" customHeight="1" x14ac:dyDescent="0.3">
      <c r="A842" s="25">
        <v>5722</v>
      </c>
      <c r="B842" s="26" t="s">
        <v>1587</v>
      </c>
      <c r="C842" s="26" t="s">
        <v>1476</v>
      </c>
      <c r="D842" s="27">
        <v>90</v>
      </c>
      <c r="E842" s="27">
        <v>958</v>
      </c>
      <c r="F842" s="27">
        <v>0</v>
      </c>
      <c r="G842" s="27">
        <v>180</v>
      </c>
      <c r="H842" s="27">
        <v>778</v>
      </c>
      <c r="I842" s="27">
        <f>+IFERROR(VLOOKUP(A842,'[1]Pending Dispatch'!$N$2:$O$651,2,0),0)</f>
        <v>180</v>
      </c>
      <c r="J842" s="27">
        <f t="shared" si="13"/>
        <v>598</v>
      </c>
      <c r="K842" s="28">
        <v>0.14799999999999999</v>
      </c>
      <c r="L842" s="28">
        <v>288.30399999999997</v>
      </c>
      <c r="M842" s="26">
        <v>66.400000000000006</v>
      </c>
      <c r="N842" s="26">
        <v>39707.200000000004</v>
      </c>
    </row>
    <row r="843" spans="1:14" ht="15" customHeight="1" x14ac:dyDescent="0.3">
      <c r="A843" s="25">
        <v>5731</v>
      </c>
      <c r="B843" s="26" t="s">
        <v>1588</v>
      </c>
      <c r="C843" s="26" t="s">
        <v>1476</v>
      </c>
      <c r="D843" s="27">
        <v>25</v>
      </c>
      <c r="E843" s="27">
        <v>395</v>
      </c>
      <c r="F843" s="27">
        <v>0</v>
      </c>
      <c r="G843" s="27">
        <v>100</v>
      </c>
      <c r="H843" s="27">
        <v>295</v>
      </c>
      <c r="I843" s="27">
        <f>+IFERROR(VLOOKUP(A843,'[1]Pending Dispatch'!$N$2:$O$651,2,0),0)</f>
        <v>25</v>
      </c>
      <c r="J843" s="27">
        <f t="shared" si="13"/>
        <v>270</v>
      </c>
      <c r="K843" s="28">
        <v>0.34520000000000001</v>
      </c>
      <c r="L843" s="28">
        <v>179.50399999999999</v>
      </c>
      <c r="M843" s="26">
        <v>157</v>
      </c>
      <c r="N843" s="26">
        <v>42390</v>
      </c>
    </row>
    <row r="844" spans="1:14" ht="15" customHeight="1" x14ac:dyDescent="0.3">
      <c r="A844" s="25">
        <v>5732</v>
      </c>
      <c r="B844" s="26" t="s">
        <v>1589</v>
      </c>
      <c r="C844" s="26" t="s">
        <v>1476</v>
      </c>
      <c r="D844" s="27">
        <v>20</v>
      </c>
      <c r="E844" s="27">
        <v>36</v>
      </c>
      <c r="F844" s="27">
        <v>0</v>
      </c>
      <c r="G844" s="27">
        <v>0</v>
      </c>
      <c r="H844" s="27">
        <v>36</v>
      </c>
      <c r="I844" s="27">
        <f>+IFERROR(VLOOKUP(A844,'[1]Pending Dispatch'!$N$2:$O$651,2,0),0)</f>
        <v>0</v>
      </c>
      <c r="J844" s="27">
        <f t="shared" si="13"/>
        <v>36</v>
      </c>
      <c r="K844" s="28">
        <v>0.34539999999999998</v>
      </c>
      <c r="L844" s="28">
        <v>33.1584</v>
      </c>
      <c r="M844" s="26">
        <v>2070</v>
      </c>
      <c r="N844" s="26">
        <v>74520</v>
      </c>
    </row>
    <row r="845" spans="1:14" ht="15" customHeight="1" x14ac:dyDescent="0.3">
      <c r="A845" s="25">
        <v>5733</v>
      </c>
      <c r="B845" s="26" t="s">
        <v>1590</v>
      </c>
      <c r="C845" s="26" t="s">
        <v>1476</v>
      </c>
      <c r="D845" s="27">
        <v>40</v>
      </c>
      <c r="E845" s="27">
        <v>2875</v>
      </c>
      <c r="F845" s="27">
        <v>5040</v>
      </c>
      <c r="G845" s="27">
        <v>5201</v>
      </c>
      <c r="H845" s="27">
        <v>2714</v>
      </c>
      <c r="I845" s="27">
        <f>+IFERROR(VLOOKUP(A845,'[1]Pending Dispatch'!$N$2:$O$651,2,0),0)</f>
        <v>2556</v>
      </c>
      <c r="J845" s="27">
        <f t="shared" si="13"/>
        <v>158</v>
      </c>
      <c r="K845" s="28">
        <v>0.27900000000000003</v>
      </c>
      <c r="L845" s="28">
        <v>1347.5700000000002</v>
      </c>
      <c r="M845" s="26">
        <v>121</v>
      </c>
      <c r="N845" s="26">
        <v>19118</v>
      </c>
    </row>
    <row r="846" spans="1:14" ht="15" customHeight="1" x14ac:dyDescent="0.3">
      <c r="A846" s="25">
        <v>5734</v>
      </c>
      <c r="B846" s="26" t="s">
        <v>1591</v>
      </c>
      <c r="C846" s="26" t="s">
        <v>1476</v>
      </c>
      <c r="D846" s="27">
        <v>30</v>
      </c>
      <c r="E846" s="27">
        <v>270</v>
      </c>
      <c r="F846" s="27">
        <v>1590</v>
      </c>
      <c r="G846" s="27">
        <v>1090</v>
      </c>
      <c r="H846" s="27">
        <v>770</v>
      </c>
      <c r="I846" s="27">
        <f>+IFERROR(VLOOKUP(A846,'[1]Pending Dispatch'!$N$2:$O$651,2,0),0)</f>
        <v>450</v>
      </c>
      <c r="J846" s="27">
        <f t="shared" si="13"/>
        <v>320</v>
      </c>
      <c r="K846" s="28">
        <v>0.29299999999999998</v>
      </c>
      <c r="L846" s="28">
        <v>361.56199999999995</v>
      </c>
      <c r="M846" s="26">
        <v>2090</v>
      </c>
      <c r="N846" s="26">
        <v>668800</v>
      </c>
    </row>
    <row r="847" spans="1:14" ht="15" customHeight="1" x14ac:dyDescent="0.3">
      <c r="A847" s="25">
        <v>5741</v>
      </c>
      <c r="B847" s="26" t="s">
        <v>1592</v>
      </c>
      <c r="C847" s="26" t="s">
        <v>1476</v>
      </c>
      <c r="D847" s="27">
        <v>32</v>
      </c>
      <c r="E847" s="27">
        <v>721</v>
      </c>
      <c r="F847" s="27">
        <v>896</v>
      </c>
      <c r="G847" s="27">
        <v>1216</v>
      </c>
      <c r="H847" s="27">
        <v>401</v>
      </c>
      <c r="I847" s="27">
        <f>+IFERROR(VLOOKUP(A847,'[1]Pending Dispatch'!$N$2:$O$651,2,0),0)</f>
        <v>832</v>
      </c>
      <c r="J847" s="27">
        <f t="shared" si="13"/>
        <v>-431</v>
      </c>
      <c r="K847" s="28">
        <v>0.33100000000000002</v>
      </c>
      <c r="L847" s="28">
        <v>910.91200000000003</v>
      </c>
      <c r="M847" s="26">
        <v>152.19999999999999</v>
      </c>
      <c r="N847" s="26">
        <v>114606.59999999999</v>
      </c>
    </row>
    <row r="848" spans="1:14" ht="15" customHeight="1" x14ac:dyDescent="0.3">
      <c r="A848" s="25">
        <v>5742</v>
      </c>
      <c r="B848" s="26" t="s">
        <v>1593</v>
      </c>
      <c r="C848" s="26" t="s">
        <v>1476</v>
      </c>
      <c r="D848" s="27">
        <v>30</v>
      </c>
      <c r="E848" s="27">
        <v>921</v>
      </c>
      <c r="F848" s="27">
        <v>0</v>
      </c>
      <c r="G848" s="27">
        <v>60</v>
      </c>
      <c r="H848" s="27">
        <v>861</v>
      </c>
      <c r="I848" s="27">
        <f>+IFERROR(VLOOKUP(A848,'[1]Pending Dispatch'!$N$2:$O$651,2,0),0)</f>
        <v>120</v>
      </c>
      <c r="J848" s="27">
        <f t="shared" si="13"/>
        <v>741</v>
      </c>
      <c r="K848" s="28">
        <v>0.35020000000000001</v>
      </c>
      <c r="L848" s="28">
        <v>344.947</v>
      </c>
      <c r="M848" s="26">
        <v>4140</v>
      </c>
      <c r="N848" s="26">
        <v>3067740</v>
      </c>
    </row>
    <row r="849" spans="1:14" ht="15" customHeight="1" x14ac:dyDescent="0.3">
      <c r="A849" s="25">
        <v>5743</v>
      </c>
      <c r="B849" s="26" t="s">
        <v>1594</v>
      </c>
      <c r="C849" s="26" t="s">
        <v>1476</v>
      </c>
      <c r="D849" s="27">
        <v>32</v>
      </c>
      <c r="E849" s="27">
        <v>685</v>
      </c>
      <c r="F849" s="27">
        <v>0</v>
      </c>
      <c r="G849" s="27">
        <v>0</v>
      </c>
      <c r="H849" s="27">
        <v>685</v>
      </c>
      <c r="I849" s="27">
        <f>+IFERROR(VLOOKUP(A849,'[1]Pending Dispatch'!$N$2:$O$651,2,0),0)</f>
        <v>0</v>
      </c>
      <c r="J849" s="27">
        <f t="shared" si="13"/>
        <v>685</v>
      </c>
      <c r="K849" s="28">
        <v>0.31930000000000003</v>
      </c>
      <c r="L849" s="28">
        <v>228.93810000000002</v>
      </c>
      <c r="M849" s="26">
        <v>178</v>
      </c>
      <c r="N849" s="26">
        <v>121930</v>
      </c>
    </row>
    <row r="850" spans="1:14" ht="15" customHeight="1" x14ac:dyDescent="0.3">
      <c r="A850" s="25">
        <v>5744</v>
      </c>
      <c r="B850" s="26" t="s">
        <v>1595</v>
      </c>
      <c r="C850" s="26" t="s">
        <v>1476</v>
      </c>
      <c r="D850" s="27">
        <v>25</v>
      </c>
      <c r="E850" s="27">
        <v>456</v>
      </c>
      <c r="F850" s="27">
        <v>0</v>
      </c>
      <c r="G850" s="27">
        <v>0</v>
      </c>
      <c r="H850" s="27">
        <v>456</v>
      </c>
      <c r="I850" s="27">
        <f>+IFERROR(VLOOKUP(A850,'[1]Pending Dispatch'!$N$2:$O$651,2,0),0)</f>
        <v>25</v>
      </c>
      <c r="J850" s="27">
        <f t="shared" si="13"/>
        <v>431</v>
      </c>
      <c r="K850" s="28">
        <v>0.42699999999999999</v>
      </c>
      <c r="L850" s="28">
        <v>235.27699999999999</v>
      </c>
      <c r="M850" s="26">
        <v>4160</v>
      </c>
      <c r="N850" s="26">
        <v>1792960</v>
      </c>
    </row>
    <row r="851" spans="1:14" ht="15" customHeight="1" x14ac:dyDescent="0.3">
      <c r="A851" s="25">
        <v>5745</v>
      </c>
      <c r="B851" s="26" t="s">
        <v>1596</v>
      </c>
      <c r="C851" s="26" t="s">
        <v>1476</v>
      </c>
      <c r="D851" s="27">
        <v>18</v>
      </c>
      <c r="E851" s="27">
        <v>13</v>
      </c>
      <c r="F851" s="27">
        <v>0</v>
      </c>
      <c r="G851" s="27">
        <v>0</v>
      </c>
      <c r="H851" s="27">
        <v>13</v>
      </c>
      <c r="I851" s="27">
        <f>+IFERROR(VLOOKUP(A851,'[1]Pending Dispatch'!$N$2:$O$651,2,0),0)</f>
        <v>0</v>
      </c>
      <c r="J851" s="27">
        <f t="shared" si="13"/>
        <v>13</v>
      </c>
      <c r="K851" s="28">
        <v>0.434</v>
      </c>
      <c r="L851" s="28">
        <v>21.265999999999998</v>
      </c>
      <c r="M851" s="26">
        <v>208.2</v>
      </c>
      <c r="N851" s="26">
        <v>2706.6</v>
      </c>
    </row>
    <row r="852" spans="1:14" ht="15" customHeight="1" x14ac:dyDescent="0.3">
      <c r="A852" s="25">
        <v>5746</v>
      </c>
      <c r="B852" s="26" t="s">
        <v>1597</v>
      </c>
      <c r="C852" s="26" t="s">
        <v>1476</v>
      </c>
      <c r="D852" s="27">
        <v>25</v>
      </c>
      <c r="E852" s="27">
        <v>75</v>
      </c>
      <c r="F852" s="27">
        <v>0</v>
      </c>
      <c r="G852" s="27">
        <v>25</v>
      </c>
      <c r="H852" s="27">
        <v>50</v>
      </c>
      <c r="I852" s="27">
        <f>+IFERROR(VLOOKUP(A852,'[1]Pending Dispatch'!$N$2:$O$651,2,0),0)</f>
        <v>0</v>
      </c>
      <c r="J852" s="27">
        <f t="shared" si="13"/>
        <v>50</v>
      </c>
      <c r="K852" s="28">
        <v>0.32200000000000001</v>
      </c>
      <c r="L852" s="28">
        <v>24.150000000000002</v>
      </c>
      <c r="M852" s="26">
        <v>498</v>
      </c>
      <c r="N852" s="26">
        <v>24900</v>
      </c>
    </row>
    <row r="853" spans="1:14" ht="15" customHeight="1" x14ac:dyDescent="0.3">
      <c r="A853" s="25">
        <v>5751</v>
      </c>
      <c r="B853" s="26" t="s">
        <v>1598</v>
      </c>
      <c r="C853" s="26" t="s">
        <v>1476</v>
      </c>
      <c r="D853" s="27">
        <v>6</v>
      </c>
      <c r="E853" s="27">
        <v>126</v>
      </c>
      <c r="F853" s="27">
        <v>0</v>
      </c>
      <c r="G853" s="27">
        <v>0</v>
      </c>
      <c r="H853" s="27">
        <v>126</v>
      </c>
      <c r="I853" s="27">
        <f>+IFERROR(VLOOKUP(A853,'[1]Pending Dispatch'!$N$2:$O$651,2,0),0)</f>
        <v>0</v>
      </c>
      <c r="J853" s="27">
        <f t="shared" si="13"/>
        <v>126</v>
      </c>
      <c r="K853" s="28">
        <v>1.0680000000000001</v>
      </c>
      <c r="L853" s="28">
        <v>205.05600000000001</v>
      </c>
      <c r="M853" s="26">
        <v>548</v>
      </c>
      <c r="N853" s="26">
        <v>69048</v>
      </c>
    </row>
    <row r="854" spans="1:14" ht="15" customHeight="1" x14ac:dyDescent="0.3">
      <c r="A854" s="25">
        <v>5752</v>
      </c>
      <c r="B854" s="26" t="s">
        <v>1599</v>
      </c>
      <c r="C854" s="26" t="s">
        <v>1476</v>
      </c>
      <c r="D854" s="27">
        <v>4</v>
      </c>
      <c r="E854" s="27">
        <v>44</v>
      </c>
      <c r="F854" s="27">
        <v>0</v>
      </c>
      <c r="G854" s="27">
        <v>0</v>
      </c>
      <c r="H854" s="27">
        <v>44</v>
      </c>
      <c r="I854" s="27">
        <f>+IFERROR(VLOOKUP(A854,'[1]Pending Dispatch'!$N$2:$O$651,2,0),0)</f>
        <v>0</v>
      </c>
      <c r="J854" s="27">
        <f t="shared" si="13"/>
        <v>44</v>
      </c>
      <c r="K854" s="28">
        <v>1.1080000000000001</v>
      </c>
      <c r="L854" s="28">
        <v>48.752000000000002</v>
      </c>
      <c r="M854" s="26">
        <v>742</v>
      </c>
      <c r="N854" s="26">
        <v>32648</v>
      </c>
    </row>
    <row r="855" spans="1:14" ht="15" customHeight="1" x14ac:dyDescent="0.3">
      <c r="A855" s="25">
        <v>5758</v>
      </c>
      <c r="B855" s="26" t="s">
        <v>1600</v>
      </c>
      <c r="C855" s="26" t="s">
        <v>1476</v>
      </c>
      <c r="D855" s="27">
        <v>50</v>
      </c>
      <c r="E855" s="27">
        <v>320</v>
      </c>
      <c r="F855" s="27">
        <v>395</v>
      </c>
      <c r="G855" s="27">
        <v>350</v>
      </c>
      <c r="H855" s="27">
        <v>365</v>
      </c>
      <c r="I855" s="27">
        <f>+IFERROR(VLOOKUP(A855,'[1]Pending Dispatch'!$N$2:$O$651,2,0),0)</f>
        <v>0</v>
      </c>
      <c r="J855" s="27">
        <f t="shared" si="13"/>
        <v>365</v>
      </c>
      <c r="K855" s="28">
        <v>0.22750000000000001</v>
      </c>
      <c r="L855" s="28">
        <v>186.55</v>
      </c>
      <c r="M855" s="26">
        <v>114</v>
      </c>
      <c r="N855" s="26">
        <v>41610</v>
      </c>
    </row>
    <row r="856" spans="1:14" ht="15" customHeight="1" x14ac:dyDescent="0.3">
      <c r="A856" s="25">
        <v>5761</v>
      </c>
      <c r="B856" s="26" t="s">
        <v>1601</v>
      </c>
      <c r="C856" s="26" t="s">
        <v>1476</v>
      </c>
      <c r="D856" s="27">
        <v>266</v>
      </c>
      <c r="E856" s="27">
        <v>2999</v>
      </c>
      <c r="F856" s="27">
        <v>0</v>
      </c>
      <c r="G856" s="27">
        <v>2926</v>
      </c>
      <c r="H856" s="27">
        <v>73</v>
      </c>
      <c r="I856" s="27">
        <f>+IFERROR(VLOOKUP(A856,'[1]Pending Dispatch'!$N$2:$O$651,2,0),0)</f>
        <v>3990</v>
      </c>
      <c r="J856" s="27">
        <f t="shared" si="13"/>
        <v>-3917</v>
      </c>
      <c r="K856" s="28">
        <v>3.8600000000000002E-2</v>
      </c>
      <c r="L856" s="28">
        <v>76.621000000000009</v>
      </c>
      <c r="M856" s="26">
        <v>978</v>
      </c>
      <c r="N856" s="26">
        <v>-3830826</v>
      </c>
    </row>
    <row r="857" spans="1:14" ht="15" customHeight="1" x14ac:dyDescent="0.3">
      <c r="A857" s="25">
        <v>5762</v>
      </c>
      <c r="B857" s="26" t="s">
        <v>1602</v>
      </c>
      <c r="C857" s="26" t="s">
        <v>1476</v>
      </c>
      <c r="D857" s="27">
        <v>200</v>
      </c>
      <c r="E857" s="27">
        <v>2683</v>
      </c>
      <c r="F857" s="27">
        <v>12200</v>
      </c>
      <c r="G857" s="27">
        <v>11550</v>
      </c>
      <c r="H857" s="27">
        <v>3333</v>
      </c>
      <c r="I857" s="27">
        <f>+IFERROR(VLOOKUP(A857,'[1]Pending Dispatch'!$N$2:$O$651,2,0),0)</f>
        <v>16000</v>
      </c>
      <c r="J857" s="27">
        <f t="shared" si="13"/>
        <v>-12667</v>
      </c>
      <c r="K857" s="28">
        <v>4.2299999999999997E-2</v>
      </c>
      <c r="L857" s="28">
        <v>138.87089999999998</v>
      </c>
      <c r="M857" s="26">
        <v>20.2</v>
      </c>
      <c r="N857" s="26">
        <v>-255873.4</v>
      </c>
    </row>
    <row r="858" spans="1:14" ht="15" customHeight="1" x14ac:dyDescent="0.3">
      <c r="A858" s="25">
        <v>5763</v>
      </c>
      <c r="B858" s="26" t="s">
        <v>1603</v>
      </c>
      <c r="C858" s="26" t="s">
        <v>1476</v>
      </c>
      <c r="D858" s="27">
        <v>36</v>
      </c>
      <c r="E858" s="27">
        <v>0</v>
      </c>
      <c r="F858" s="27">
        <v>792</v>
      </c>
      <c r="G858" s="27">
        <v>792</v>
      </c>
      <c r="H858" s="27">
        <v>0</v>
      </c>
      <c r="I858" s="27">
        <f>+IFERROR(VLOOKUP(A858,'[1]Pending Dispatch'!$N$2:$O$651,2,0),0)</f>
        <v>1044</v>
      </c>
      <c r="J858" s="27">
        <f t="shared" si="13"/>
        <v>-1044</v>
      </c>
      <c r="K858" s="28">
        <v>0.34399999999999997</v>
      </c>
      <c r="L858" s="28">
        <v>0</v>
      </c>
      <c r="M858" s="26">
        <v>1472</v>
      </c>
      <c r="N858" s="26">
        <v>-1536768</v>
      </c>
    </row>
    <row r="859" spans="1:14" ht="15" customHeight="1" x14ac:dyDescent="0.3">
      <c r="A859" s="25" t="s">
        <v>1604</v>
      </c>
      <c r="B859" s="26" t="s">
        <v>1576</v>
      </c>
      <c r="C859" s="26" t="s">
        <v>1476</v>
      </c>
      <c r="D859" s="27">
        <v>36</v>
      </c>
      <c r="E859" s="27">
        <v>3612</v>
      </c>
      <c r="F859" s="27">
        <v>2052</v>
      </c>
      <c r="G859" s="27">
        <v>4428</v>
      </c>
      <c r="H859" s="27">
        <v>1236</v>
      </c>
      <c r="I859" s="27">
        <f>+IFERROR(VLOOKUP(A859,'[1]Pending Dispatch'!$N$2:$O$651,2,0),0)</f>
        <v>684</v>
      </c>
      <c r="J859" s="27">
        <f t="shared" si="13"/>
        <v>552</v>
      </c>
      <c r="K859" s="28">
        <v>0.34399999999999997</v>
      </c>
      <c r="L859" s="28">
        <v>1430.3519999999999</v>
      </c>
      <c r="M859" s="26">
        <v>167.2</v>
      </c>
      <c r="N859" s="26">
        <v>92294.399999999994</v>
      </c>
    </row>
    <row r="860" spans="1:14" ht="15" customHeight="1" x14ac:dyDescent="0.3">
      <c r="A860" s="25">
        <v>5764</v>
      </c>
      <c r="B860" s="26" t="s">
        <v>1605</v>
      </c>
      <c r="C860" s="26" t="s">
        <v>1476</v>
      </c>
      <c r="D860" s="27">
        <v>175</v>
      </c>
      <c r="E860" s="27">
        <v>2000</v>
      </c>
      <c r="F860" s="27">
        <v>4520</v>
      </c>
      <c r="G860" s="27">
        <v>3555</v>
      </c>
      <c r="H860" s="27">
        <v>2965</v>
      </c>
      <c r="I860" s="27">
        <f>+IFERROR(VLOOKUP(A860,'[1]Pending Dispatch'!$N$2:$O$651,2,0),0)</f>
        <v>525</v>
      </c>
      <c r="J860" s="27">
        <f t="shared" si="13"/>
        <v>2440</v>
      </c>
      <c r="K860" s="28">
        <v>4.3029999999999999E-2</v>
      </c>
      <c r="L860" s="28">
        <v>98.968999999999994</v>
      </c>
      <c r="M860" s="26">
        <v>1446</v>
      </c>
      <c r="N860" s="26">
        <v>3528240</v>
      </c>
    </row>
    <row r="861" spans="1:14" ht="15" customHeight="1" x14ac:dyDescent="0.3">
      <c r="A861" s="25">
        <v>5765</v>
      </c>
      <c r="B861" s="26" t="s">
        <v>1606</v>
      </c>
      <c r="C861" s="26" t="s">
        <v>1476</v>
      </c>
      <c r="D861" s="27">
        <v>200</v>
      </c>
      <c r="E861" s="27">
        <v>2394</v>
      </c>
      <c r="F861" s="27">
        <v>0</v>
      </c>
      <c r="G861" s="27">
        <v>700</v>
      </c>
      <c r="H861" s="27">
        <v>1694</v>
      </c>
      <c r="I861" s="27">
        <f>+IFERROR(VLOOKUP(A861,'[1]Pending Dispatch'!$N$2:$O$651,2,0),0)</f>
        <v>200</v>
      </c>
      <c r="J861" s="27">
        <f t="shared" si="13"/>
        <v>1494</v>
      </c>
      <c r="K861" s="28">
        <v>4.3099999999999999E-2</v>
      </c>
      <c r="L861" s="28">
        <v>42.410400000000003</v>
      </c>
      <c r="M861" s="26">
        <v>22.4</v>
      </c>
      <c r="N861" s="26">
        <v>33465.599999999999</v>
      </c>
    </row>
    <row r="862" spans="1:14" ht="15" customHeight="1" x14ac:dyDescent="0.3">
      <c r="A862" s="25">
        <v>5771</v>
      </c>
      <c r="B862" s="26" t="s">
        <v>1607</v>
      </c>
      <c r="C862" s="26" t="s">
        <v>1476</v>
      </c>
      <c r="D862" s="27">
        <v>10</v>
      </c>
      <c r="E862" s="27">
        <v>0</v>
      </c>
      <c r="F862" s="27">
        <v>1680</v>
      </c>
      <c r="G862" s="27">
        <v>1310</v>
      </c>
      <c r="H862" s="27">
        <v>370</v>
      </c>
      <c r="I862" s="27">
        <f>+IFERROR(VLOOKUP(A862,'[1]Pending Dispatch'!$N$2:$O$651,2,0),0)</f>
        <v>1080</v>
      </c>
      <c r="J862" s="27">
        <f t="shared" si="13"/>
        <v>-710</v>
      </c>
      <c r="K862" s="28">
        <v>0.90900000000000003</v>
      </c>
      <c r="L862" s="28">
        <v>1172.6100000000001</v>
      </c>
      <c r="M862" s="26">
        <v>398.4</v>
      </c>
      <c r="N862" s="26">
        <v>-282864</v>
      </c>
    </row>
    <row r="863" spans="1:14" ht="15" customHeight="1" x14ac:dyDescent="0.3">
      <c r="A863" s="25">
        <v>5772</v>
      </c>
      <c r="B863" s="26" t="s">
        <v>1608</v>
      </c>
      <c r="C863" s="26" t="s">
        <v>1476</v>
      </c>
      <c r="D863" s="27">
        <v>10</v>
      </c>
      <c r="E863" s="27">
        <v>79</v>
      </c>
      <c r="F863" s="27">
        <v>0</v>
      </c>
      <c r="G863" s="27">
        <v>0</v>
      </c>
      <c r="H863" s="27">
        <v>79</v>
      </c>
      <c r="I863" s="27">
        <f>+IFERROR(VLOOKUP(A863,'[1]Pending Dispatch'!$N$2:$O$651,2,0),0)</f>
        <v>0</v>
      </c>
      <c r="J863" s="27">
        <f t="shared" si="13"/>
        <v>79</v>
      </c>
      <c r="K863" s="28">
        <v>0.91359999999999997</v>
      </c>
      <c r="L863" s="28">
        <v>72.174399999999991</v>
      </c>
      <c r="M863" s="26">
        <v>578</v>
      </c>
      <c r="N863" s="26">
        <v>45662</v>
      </c>
    </row>
    <row r="864" spans="1:14" ht="15" customHeight="1" x14ac:dyDescent="0.3">
      <c r="A864" s="25">
        <v>5773</v>
      </c>
      <c r="B864" s="26" t="s">
        <v>1609</v>
      </c>
      <c r="C864" s="26" t="s">
        <v>1476</v>
      </c>
      <c r="D864" s="27">
        <v>8</v>
      </c>
      <c r="E864" s="27">
        <v>53</v>
      </c>
      <c r="F864" s="27">
        <v>0</v>
      </c>
      <c r="G864" s="27">
        <v>24</v>
      </c>
      <c r="H864" s="27">
        <v>29</v>
      </c>
      <c r="I864" s="27">
        <f>+IFERROR(VLOOKUP(A864,'[1]Pending Dispatch'!$N$2:$O$651,2,0),0)</f>
        <v>80</v>
      </c>
      <c r="J864" s="27">
        <f t="shared" si="13"/>
        <v>-51</v>
      </c>
      <c r="K864" s="28">
        <v>1.054</v>
      </c>
      <c r="L864" s="28">
        <v>55.862000000000002</v>
      </c>
      <c r="M864" s="26">
        <v>532</v>
      </c>
      <c r="N864" s="26">
        <v>-27132</v>
      </c>
    </row>
    <row r="865" spans="1:14" ht="15" customHeight="1" x14ac:dyDescent="0.3">
      <c r="A865" s="25">
        <v>5791</v>
      </c>
      <c r="B865" s="26" t="s">
        <v>1610</v>
      </c>
      <c r="C865" s="26" t="s">
        <v>1476</v>
      </c>
      <c r="D865" s="27">
        <v>25</v>
      </c>
      <c r="E865" s="27">
        <v>79</v>
      </c>
      <c r="F865" s="27">
        <v>0</v>
      </c>
      <c r="G865" s="27">
        <v>25</v>
      </c>
      <c r="H865" s="27">
        <v>54</v>
      </c>
      <c r="I865" s="27">
        <f>+IFERROR(VLOOKUP(A865,'[1]Pending Dispatch'!$N$2:$O$651,2,0),0)</f>
        <v>0</v>
      </c>
      <c r="J865" s="27">
        <f t="shared" si="13"/>
        <v>54</v>
      </c>
      <c r="K865" s="28">
        <v>0.2697</v>
      </c>
      <c r="L865" s="28">
        <v>34.7913</v>
      </c>
      <c r="M865" s="26">
        <v>598</v>
      </c>
      <c r="N865" s="26">
        <v>32292</v>
      </c>
    </row>
    <row r="866" spans="1:14" ht="15" customHeight="1" x14ac:dyDescent="0.3">
      <c r="A866" s="25" t="s">
        <v>1611</v>
      </c>
      <c r="B866" s="26" t="s">
        <v>1612</v>
      </c>
      <c r="C866" s="26" t="s">
        <v>1476</v>
      </c>
      <c r="D866" s="27">
        <v>10</v>
      </c>
      <c r="E866" s="27">
        <v>411</v>
      </c>
      <c r="F866" s="27">
        <v>340</v>
      </c>
      <c r="G866" s="27">
        <v>370</v>
      </c>
      <c r="H866" s="27">
        <v>381</v>
      </c>
      <c r="I866" s="27">
        <f>+IFERROR(VLOOKUP(A866,'[1]Pending Dispatch'!$N$2:$O$651,2,0),0)</f>
        <v>0</v>
      </c>
      <c r="J866" s="27">
        <f t="shared" si="13"/>
        <v>381</v>
      </c>
      <c r="K866" s="28">
        <v>0.90900000000000003</v>
      </c>
      <c r="L866" s="28">
        <v>364.50900000000001</v>
      </c>
      <c r="M866" s="26">
        <v>0</v>
      </c>
      <c r="N866" s="26">
        <v>0</v>
      </c>
    </row>
    <row r="867" spans="1:14" ht="15" customHeight="1" x14ac:dyDescent="0.3">
      <c r="A867" s="25">
        <v>5611</v>
      </c>
      <c r="B867" s="26" t="s">
        <v>1613</v>
      </c>
      <c r="C867" s="26" t="s">
        <v>1476</v>
      </c>
      <c r="D867" s="27">
        <v>8</v>
      </c>
      <c r="E867" s="27">
        <v>591</v>
      </c>
      <c r="F867" s="27">
        <v>0</v>
      </c>
      <c r="G867" s="27">
        <v>456</v>
      </c>
      <c r="H867" s="27">
        <v>135</v>
      </c>
      <c r="I867" s="27">
        <f>+IFERROR(VLOOKUP(A867,'[1]Pending Dispatch'!$N$2:$O$651,2,0),0)</f>
        <v>128</v>
      </c>
      <c r="J867" s="27">
        <f t="shared" si="13"/>
        <v>7</v>
      </c>
      <c r="K867" s="28">
        <v>0.996</v>
      </c>
      <c r="L867" s="28">
        <v>508.95600000000002</v>
      </c>
      <c r="M867" s="26">
        <v>1196</v>
      </c>
      <c r="N867" s="26">
        <v>8372</v>
      </c>
    </row>
    <row r="868" spans="1:14" ht="15" customHeight="1" x14ac:dyDescent="0.3">
      <c r="A868" s="25">
        <v>5633</v>
      </c>
      <c r="B868" s="26" t="s">
        <v>1506</v>
      </c>
      <c r="C868" s="26" t="s">
        <v>1476</v>
      </c>
      <c r="D868" s="27">
        <v>4</v>
      </c>
      <c r="E868" s="27">
        <v>31</v>
      </c>
      <c r="F868" s="27">
        <v>364</v>
      </c>
      <c r="G868" s="27">
        <v>64</v>
      </c>
      <c r="H868" s="27">
        <v>331</v>
      </c>
      <c r="I868" s="27">
        <f>+IFERROR(VLOOKUP(A868,'[1]Pending Dispatch'!$N$2:$O$651,2,0),0)</f>
        <v>24</v>
      </c>
      <c r="J868" s="27">
        <f t="shared" si="13"/>
        <v>307</v>
      </c>
      <c r="K868" s="28">
        <v>1.353</v>
      </c>
      <c r="L868" s="28">
        <v>826.68299999999999</v>
      </c>
      <c r="M868" s="26">
        <v>632</v>
      </c>
      <c r="N868" s="26">
        <v>194024</v>
      </c>
    </row>
    <row r="869" spans="1:14" ht="15" customHeight="1" x14ac:dyDescent="0.3">
      <c r="A869" s="25">
        <v>5651</v>
      </c>
      <c r="B869" s="26" t="s">
        <v>1614</v>
      </c>
      <c r="C869" s="26" t="s">
        <v>1476</v>
      </c>
      <c r="D869" s="27">
        <v>6</v>
      </c>
      <c r="E869" s="27">
        <v>63</v>
      </c>
      <c r="F869" s="27">
        <v>570</v>
      </c>
      <c r="G869" s="27">
        <v>222</v>
      </c>
      <c r="H869" s="27">
        <v>411</v>
      </c>
      <c r="I869" s="27">
        <f>+IFERROR(VLOOKUP(A869,'[1]Pending Dispatch'!$N$2:$O$651,2,0),0)</f>
        <v>78</v>
      </c>
      <c r="J869" s="27">
        <f t="shared" si="13"/>
        <v>333</v>
      </c>
      <c r="K869" s="28">
        <v>1.2070000000000001</v>
      </c>
      <c r="L869" s="28">
        <v>315.02700000000004</v>
      </c>
      <c r="M869" s="26">
        <v>1209</v>
      </c>
      <c r="N869" s="26">
        <v>402597</v>
      </c>
    </row>
    <row r="870" spans="1:14" ht="15" customHeight="1" x14ac:dyDescent="0.3">
      <c r="A870" s="25">
        <v>5621</v>
      </c>
      <c r="B870" s="26" t="s">
        <v>1615</v>
      </c>
      <c r="C870" s="26" t="s">
        <v>1476</v>
      </c>
      <c r="D870" s="27">
        <v>12</v>
      </c>
      <c r="E870" s="27">
        <v>436</v>
      </c>
      <c r="F870" s="27">
        <v>408</v>
      </c>
      <c r="G870" s="27">
        <v>648</v>
      </c>
      <c r="H870" s="27">
        <v>196</v>
      </c>
      <c r="I870" s="27">
        <f>+IFERROR(VLOOKUP(A870,'[1]Pending Dispatch'!$N$2:$O$651,2,0),0)</f>
        <v>60</v>
      </c>
      <c r="J870" s="27">
        <f t="shared" si="13"/>
        <v>136</v>
      </c>
      <c r="K870" s="28">
        <v>0.68500000000000005</v>
      </c>
      <c r="L870" s="28">
        <v>432.92</v>
      </c>
      <c r="M870" s="26">
        <v>306</v>
      </c>
      <c r="N870" s="26">
        <v>41616</v>
      </c>
    </row>
    <row r="871" spans="1:14" ht="15" customHeight="1" x14ac:dyDescent="0.3">
      <c r="A871" s="25">
        <v>5657</v>
      </c>
      <c r="B871" s="26" t="s">
        <v>1616</v>
      </c>
      <c r="C871" s="26" t="s">
        <v>1476</v>
      </c>
      <c r="D871" s="27">
        <v>24</v>
      </c>
      <c r="E871" s="27">
        <v>378</v>
      </c>
      <c r="F871" s="27">
        <v>0</v>
      </c>
      <c r="G871" s="27">
        <v>192</v>
      </c>
      <c r="H871" s="27">
        <v>186</v>
      </c>
      <c r="I871" s="27">
        <f>+IFERROR(VLOOKUP(A871,'[1]Pending Dispatch'!$N$2:$O$651,2,0),0)</f>
        <v>72</v>
      </c>
      <c r="J871" s="27">
        <f t="shared" si="13"/>
        <v>114</v>
      </c>
      <c r="K871" s="28">
        <v>0.52</v>
      </c>
      <c r="L871" s="28">
        <v>244.4</v>
      </c>
      <c r="M871" s="26">
        <v>148</v>
      </c>
      <c r="N871" s="26">
        <v>16872</v>
      </c>
    </row>
    <row r="872" spans="1:14" ht="15" customHeight="1" x14ac:dyDescent="0.3">
      <c r="A872" s="25">
        <v>5622</v>
      </c>
      <c r="B872" s="26" t="s">
        <v>1617</v>
      </c>
      <c r="C872" s="26" t="s">
        <v>1476</v>
      </c>
      <c r="D872" s="27">
        <v>12</v>
      </c>
      <c r="E872" s="27">
        <v>12</v>
      </c>
      <c r="F872" s="27">
        <v>204</v>
      </c>
      <c r="G872" s="27">
        <v>60</v>
      </c>
      <c r="H872" s="27">
        <v>156</v>
      </c>
      <c r="I872" s="27">
        <f>+IFERROR(VLOOKUP(A872,'[1]Pending Dispatch'!$N$2:$O$651,2,0),0)</f>
        <v>0</v>
      </c>
      <c r="J872" s="27">
        <f t="shared" si="13"/>
        <v>156</v>
      </c>
      <c r="K872" s="28">
        <v>0.66849999999999998</v>
      </c>
      <c r="L872" s="28">
        <v>16.044</v>
      </c>
      <c r="M872" s="26">
        <v>299</v>
      </c>
      <c r="N872" s="26">
        <v>46644</v>
      </c>
    </row>
    <row r="873" spans="1:14" ht="15" customHeight="1" x14ac:dyDescent="0.3">
      <c r="A873" s="25">
        <v>5661</v>
      </c>
      <c r="B873" s="26" t="s">
        <v>1618</v>
      </c>
      <c r="C873" s="26" t="s">
        <v>1476</v>
      </c>
      <c r="D873" s="27">
        <v>40</v>
      </c>
      <c r="E873" s="27">
        <v>238</v>
      </c>
      <c r="F873" s="27">
        <v>0</v>
      </c>
      <c r="G873" s="27">
        <v>0</v>
      </c>
      <c r="H873" s="27">
        <v>238</v>
      </c>
      <c r="I873" s="27">
        <f>+IFERROR(VLOOKUP(A873,'[1]Pending Dispatch'!$N$2:$O$651,2,0),0)</f>
        <v>80</v>
      </c>
      <c r="J873" s="27">
        <f t="shared" si="13"/>
        <v>158</v>
      </c>
      <c r="K873" s="28">
        <v>0.16600000000000001</v>
      </c>
      <c r="L873" s="28">
        <v>19.588000000000001</v>
      </c>
      <c r="M873" s="26">
        <v>22</v>
      </c>
      <c r="N873" s="26">
        <v>3256</v>
      </c>
    </row>
    <row r="874" spans="1:14" ht="15" customHeight="1" x14ac:dyDescent="0.3">
      <c r="A874" s="25">
        <v>5662</v>
      </c>
      <c r="B874" s="26" t="s">
        <v>1619</v>
      </c>
      <c r="C874" s="26" t="s">
        <v>1476</v>
      </c>
      <c r="D874" s="27">
        <v>80</v>
      </c>
      <c r="E874" s="27">
        <v>992</v>
      </c>
      <c r="F874" s="27">
        <v>0</v>
      </c>
      <c r="G874" s="27">
        <v>80</v>
      </c>
      <c r="H874" s="27">
        <v>912</v>
      </c>
      <c r="I874" s="27">
        <f>+IFERROR(VLOOKUP(A874,'[1]Pending Dispatch'!$N$2:$O$651,2,0),0)</f>
        <v>160</v>
      </c>
      <c r="J874" s="27">
        <f t="shared" si="13"/>
        <v>752</v>
      </c>
      <c r="K874" s="28">
        <v>0.1085</v>
      </c>
      <c r="L874" s="28">
        <v>40.6875</v>
      </c>
      <c r="M874" s="26">
        <v>57.4</v>
      </c>
      <c r="N874" s="26">
        <v>43164.799999999996</v>
      </c>
    </row>
    <row r="875" spans="1:14" ht="15" customHeight="1" x14ac:dyDescent="0.3">
      <c r="A875" s="25">
        <v>5610</v>
      </c>
      <c r="B875" s="26" t="s">
        <v>1498</v>
      </c>
      <c r="C875" s="26" t="s">
        <v>1476</v>
      </c>
      <c r="D875" s="27">
        <v>8</v>
      </c>
      <c r="E875" s="27">
        <v>228</v>
      </c>
      <c r="F875" s="27">
        <v>0</v>
      </c>
      <c r="G875" s="27">
        <v>56</v>
      </c>
      <c r="H875" s="27">
        <v>172</v>
      </c>
      <c r="I875" s="27">
        <f>+IFERROR(VLOOKUP(A875,'[1]Pending Dispatch'!$N$2:$O$651,2,0),0)</f>
        <v>56</v>
      </c>
      <c r="J875" s="27">
        <f t="shared" si="13"/>
        <v>116</v>
      </c>
      <c r="K875" s="28">
        <v>0.81799999999999995</v>
      </c>
      <c r="L875" s="28">
        <v>345.19599999999997</v>
      </c>
      <c r="M875" s="26">
        <v>296</v>
      </c>
      <c r="N875" s="26">
        <v>34336</v>
      </c>
    </row>
    <row r="876" spans="1:14" ht="15" customHeight="1" x14ac:dyDescent="0.3">
      <c r="A876" s="25">
        <v>5921</v>
      </c>
      <c r="B876" s="26" t="s">
        <v>1620</v>
      </c>
      <c r="C876" s="26" t="s">
        <v>1476</v>
      </c>
      <c r="D876" s="27">
        <v>50</v>
      </c>
      <c r="E876" s="27">
        <v>427</v>
      </c>
      <c r="F876" s="27">
        <v>0</v>
      </c>
      <c r="G876" s="27">
        <v>200</v>
      </c>
      <c r="H876" s="27">
        <v>227</v>
      </c>
      <c r="I876" s="27">
        <f>+IFERROR(VLOOKUP(A876,'[1]Pending Dispatch'!$N$2:$O$651,2,0),0)</f>
        <v>50</v>
      </c>
      <c r="J876" s="27">
        <f t="shared" si="13"/>
        <v>177</v>
      </c>
      <c r="K876" s="28">
        <v>0.215</v>
      </c>
      <c r="L876" s="28">
        <v>177.80500000000001</v>
      </c>
      <c r="M876" s="26">
        <v>92</v>
      </c>
      <c r="N876" s="26">
        <v>16284</v>
      </c>
    </row>
    <row r="877" spans="1:14" ht="15" customHeight="1" x14ac:dyDescent="0.3">
      <c r="A877" s="25">
        <v>5911</v>
      </c>
      <c r="B877" s="26" t="s">
        <v>1486</v>
      </c>
      <c r="C877" s="26" t="s">
        <v>1476</v>
      </c>
      <c r="D877" s="27">
        <v>35</v>
      </c>
      <c r="E877" s="27">
        <v>7</v>
      </c>
      <c r="F877" s="27">
        <v>1260</v>
      </c>
      <c r="G877" s="27">
        <v>840</v>
      </c>
      <c r="H877" s="27">
        <v>427</v>
      </c>
      <c r="I877" s="27">
        <f>+IFERROR(VLOOKUP(A877,'[1]Pending Dispatch'!$N$2:$O$651,2,0),0)</f>
        <v>140</v>
      </c>
      <c r="J877" s="27">
        <f t="shared" si="13"/>
        <v>287</v>
      </c>
      <c r="K877" s="28">
        <v>0.27600000000000002</v>
      </c>
      <c r="L877" s="28">
        <v>59.892000000000003</v>
      </c>
      <c r="M877" s="26">
        <v>444</v>
      </c>
      <c r="N877" s="26">
        <v>127428</v>
      </c>
    </row>
    <row r="878" spans="1:14" ht="15" customHeight="1" x14ac:dyDescent="0.3">
      <c r="A878" s="25">
        <v>5933</v>
      </c>
      <c r="B878" s="26" t="s">
        <v>1540</v>
      </c>
      <c r="C878" s="26" t="s">
        <v>1476</v>
      </c>
      <c r="D878" s="27">
        <v>20</v>
      </c>
      <c r="E878" s="27">
        <v>20</v>
      </c>
      <c r="F878" s="27">
        <v>440</v>
      </c>
      <c r="G878" s="27">
        <v>380</v>
      </c>
      <c r="H878" s="27">
        <v>80</v>
      </c>
      <c r="I878" s="27">
        <f>+IFERROR(VLOOKUP(A878,'[1]Pending Dispatch'!$N$2:$O$651,2,0),0)</f>
        <v>120</v>
      </c>
      <c r="J878" s="27">
        <f t="shared" si="13"/>
        <v>-40</v>
      </c>
      <c r="K878" s="28">
        <v>0.38900000000000001</v>
      </c>
      <c r="L878" s="28">
        <v>83.635000000000005</v>
      </c>
      <c r="M878" s="26">
        <v>169.8</v>
      </c>
      <c r="N878" s="26">
        <v>-6792</v>
      </c>
    </row>
    <row r="879" spans="1:14" ht="15" customHeight="1" x14ac:dyDescent="0.3">
      <c r="A879" s="25">
        <v>5910</v>
      </c>
      <c r="B879" s="26" t="s">
        <v>1532</v>
      </c>
      <c r="C879" s="26" t="s">
        <v>1476</v>
      </c>
      <c r="D879" s="27">
        <v>45</v>
      </c>
      <c r="E879" s="27">
        <v>21</v>
      </c>
      <c r="F879" s="27">
        <v>1665</v>
      </c>
      <c r="G879" s="27">
        <v>1305</v>
      </c>
      <c r="H879" s="27">
        <v>381</v>
      </c>
      <c r="I879" s="27">
        <f>+IFERROR(VLOOKUP(A879,'[1]Pending Dispatch'!$N$2:$O$651,2,0),0)</f>
        <v>270</v>
      </c>
      <c r="J879" s="27">
        <f t="shared" si="13"/>
        <v>111</v>
      </c>
      <c r="K879" s="28">
        <v>0.23499999999999999</v>
      </c>
      <c r="L879" s="28">
        <v>116.79499999999999</v>
      </c>
      <c r="M879" s="26">
        <v>434</v>
      </c>
      <c r="N879" s="26">
        <v>67704</v>
      </c>
    </row>
    <row r="880" spans="1:14" ht="15" customHeight="1" x14ac:dyDescent="0.3">
      <c r="A880" s="25">
        <v>5957</v>
      </c>
      <c r="B880" s="26" t="s">
        <v>1621</v>
      </c>
      <c r="C880" s="26" t="s">
        <v>1476</v>
      </c>
      <c r="D880" s="27">
        <v>40</v>
      </c>
      <c r="E880" s="27">
        <v>163</v>
      </c>
      <c r="F880" s="27">
        <v>0</v>
      </c>
      <c r="G880" s="27">
        <v>0</v>
      </c>
      <c r="H880" s="27">
        <v>163</v>
      </c>
      <c r="I880" s="27">
        <f>+IFERROR(VLOOKUP(A880,'[1]Pending Dispatch'!$N$2:$O$651,2,0),0)</f>
        <v>0</v>
      </c>
      <c r="J880" s="27">
        <f t="shared" si="13"/>
        <v>163</v>
      </c>
      <c r="K880" s="28">
        <v>0.251</v>
      </c>
      <c r="L880" s="28">
        <v>101.15300000000001</v>
      </c>
      <c r="M880" s="26">
        <v>126</v>
      </c>
      <c r="N880" s="26">
        <v>20538</v>
      </c>
    </row>
    <row r="881" spans="1:14" ht="15" customHeight="1" x14ac:dyDescent="0.3">
      <c r="A881" s="25">
        <v>5941</v>
      </c>
      <c r="B881" s="26" t="s">
        <v>1544</v>
      </c>
      <c r="C881" s="26" t="s">
        <v>1476</v>
      </c>
      <c r="D881" s="27">
        <v>20</v>
      </c>
      <c r="E881" s="27">
        <v>355</v>
      </c>
      <c r="F881" s="27">
        <v>0</v>
      </c>
      <c r="G881" s="27">
        <v>220</v>
      </c>
      <c r="H881" s="27">
        <v>135</v>
      </c>
      <c r="I881" s="27">
        <f>+IFERROR(VLOOKUP(A881,'[1]Pending Dispatch'!$N$2:$O$651,2,0),0)</f>
        <v>60</v>
      </c>
      <c r="J881" s="27">
        <f t="shared" si="13"/>
        <v>75</v>
      </c>
      <c r="K881" s="28">
        <v>0.47</v>
      </c>
      <c r="L881" s="28">
        <v>44.65</v>
      </c>
      <c r="M881" s="26">
        <v>217.6</v>
      </c>
      <c r="N881" s="26">
        <v>16320</v>
      </c>
    </row>
    <row r="882" spans="1:14" ht="15" customHeight="1" x14ac:dyDescent="0.3">
      <c r="A882" s="25">
        <v>5922</v>
      </c>
      <c r="B882" s="26" t="s">
        <v>1622</v>
      </c>
      <c r="C882" s="26" t="s">
        <v>1476</v>
      </c>
      <c r="D882" s="27">
        <v>50</v>
      </c>
      <c r="E882" s="27">
        <v>359</v>
      </c>
      <c r="F882" s="27">
        <v>0</v>
      </c>
      <c r="G882" s="27">
        <v>0</v>
      </c>
      <c r="H882" s="27">
        <v>359</v>
      </c>
      <c r="I882" s="27">
        <f>+IFERROR(VLOOKUP(A882,'[1]Pending Dispatch'!$N$2:$O$651,2,0),0)</f>
        <v>0</v>
      </c>
      <c r="J882" s="27">
        <f t="shared" si="13"/>
        <v>359</v>
      </c>
      <c r="K882" s="28">
        <v>0.21</v>
      </c>
      <c r="L882" s="28">
        <v>75.39</v>
      </c>
      <c r="M882" s="26">
        <v>92</v>
      </c>
      <c r="N882" s="26">
        <v>33028</v>
      </c>
    </row>
    <row r="883" spans="1:14" ht="15" customHeight="1" x14ac:dyDescent="0.3">
      <c r="A883" s="25">
        <v>5912</v>
      </c>
      <c r="B883" s="26" t="s">
        <v>1623</v>
      </c>
      <c r="C883" s="26" t="s">
        <v>1476</v>
      </c>
      <c r="D883" s="27">
        <v>30</v>
      </c>
      <c r="E883" s="27">
        <v>281</v>
      </c>
      <c r="F883" s="27">
        <v>0</v>
      </c>
      <c r="G883" s="27">
        <v>30</v>
      </c>
      <c r="H883" s="27">
        <v>251</v>
      </c>
      <c r="I883" s="27">
        <f>+IFERROR(VLOOKUP(A883,'[1]Pending Dispatch'!$N$2:$O$651,2,0),0)</f>
        <v>30</v>
      </c>
      <c r="J883" s="27">
        <f t="shared" si="13"/>
        <v>221</v>
      </c>
      <c r="K883" s="28">
        <v>0.28100000000000003</v>
      </c>
      <c r="L883" s="28">
        <v>78.961000000000013</v>
      </c>
      <c r="M883" s="26">
        <v>1122</v>
      </c>
      <c r="N883" s="26">
        <v>247962</v>
      </c>
    </row>
    <row r="884" spans="1:14" ht="15" customHeight="1" x14ac:dyDescent="0.3">
      <c r="A884" s="25">
        <v>5934</v>
      </c>
      <c r="B884" s="26" t="s">
        <v>1624</v>
      </c>
      <c r="C884" s="26" t="s">
        <v>1476</v>
      </c>
      <c r="D884" s="27">
        <v>20</v>
      </c>
      <c r="E884" s="27">
        <v>854</v>
      </c>
      <c r="F884" s="27">
        <v>0</v>
      </c>
      <c r="G884" s="27">
        <v>0</v>
      </c>
      <c r="H884" s="27">
        <v>854</v>
      </c>
      <c r="I884" s="27">
        <f>+IFERROR(VLOOKUP(A884,'[1]Pending Dispatch'!$N$2:$O$651,2,0),0)</f>
        <v>20</v>
      </c>
      <c r="J884" s="27">
        <f t="shared" si="13"/>
        <v>834</v>
      </c>
      <c r="K884" s="28">
        <v>0.43</v>
      </c>
      <c r="L884" s="28">
        <v>393.02</v>
      </c>
      <c r="M884" s="26">
        <v>196</v>
      </c>
      <c r="N884" s="26">
        <v>163464</v>
      </c>
    </row>
    <row r="885" spans="1:14" ht="15" customHeight="1" x14ac:dyDescent="0.3">
      <c r="A885" s="25">
        <v>5964</v>
      </c>
      <c r="B885" s="26" t="s">
        <v>1625</v>
      </c>
      <c r="C885" s="26" t="s">
        <v>1476</v>
      </c>
      <c r="D885" s="27">
        <v>140</v>
      </c>
      <c r="E885" s="27">
        <v>2220</v>
      </c>
      <c r="F885" s="27">
        <v>0</v>
      </c>
      <c r="G885" s="27">
        <v>0</v>
      </c>
      <c r="H885" s="27">
        <v>2220</v>
      </c>
      <c r="I885" s="27">
        <f>+IFERROR(VLOOKUP(A885,'[1]Pending Dispatch'!$N$2:$O$651,2,0),0)</f>
        <v>140</v>
      </c>
      <c r="J885" s="27">
        <f t="shared" si="13"/>
        <v>2080</v>
      </c>
      <c r="K885" s="28">
        <v>5.8999999999999997E-2</v>
      </c>
      <c r="L885" s="28">
        <v>148.67999999999998</v>
      </c>
      <c r="M885" s="26">
        <v>1134</v>
      </c>
      <c r="N885" s="26">
        <v>2358720</v>
      </c>
    </row>
    <row r="886" spans="1:14" ht="15" customHeight="1" x14ac:dyDescent="0.3">
      <c r="A886" s="25">
        <v>5961</v>
      </c>
      <c r="B886" s="26" t="s">
        <v>1626</v>
      </c>
      <c r="C886" s="26" t="s">
        <v>1476</v>
      </c>
      <c r="D886" s="27">
        <v>156</v>
      </c>
      <c r="E886" s="27">
        <v>1629</v>
      </c>
      <c r="F886" s="27">
        <v>0</v>
      </c>
      <c r="G886" s="27">
        <v>156</v>
      </c>
      <c r="H886" s="27">
        <v>1473</v>
      </c>
      <c r="I886" s="27">
        <f>+IFERROR(VLOOKUP(A886,'[1]Pending Dispatch'!$N$2:$O$651,2,0),0)</f>
        <v>780</v>
      </c>
      <c r="J886" s="27">
        <f t="shared" si="13"/>
        <v>693</v>
      </c>
      <c r="K886" s="28">
        <v>6.3E-2</v>
      </c>
      <c r="L886" s="28">
        <v>134.001</v>
      </c>
      <c r="M886" s="26">
        <v>31.4</v>
      </c>
      <c r="N886" s="26">
        <v>21760.2</v>
      </c>
    </row>
    <row r="887" spans="1:14" ht="15" customHeight="1" x14ac:dyDescent="0.3">
      <c r="A887" s="25">
        <v>5942</v>
      </c>
      <c r="B887" s="26" t="s">
        <v>1627</v>
      </c>
      <c r="C887" s="26" t="s">
        <v>1476</v>
      </c>
      <c r="D887" s="27">
        <v>15</v>
      </c>
      <c r="E887" s="27">
        <v>100</v>
      </c>
      <c r="F887" s="27">
        <v>0</v>
      </c>
      <c r="G887" s="27">
        <v>0</v>
      </c>
      <c r="H887" s="27">
        <v>100</v>
      </c>
      <c r="I887" s="27">
        <f>+IFERROR(VLOOKUP(A887,'[1]Pending Dispatch'!$N$2:$O$651,2,0),0)</f>
        <v>15</v>
      </c>
      <c r="J887" s="27">
        <f t="shared" si="13"/>
        <v>85</v>
      </c>
      <c r="K887" s="28">
        <v>0.497</v>
      </c>
      <c r="L887" s="28">
        <v>49.7</v>
      </c>
      <c r="M887" s="26">
        <v>224</v>
      </c>
      <c r="N887" s="26">
        <v>19040</v>
      </c>
    </row>
    <row r="888" spans="1:14" ht="15" customHeight="1" x14ac:dyDescent="0.3">
      <c r="A888" s="25">
        <v>5664</v>
      </c>
      <c r="B888" s="26" t="s">
        <v>1628</v>
      </c>
      <c r="C888" s="26" t="s">
        <v>1476</v>
      </c>
      <c r="D888" s="27">
        <v>50</v>
      </c>
      <c r="E888" s="27">
        <v>478</v>
      </c>
      <c r="F888" s="27">
        <v>1050</v>
      </c>
      <c r="G888" s="27">
        <v>478</v>
      </c>
      <c r="H888" s="27">
        <v>1050</v>
      </c>
      <c r="I888" s="27">
        <f>+IFERROR(VLOOKUP(A888,'[1]Pending Dispatch'!$N$2:$O$651,2,0),0)</f>
        <v>0</v>
      </c>
      <c r="J888" s="27">
        <f t="shared" si="13"/>
        <v>1050</v>
      </c>
      <c r="K888" s="28">
        <v>0.15859999999999999</v>
      </c>
      <c r="L888" s="28">
        <v>75.8108</v>
      </c>
      <c r="M888" s="26">
        <v>74.2</v>
      </c>
      <c r="N888" s="26">
        <v>77910</v>
      </c>
    </row>
    <row r="889" spans="1:14" ht="15" customHeight="1" x14ac:dyDescent="0.3">
      <c r="A889" s="25">
        <v>5612</v>
      </c>
      <c r="B889" s="26" t="s">
        <v>1629</v>
      </c>
      <c r="C889" s="26" t="s">
        <v>1476</v>
      </c>
      <c r="D889" s="27">
        <v>6</v>
      </c>
      <c r="E889" s="27">
        <v>36</v>
      </c>
      <c r="F889" s="27">
        <v>336</v>
      </c>
      <c r="G889" s="27">
        <v>192</v>
      </c>
      <c r="H889" s="27">
        <v>180</v>
      </c>
      <c r="I889" s="27">
        <f>+IFERROR(VLOOKUP(A889,'[1]Pending Dispatch'!$N$2:$O$651,2,0),0)</f>
        <v>0</v>
      </c>
      <c r="J889" s="27">
        <f t="shared" si="13"/>
        <v>180</v>
      </c>
      <c r="K889" s="28">
        <v>1.0169999999999999</v>
      </c>
      <c r="L889" s="28">
        <v>115.93799999999999</v>
      </c>
      <c r="M889" s="26">
        <v>2256</v>
      </c>
      <c r="N889" s="26">
        <v>406080</v>
      </c>
    </row>
    <row r="890" spans="1:14" ht="15" customHeight="1" x14ac:dyDescent="0.3">
      <c r="A890" s="25">
        <v>5962</v>
      </c>
      <c r="B890" s="26" t="s">
        <v>1630</v>
      </c>
      <c r="C890" s="26" t="s">
        <v>1476</v>
      </c>
      <c r="D890" s="27">
        <v>160</v>
      </c>
      <c r="E890" s="27">
        <v>1573</v>
      </c>
      <c r="F890" s="27">
        <v>0</v>
      </c>
      <c r="G890" s="27">
        <v>160</v>
      </c>
      <c r="H890" s="27">
        <v>1413</v>
      </c>
      <c r="I890" s="27">
        <f>+IFERROR(VLOOKUP(A890,'[1]Pending Dispatch'!$N$2:$O$651,2,0),0)</f>
        <v>600</v>
      </c>
      <c r="J890" s="27">
        <f t="shared" si="13"/>
        <v>813</v>
      </c>
      <c r="K890" s="28">
        <v>3.7999999999999999E-2</v>
      </c>
      <c r="L890" s="28">
        <v>74.974000000000004</v>
      </c>
      <c r="M890" s="26">
        <v>20.8</v>
      </c>
      <c r="N890" s="26">
        <v>16910.400000000001</v>
      </c>
    </row>
    <row r="891" spans="1:14" ht="15" customHeight="1" x14ac:dyDescent="0.3">
      <c r="A891" s="25">
        <v>5951</v>
      </c>
      <c r="B891" s="26" t="s">
        <v>1631</v>
      </c>
      <c r="C891" s="26" t="s">
        <v>1476</v>
      </c>
      <c r="D891" s="27">
        <v>25</v>
      </c>
      <c r="E891" s="27">
        <v>123</v>
      </c>
      <c r="F891" s="27">
        <v>0</v>
      </c>
      <c r="G891" s="27">
        <v>0</v>
      </c>
      <c r="H891" s="27">
        <v>123</v>
      </c>
      <c r="I891" s="27">
        <f>+IFERROR(VLOOKUP(A891,'[1]Pending Dispatch'!$N$2:$O$651,2,0),0)</f>
        <v>25</v>
      </c>
      <c r="J891" s="27">
        <f t="shared" si="13"/>
        <v>98</v>
      </c>
      <c r="K891" s="28">
        <v>0.34200000000000003</v>
      </c>
      <c r="L891" s="28">
        <v>45.486000000000004</v>
      </c>
      <c r="M891" s="26">
        <v>298</v>
      </c>
      <c r="N891" s="26">
        <v>29204</v>
      </c>
    </row>
    <row r="892" spans="1:14" ht="15" customHeight="1" x14ac:dyDescent="0.3">
      <c r="A892" s="25">
        <v>5634</v>
      </c>
      <c r="B892" s="26" t="s">
        <v>1632</v>
      </c>
      <c r="C892" s="26" t="s">
        <v>1476</v>
      </c>
      <c r="D892" s="27">
        <v>4</v>
      </c>
      <c r="E892" s="27">
        <v>41</v>
      </c>
      <c r="F892" s="27">
        <v>0</v>
      </c>
      <c r="G892" s="27">
        <v>4</v>
      </c>
      <c r="H892" s="27">
        <v>37</v>
      </c>
      <c r="I892" s="27">
        <f>+IFERROR(VLOOKUP(A892,'[1]Pending Dispatch'!$N$2:$O$651,2,0),0)</f>
        <v>0</v>
      </c>
      <c r="J892" s="27">
        <f t="shared" si="13"/>
        <v>37</v>
      </c>
      <c r="K892" s="28">
        <v>1.3979999999999999</v>
      </c>
      <c r="L892" s="28">
        <v>130.01399999999998</v>
      </c>
      <c r="M892" s="26">
        <v>648</v>
      </c>
      <c r="N892" s="26">
        <v>23976</v>
      </c>
    </row>
    <row r="893" spans="1:14" ht="15" customHeight="1" x14ac:dyDescent="0.3">
      <c r="A893" s="25">
        <v>4761</v>
      </c>
      <c r="B893" s="26" t="s">
        <v>1633</v>
      </c>
      <c r="C893" s="26" t="s">
        <v>1476</v>
      </c>
      <c r="D893" s="27">
        <v>250</v>
      </c>
      <c r="E893" s="27">
        <v>3536</v>
      </c>
      <c r="F893" s="27">
        <v>0</v>
      </c>
      <c r="G893" s="27">
        <v>250</v>
      </c>
      <c r="H893" s="27">
        <v>3286</v>
      </c>
      <c r="I893" s="27">
        <f>+IFERROR(VLOOKUP(A893,'[1]Pending Dispatch'!$N$2:$O$651,2,0),0)</f>
        <v>600</v>
      </c>
      <c r="J893" s="27">
        <f t="shared" si="13"/>
        <v>2686</v>
      </c>
      <c r="K893" s="28">
        <v>2.9000000000000001E-2</v>
      </c>
      <c r="L893" s="28">
        <v>39.208000000000006</v>
      </c>
      <c r="M893" s="26">
        <v>444</v>
      </c>
      <c r="N893" s="26">
        <v>1192584</v>
      </c>
    </row>
    <row r="894" spans="1:14" ht="15" customHeight="1" x14ac:dyDescent="0.3">
      <c r="A894" s="25" t="s">
        <v>1634</v>
      </c>
      <c r="B894" s="26" t="s">
        <v>1635</v>
      </c>
      <c r="C894" s="26" t="s">
        <v>1476</v>
      </c>
      <c r="D894" s="27">
        <v>28</v>
      </c>
      <c r="E894" s="27">
        <v>112</v>
      </c>
      <c r="F894" s="27">
        <v>448</v>
      </c>
      <c r="G894" s="27">
        <v>168</v>
      </c>
      <c r="H894" s="27">
        <v>392</v>
      </c>
      <c r="I894" s="27">
        <f>+IFERROR(VLOOKUP(A894,'[1]Pending Dispatch'!$N$2:$O$651,2,0),0)</f>
        <v>644</v>
      </c>
      <c r="J894" s="27">
        <f t="shared" si="13"/>
        <v>-252</v>
      </c>
      <c r="K894" s="28">
        <v>0.40400000000000003</v>
      </c>
      <c r="L894" s="28">
        <v>216.54400000000001</v>
      </c>
      <c r="M894" s="26">
        <v>207.1</v>
      </c>
      <c r="N894" s="26">
        <v>0</v>
      </c>
    </row>
    <row r="895" spans="1:14" ht="15" customHeight="1" x14ac:dyDescent="0.3">
      <c r="A895" s="25">
        <v>5963</v>
      </c>
      <c r="B895" s="26" t="s">
        <v>1636</v>
      </c>
      <c r="C895" s="26" t="s">
        <v>1476</v>
      </c>
      <c r="D895" s="27">
        <v>28</v>
      </c>
      <c r="E895" s="27">
        <v>12</v>
      </c>
      <c r="F895" s="27">
        <v>168</v>
      </c>
      <c r="G895" s="27">
        <v>33</v>
      </c>
      <c r="H895" s="27">
        <v>147</v>
      </c>
      <c r="I895" s="27">
        <f>+IFERROR(VLOOKUP(A895,'[1]Pending Dispatch'!$N$2:$O$651,2,0),0)</f>
        <v>168</v>
      </c>
      <c r="J895" s="27">
        <f t="shared" si="13"/>
        <v>-21</v>
      </c>
      <c r="K895" s="28">
        <v>0.40400000000000003</v>
      </c>
      <c r="L895" s="28">
        <v>25.856000000000002</v>
      </c>
      <c r="M895" s="26">
        <v>584</v>
      </c>
      <c r="N895" s="26">
        <v>-12264</v>
      </c>
    </row>
    <row r="896" spans="1:14" ht="15" customHeight="1" x14ac:dyDescent="0.3">
      <c r="A896" s="25">
        <v>5652</v>
      </c>
      <c r="B896" s="26" t="s">
        <v>1637</v>
      </c>
      <c r="C896" s="26" t="s">
        <v>1476</v>
      </c>
      <c r="D896" s="27">
        <v>4</v>
      </c>
      <c r="E896" s="27">
        <v>6</v>
      </c>
      <c r="F896" s="27">
        <v>200</v>
      </c>
      <c r="G896" s="27">
        <v>48</v>
      </c>
      <c r="H896" s="27">
        <v>158</v>
      </c>
      <c r="I896" s="27">
        <f>+IFERROR(VLOOKUP(A896,'[1]Pending Dispatch'!$N$2:$O$651,2,0),0)</f>
        <v>0</v>
      </c>
      <c r="J896" s="27">
        <f t="shared" si="13"/>
        <v>158</v>
      </c>
      <c r="K896" s="28">
        <v>1.22</v>
      </c>
      <c r="L896" s="28">
        <v>7.32</v>
      </c>
      <c r="M896" s="26">
        <v>621.20000000000005</v>
      </c>
      <c r="N896" s="26">
        <v>98149.6</v>
      </c>
    </row>
    <row r="897" spans="1:14" ht="15" customHeight="1" x14ac:dyDescent="0.3">
      <c r="A897" s="25" t="s">
        <v>1638</v>
      </c>
      <c r="B897" s="26" t="s">
        <v>1639</v>
      </c>
      <c r="C897" s="26" t="s">
        <v>1640</v>
      </c>
      <c r="D897" s="27">
        <v>100</v>
      </c>
      <c r="E897" s="27">
        <v>79</v>
      </c>
      <c r="F897" s="27">
        <v>768</v>
      </c>
      <c r="G897" s="27">
        <v>224</v>
      </c>
      <c r="H897" s="27">
        <v>623</v>
      </c>
      <c r="I897" s="27">
        <f>+IFERROR(VLOOKUP(A897,'[1]Pending Dispatch'!$N$2:$O$651,2,0),0)</f>
        <v>500</v>
      </c>
      <c r="J897" s="27">
        <f t="shared" si="13"/>
        <v>123</v>
      </c>
      <c r="K897" s="28">
        <v>16</v>
      </c>
      <c r="L897" s="28">
        <v>14864</v>
      </c>
      <c r="M897" s="26">
        <v>858</v>
      </c>
      <c r="N897" s="26">
        <v>362934</v>
      </c>
    </row>
    <row r="898" spans="1:14" ht="15" customHeight="1" x14ac:dyDescent="0.3">
      <c r="A898" s="25" t="s">
        <v>1641</v>
      </c>
      <c r="B898" s="26" t="s">
        <v>1642</v>
      </c>
      <c r="C898" s="26" t="s">
        <v>1640</v>
      </c>
      <c r="D898" s="27">
        <v>40</v>
      </c>
      <c r="E898" s="27">
        <v>335</v>
      </c>
      <c r="F898" s="27">
        <v>0</v>
      </c>
      <c r="G898" s="27">
        <v>0</v>
      </c>
      <c r="H898" s="27">
        <v>335</v>
      </c>
      <c r="I898" s="27">
        <f>+IFERROR(VLOOKUP(A898,'[1]Pending Dispatch'!$N$2:$O$651,2,0),0)</f>
        <v>80</v>
      </c>
      <c r="J898" s="27">
        <f t="shared" si="13"/>
        <v>255</v>
      </c>
      <c r="K898" s="28">
        <v>16</v>
      </c>
      <c r="L898" s="28">
        <v>12592</v>
      </c>
      <c r="M898" s="26">
        <v>0</v>
      </c>
      <c r="N898" s="26">
        <v>0</v>
      </c>
    </row>
    <row r="899" spans="1:14" ht="15" customHeight="1" x14ac:dyDescent="0.3">
      <c r="A899" s="25" t="s">
        <v>1643</v>
      </c>
      <c r="B899" s="26" t="s">
        <v>1644</v>
      </c>
      <c r="C899" s="26" t="s">
        <v>1640</v>
      </c>
      <c r="D899" s="27">
        <v>20</v>
      </c>
      <c r="E899" s="27">
        <v>659</v>
      </c>
      <c r="F899" s="27">
        <v>0</v>
      </c>
      <c r="G899" s="27">
        <v>0</v>
      </c>
      <c r="H899" s="27">
        <v>659</v>
      </c>
      <c r="I899" s="27">
        <f>+IFERROR(VLOOKUP(A899,'[1]Pending Dispatch'!$N$2:$O$651,2,0),0)</f>
        <v>20</v>
      </c>
      <c r="J899" s="27">
        <f t="shared" si="13"/>
        <v>639</v>
      </c>
      <c r="K899" s="28">
        <v>16</v>
      </c>
      <c r="L899" s="28">
        <v>10544</v>
      </c>
      <c r="M899" s="26">
        <v>840</v>
      </c>
      <c r="N899" s="26">
        <v>536760</v>
      </c>
    </row>
    <row r="900" spans="1:14" ht="15" customHeight="1" x14ac:dyDescent="0.3">
      <c r="A900" s="25" t="s">
        <v>1645</v>
      </c>
      <c r="B900" s="26" t="s">
        <v>1646</v>
      </c>
      <c r="C900" s="26" t="s">
        <v>1647</v>
      </c>
      <c r="D900" s="27">
        <v>1</v>
      </c>
      <c r="E900" s="27">
        <v>310</v>
      </c>
      <c r="F900" s="27">
        <v>0</v>
      </c>
      <c r="G900" s="27">
        <v>30</v>
      </c>
      <c r="H900" s="27">
        <v>280</v>
      </c>
      <c r="I900" s="27">
        <f>+IFERROR(VLOOKUP(A900,'[1]Pending Dispatch'!$N$2:$O$651,2,0),0)</f>
        <v>220</v>
      </c>
      <c r="J900" s="27">
        <f t="shared" si="13"/>
        <v>60</v>
      </c>
      <c r="K900" s="28">
        <v>1.85</v>
      </c>
      <c r="L900" s="28">
        <v>157.25</v>
      </c>
      <c r="M900" s="26">
        <v>464</v>
      </c>
      <c r="N900" s="26">
        <v>27840</v>
      </c>
    </row>
    <row r="901" spans="1:14" ht="15" customHeight="1" x14ac:dyDescent="0.3">
      <c r="A901" s="25" t="s">
        <v>1648</v>
      </c>
      <c r="B901" s="26" t="s">
        <v>1649</v>
      </c>
      <c r="C901" s="26" t="s">
        <v>1647</v>
      </c>
      <c r="D901" s="27">
        <v>1</v>
      </c>
      <c r="E901" s="27">
        <v>900</v>
      </c>
      <c r="F901" s="27">
        <v>350</v>
      </c>
      <c r="G901" s="27">
        <v>375</v>
      </c>
      <c r="H901" s="27">
        <v>875</v>
      </c>
      <c r="I901" s="27">
        <f>+IFERROR(VLOOKUP(A901,'[1]Pending Dispatch'!$N$2:$O$651,2,0),0)</f>
        <v>410</v>
      </c>
      <c r="J901" s="27">
        <f t="shared" si="13"/>
        <v>465</v>
      </c>
      <c r="K901" s="28">
        <v>2.8</v>
      </c>
      <c r="L901" s="28">
        <v>168</v>
      </c>
      <c r="M901" s="26">
        <v>694</v>
      </c>
      <c r="N901" s="26">
        <v>322710</v>
      </c>
    </row>
    <row r="902" spans="1:14" ht="15" customHeight="1" x14ac:dyDescent="0.3">
      <c r="A902" s="25" t="s">
        <v>1650</v>
      </c>
      <c r="B902" s="26" t="s">
        <v>1651</v>
      </c>
      <c r="C902" s="26" t="s">
        <v>1647</v>
      </c>
      <c r="D902" s="27">
        <v>1</v>
      </c>
      <c r="E902" s="27">
        <v>250</v>
      </c>
      <c r="F902" s="27">
        <v>0</v>
      </c>
      <c r="G902" s="27">
        <v>80</v>
      </c>
      <c r="H902" s="27">
        <v>170</v>
      </c>
      <c r="I902" s="27">
        <f>+IFERROR(VLOOKUP(A902,'[1]Pending Dispatch'!$N$2:$O$651,2,0),0)</f>
        <v>50</v>
      </c>
      <c r="J902" s="27">
        <f t="shared" ref="J902:J965" si="14">+H902-I902</f>
        <v>120</v>
      </c>
      <c r="K902" s="28">
        <v>4</v>
      </c>
      <c r="L902" s="28">
        <v>600</v>
      </c>
      <c r="M902" s="26">
        <v>698</v>
      </c>
      <c r="N902" s="26">
        <v>83760</v>
      </c>
    </row>
    <row r="903" spans="1:14" ht="14.4" customHeight="1" x14ac:dyDescent="0.3">
      <c r="A903" s="25" t="s">
        <v>1652</v>
      </c>
      <c r="B903" s="26" t="s">
        <v>1653</v>
      </c>
      <c r="C903" s="26" t="s">
        <v>1647</v>
      </c>
      <c r="D903" s="27">
        <v>1</v>
      </c>
      <c r="E903" s="27">
        <v>438</v>
      </c>
      <c r="F903" s="27">
        <v>0</v>
      </c>
      <c r="G903" s="27">
        <v>20</v>
      </c>
      <c r="H903" s="27">
        <v>418</v>
      </c>
      <c r="I903" s="27">
        <f>+IFERROR(VLOOKUP(A903,'[1]Pending Dispatch'!$N$2:$O$651,2,0),0)</f>
        <v>0</v>
      </c>
      <c r="J903" s="27">
        <f t="shared" si="14"/>
        <v>418</v>
      </c>
      <c r="K903" s="28">
        <v>6</v>
      </c>
      <c r="L903" s="28">
        <v>54</v>
      </c>
      <c r="M903" s="26">
        <v>1528</v>
      </c>
      <c r="N903" s="26">
        <v>638704</v>
      </c>
    </row>
    <row r="904" spans="1:14" ht="15" customHeight="1" x14ac:dyDescent="0.3">
      <c r="A904" s="25" t="s">
        <v>1654</v>
      </c>
      <c r="B904" s="26" t="s">
        <v>1655</v>
      </c>
      <c r="C904" s="26" t="s">
        <v>1647</v>
      </c>
      <c r="D904" s="27">
        <v>1</v>
      </c>
      <c r="E904" s="27">
        <v>6205</v>
      </c>
      <c r="F904" s="27">
        <v>45</v>
      </c>
      <c r="G904" s="27">
        <v>800</v>
      </c>
      <c r="H904" s="27">
        <v>5450</v>
      </c>
      <c r="I904" s="27">
        <f>+IFERROR(VLOOKUP(A904,'[1]Pending Dispatch'!$N$2:$O$651,2,0),0)</f>
        <v>800</v>
      </c>
      <c r="J904" s="27">
        <f t="shared" si="14"/>
        <v>4650</v>
      </c>
      <c r="K904" s="28">
        <v>0.91</v>
      </c>
      <c r="L904" s="28">
        <v>343.07</v>
      </c>
      <c r="M904" s="26">
        <v>0</v>
      </c>
      <c r="N904" s="26">
        <v>0</v>
      </c>
    </row>
    <row r="905" spans="1:14" ht="15" customHeight="1" x14ac:dyDescent="0.3">
      <c r="A905" s="25" t="s">
        <v>1656</v>
      </c>
      <c r="B905" s="26" t="s">
        <v>1657</v>
      </c>
      <c r="C905" s="26" t="s">
        <v>1647</v>
      </c>
      <c r="D905" s="27">
        <v>1</v>
      </c>
      <c r="E905" s="27">
        <v>340</v>
      </c>
      <c r="F905" s="27">
        <v>1605</v>
      </c>
      <c r="G905" s="27">
        <v>1004</v>
      </c>
      <c r="H905" s="27">
        <v>941</v>
      </c>
      <c r="I905" s="27">
        <f>+IFERROR(VLOOKUP(A905,'[1]Pending Dispatch'!$N$2:$O$651,2,0),0)</f>
        <v>850</v>
      </c>
      <c r="J905" s="27">
        <f t="shared" si="14"/>
        <v>91</v>
      </c>
      <c r="K905" s="28">
        <v>1.375</v>
      </c>
      <c r="L905" s="28">
        <v>444.125</v>
      </c>
      <c r="M905" s="26">
        <v>710</v>
      </c>
      <c r="N905" s="26">
        <v>64610</v>
      </c>
    </row>
    <row r="906" spans="1:14" ht="15" customHeight="1" x14ac:dyDescent="0.3">
      <c r="A906" s="38" t="s">
        <v>1658</v>
      </c>
      <c r="B906" s="26" t="s">
        <v>1659</v>
      </c>
      <c r="C906" s="26" t="s">
        <v>1647</v>
      </c>
      <c r="D906" s="27">
        <v>1</v>
      </c>
      <c r="E906" s="27">
        <v>0</v>
      </c>
      <c r="F906" s="27">
        <v>0</v>
      </c>
      <c r="G906" s="27">
        <v>0</v>
      </c>
      <c r="H906" s="27">
        <v>0</v>
      </c>
      <c r="I906" s="27">
        <f>+IFERROR(VLOOKUP(A906,'[1]Pending Dispatch'!$N$2:$O$651,2,0),0)</f>
        <v>30</v>
      </c>
      <c r="J906" s="27">
        <f t="shared" si="14"/>
        <v>-30</v>
      </c>
      <c r="K906" s="28">
        <v>5.3019999999999996</v>
      </c>
      <c r="L906" s="28">
        <v>0</v>
      </c>
      <c r="M906" s="26">
        <v>0</v>
      </c>
      <c r="N906" s="26">
        <v>0</v>
      </c>
    </row>
    <row r="907" spans="1:14" ht="15" customHeight="1" x14ac:dyDescent="0.3">
      <c r="A907" s="25" t="s">
        <v>1660</v>
      </c>
      <c r="B907" s="26" t="s">
        <v>1661</v>
      </c>
      <c r="C907" s="26" t="s">
        <v>1647</v>
      </c>
      <c r="D907" s="27">
        <v>1</v>
      </c>
      <c r="E907" s="27">
        <v>135</v>
      </c>
      <c r="F907" s="27">
        <v>0</v>
      </c>
      <c r="G907" s="27">
        <v>0</v>
      </c>
      <c r="H907" s="27">
        <v>135</v>
      </c>
      <c r="I907" s="27">
        <f>+IFERROR(VLOOKUP(A907,'[1]Pending Dispatch'!$N$2:$O$651,2,0),0)</f>
        <v>0</v>
      </c>
      <c r="J907" s="27">
        <f t="shared" si="14"/>
        <v>135</v>
      </c>
      <c r="K907" s="28">
        <v>23.5</v>
      </c>
      <c r="L907" s="28">
        <v>2726</v>
      </c>
      <c r="M907" s="26">
        <v>1396</v>
      </c>
      <c r="N907" s="26">
        <v>188460</v>
      </c>
    </row>
    <row r="908" spans="1:14" ht="15" customHeight="1" x14ac:dyDescent="0.3">
      <c r="A908" s="25" t="s">
        <v>1662</v>
      </c>
      <c r="B908" s="26" t="s">
        <v>1663</v>
      </c>
      <c r="C908" s="26" t="s">
        <v>1647</v>
      </c>
      <c r="D908" s="27">
        <v>1</v>
      </c>
      <c r="E908" s="27">
        <v>315</v>
      </c>
      <c r="F908" s="27">
        <v>1084</v>
      </c>
      <c r="G908" s="27">
        <v>645</v>
      </c>
      <c r="H908" s="27">
        <v>754</v>
      </c>
      <c r="I908" s="27">
        <f>+IFERROR(VLOOKUP(A908,'[1]Pending Dispatch'!$N$2:$O$651,2,0),0)</f>
        <v>270</v>
      </c>
      <c r="J908" s="27">
        <f t="shared" si="14"/>
        <v>484</v>
      </c>
      <c r="K908" s="28">
        <v>11.6</v>
      </c>
      <c r="L908" s="28">
        <v>3712</v>
      </c>
      <c r="M908" s="26">
        <v>3148</v>
      </c>
      <c r="N908" s="26">
        <v>1523632</v>
      </c>
    </row>
    <row r="909" spans="1:14" ht="15" customHeight="1" x14ac:dyDescent="0.3">
      <c r="A909" s="38" t="s">
        <v>1664</v>
      </c>
      <c r="B909" s="26" t="s">
        <v>1665</v>
      </c>
      <c r="C909" s="26" t="s">
        <v>1647</v>
      </c>
      <c r="D909" s="27">
        <v>1</v>
      </c>
      <c r="E909" s="27">
        <v>50</v>
      </c>
      <c r="F909" s="27">
        <v>0</v>
      </c>
      <c r="G909" s="27">
        <v>10</v>
      </c>
      <c r="H909" s="27">
        <v>40</v>
      </c>
      <c r="I909" s="27">
        <f>+IFERROR(VLOOKUP(A909,'[1]Pending Dispatch'!$N$2:$O$651,2,0),0)</f>
        <v>0</v>
      </c>
      <c r="J909" s="27">
        <f t="shared" si="14"/>
        <v>40</v>
      </c>
      <c r="K909" s="28">
        <v>21.3</v>
      </c>
      <c r="L909" s="28">
        <v>4473</v>
      </c>
      <c r="M909" s="26">
        <v>1408</v>
      </c>
      <c r="N909" s="26">
        <v>56320</v>
      </c>
    </row>
    <row r="910" spans="1:14" ht="15" customHeight="1" x14ac:dyDescent="0.3">
      <c r="A910" s="25" t="s">
        <v>1666</v>
      </c>
      <c r="B910" s="26" t="s">
        <v>1667</v>
      </c>
      <c r="C910" s="26" t="s">
        <v>1647</v>
      </c>
      <c r="D910" s="27">
        <v>1</v>
      </c>
      <c r="E910" s="27">
        <v>133</v>
      </c>
      <c r="F910" s="27">
        <v>0</v>
      </c>
      <c r="G910" s="27">
        <v>0</v>
      </c>
      <c r="H910" s="27">
        <v>133</v>
      </c>
      <c r="I910" s="27">
        <f>+IFERROR(VLOOKUP(A910,'[1]Pending Dispatch'!$N$2:$O$651,2,0),0)</f>
        <v>30</v>
      </c>
      <c r="J910" s="27">
        <f t="shared" si="14"/>
        <v>103</v>
      </c>
      <c r="K910" s="28">
        <v>11.006</v>
      </c>
      <c r="L910" s="28">
        <v>3059.6680000000001</v>
      </c>
      <c r="M910" s="26">
        <v>3090</v>
      </c>
      <c r="N910" s="26">
        <v>318270</v>
      </c>
    </row>
    <row r="911" spans="1:14" ht="15" customHeight="1" x14ac:dyDescent="0.3">
      <c r="A911" s="25" t="s">
        <v>1668</v>
      </c>
      <c r="B911" s="26" t="s">
        <v>1669</v>
      </c>
      <c r="C911" s="26" t="s">
        <v>1647</v>
      </c>
      <c r="D911" s="27">
        <v>0</v>
      </c>
      <c r="E911" s="27">
        <v>0</v>
      </c>
      <c r="F911" s="27">
        <v>0</v>
      </c>
      <c r="G911" s="27">
        <v>0</v>
      </c>
      <c r="H911" s="27">
        <v>0</v>
      </c>
      <c r="I911" s="27">
        <f>+IFERROR(VLOOKUP(A911,'[1]Pending Dispatch'!$N$2:$O$651,2,0),0)</f>
        <v>0</v>
      </c>
      <c r="J911" s="27">
        <f t="shared" si="14"/>
        <v>0</v>
      </c>
      <c r="K911" s="28">
        <v>0</v>
      </c>
      <c r="L911" s="28">
        <v>0</v>
      </c>
      <c r="M911" s="26">
        <v>188</v>
      </c>
      <c r="N911" s="26">
        <v>0</v>
      </c>
    </row>
    <row r="912" spans="1:14" ht="15" customHeight="1" x14ac:dyDescent="0.3">
      <c r="A912" s="25" t="s">
        <v>1670</v>
      </c>
      <c r="B912" s="26" t="s">
        <v>1671</v>
      </c>
      <c r="C912" s="26" t="s">
        <v>1647</v>
      </c>
      <c r="D912" s="27">
        <v>1</v>
      </c>
      <c r="E912" s="27">
        <v>1404</v>
      </c>
      <c r="F912" s="27">
        <v>100</v>
      </c>
      <c r="G912" s="27">
        <v>685</v>
      </c>
      <c r="H912" s="27">
        <v>819</v>
      </c>
      <c r="I912" s="27">
        <f>+IFERROR(VLOOKUP(A912,'[1]Pending Dispatch'!$N$2:$O$651,2,0),0)</f>
        <v>600</v>
      </c>
      <c r="J912" s="27">
        <f t="shared" si="14"/>
        <v>219</v>
      </c>
      <c r="K912" s="28">
        <v>3.3</v>
      </c>
      <c r="L912" s="28">
        <v>33</v>
      </c>
      <c r="M912" s="26">
        <v>796</v>
      </c>
      <c r="N912" s="26">
        <v>178304</v>
      </c>
    </row>
    <row r="913" spans="1:14" ht="15" customHeight="1" x14ac:dyDescent="0.3">
      <c r="A913" s="25" t="s">
        <v>1672</v>
      </c>
      <c r="B913" s="26" t="s">
        <v>1673</v>
      </c>
      <c r="C913" s="26" t="s">
        <v>1647</v>
      </c>
      <c r="D913" s="27">
        <v>1</v>
      </c>
      <c r="E913" s="27">
        <v>320</v>
      </c>
      <c r="F913" s="27">
        <v>701</v>
      </c>
      <c r="G913" s="27">
        <v>350</v>
      </c>
      <c r="H913" s="27">
        <v>671</v>
      </c>
      <c r="I913" s="27">
        <f>+IFERROR(VLOOKUP(A913,'[1]Pending Dispatch'!$N$2:$O$651,2,0),0)</f>
        <v>980</v>
      </c>
      <c r="J913" s="27">
        <f t="shared" si="14"/>
        <v>-309</v>
      </c>
      <c r="K913" s="28">
        <v>4.7</v>
      </c>
      <c r="L913" s="28">
        <v>1395.9</v>
      </c>
      <c r="M913" s="26">
        <v>268</v>
      </c>
      <c r="N913" s="26">
        <v>-123012</v>
      </c>
    </row>
    <row r="914" spans="1:14" ht="15" customHeight="1" x14ac:dyDescent="0.3">
      <c r="A914" s="25" t="s">
        <v>1674</v>
      </c>
      <c r="B914" s="26" t="s">
        <v>1675</v>
      </c>
      <c r="C914" s="26" t="s">
        <v>1647</v>
      </c>
      <c r="D914" s="27">
        <v>1</v>
      </c>
      <c r="E914" s="27">
        <v>541</v>
      </c>
      <c r="F914" s="27">
        <v>0</v>
      </c>
      <c r="G914" s="27">
        <v>220</v>
      </c>
      <c r="H914" s="27">
        <v>321</v>
      </c>
      <c r="I914" s="27">
        <f>+IFERROR(VLOOKUP(A914,'[1]Pending Dispatch'!$N$2:$O$651,2,0),0)</f>
        <v>260</v>
      </c>
      <c r="J914" s="27">
        <f t="shared" si="14"/>
        <v>61</v>
      </c>
      <c r="K914" s="28">
        <v>6.1</v>
      </c>
      <c r="L914" s="28">
        <v>823.5</v>
      </c>
      <c r="M914" s="26">
        <v>1496</v>
      </c>
      <c r="N914" s="26">
        <v>16456</v>
      </c>
    </row>
    <row r="915" spans="1:14" ht="15" customHeight="1" x14ac:dyDescent="0.3">
      <c r="A915" s="25" t="s">
        <v>1676</v>
      </c>
      <c r="B915" s="26" t="s">
        <v>1677</v>
      </c>
      <c r="C915" s="26" t="s">
        <v>1647</v>
      </c>
      <c r="D915" s="27">
        <v>1</v>
      </c>
      <c r="E915" s="27">
        <v>972</v>
      </c>
      <c r="F915" s="27">
        <v>1702</v>
      </c>
      <c r="G915" s="27">
        <v>1752</v>
      </c>
      <c r="H915" s="27">
        <v>922</v>
      </c>
      <c r="I915" s="27">
        <f>+IFERROR(VLOOKUP(A915,'[1]Pending Dispatch'!$N$2:$O$651,2,0),0)</f>
        <v>700</v>
      </c>
      <c r="J915" s="27">
        <f t="shared" si="14"/>
        <v>222</v>
      </c>
      <c r="K915" s="28">
        <v>8</v>
      </c>
      <c r="L915" s="28">
        <v>4312</v>
      </c>
      <c r="M915" s="26">
        <v>368</v>
      </c>
      <c r="N915" s="26">
        <v>81696</v>
      </c>
    </row>
    <row r="916" spans="1:14" ht="15" customHeight="1" x14ac:dyDescent="0.3">
      <c r="A916" s="25" t="s">
        <v>1678</v>
      </c>
      <c r="B916" s="26" t="s">
        <v>1679</v>
      </c>
      <c r="C916" s="26" t="s">
        <v>1647</v>
      </c>
      <c r="D916" s="27">
        <v>1</v>
      </c>
      <c r="E916" s="27">
        <v>317</v>
      </c>
      <c r="F916" s="27">
        <v>0</v>
      </c>
      <c r="G916" s="27">
        <v>75</v>
      </c>
      <c r="H916" s="27">
        <v>242</v>
      </c>
      <c r="I916" s="27">
        <f>+IFERROR(VLOOKUP(A916,'[1]Pending Dispatch'!$N$2:$O$651,2,0),0)</f>
        <v>70</v>
      </c>
      <c r="J916" s="27">
        <f t="shared" si="14"/>
        <v>172</v>
      </c>
      <c r="K916" s="28">
        <v>18</v>
      </c>
      <c r="L916" s="28">
        <v>738</v>
      </c>
      <c r="M916" s="26">
        <v>4790</v>
      </c>
      <c r="N916" s="26">
        <v>823880</v>
      </c>
    </row>
    <row r="917" spans="1:14" ht="15" customHeight="1" x14ac:dyDescent="0.3">
      <c r="A917" s="25" t="s">
        <v>1680</v>
      </c>
      <c r="B917" s="26" t="s">
        <v>1681</v>
      </c>
      <c r="C917" s="26" t="s">
        <v>1647</v>
      </c>
      <c r="D917" s="27">
        <v>1</v>
      </c>
      <c r="E917" s="27">
        <v>189</v>
      </c>
      <c r="F917" s="27">
        <v>546</v>
      </c>
      <c r="G917" s="27">
        <v>264</v>
      </c>
      <c r="H917" s="27">
        <v>471</v>
      </c>
      <c r="I917" s="27">
        <f>+IFERROR(VLOOKUP(A917,'[1]Pending Dispatch'!$N$2:$O$651,2,0),0)</f>
        <v>120</v>
      </c>
      <c r="J917" s="27">
        <f t="shared" si="14"/>
        <v>351</v>
      </c>
      <c r="K917" s="28">
        <v>8</v>
      </c>
      <c r="L917" s="28">
        <v>2704</v>
      </c>
      <c r="M917" s="26">
        <v>554</v>
      </c>
      <c r="N917" s="26">
        <v>194454</v>
      </c>
    </row>
    <row r="918" spans="1:14" ht="15" customHeight="1" x14ac:dyDescent="0.3">
      <c r="A918" s="25" t="s">
        <v>1682</v>
      </c>
      <c r="B918" s="26" t="s">
        <v>1683</v>
      </c>
      <c r="C918" s="26" t="s">
        <v>1647</v>
      </c>
      <c r="D918" s="27">
        <v>1</v>
      </c>
      <c r="E918" s="27">
        <v>38</v>
      </c>
      <c r="F918" s="27">
        <v>0</v>
      </c>
      <c r="G918" s="27">
        <v>0</v>
      </c>
      <c r="H918" s="27">
        <v>38</v>
      </c>
      <c r="I918" s="27">
        <f>+IFERROR(VLOOKUP(A918,'[1]Pending Dispatch'!$N$2:$O$651,2,0),0)</f>
        <v>0</v>
      </c>
      <c r="J918" s="27">
        <f t="shared" si="14"/>
        <v>38</v>
      </c>
      <c r="K918" s="28">
        <v>16.100000000000001</v>
      </c>
      <c r="L918" s="28">
        <v>933.80000000000007</v>
      </c>
      <c r="M918" s="26">
        <v>4188</v>
      </c>
      <c r="N918" s="26">
        <v>159144</v>
      </c>
    </row>
    <row r="919" spans="1:14" ht="15" customHeight="1" x14ac:dyDescent="0.3">
      <c r="A919" s="25" t="s">
        <v>1684</v>
      </c>
      <c r="B919" s="26" t="s">
        <v>1685</v>
      </c>
      <c r="C919" s="26" t="s">
        <v>1647</v>
      </c>
      <c r="D919" s="27">
        <v>0</v>
      </c>
      <c r="E919" s="27">
        <v>0</v>
      </c>
      <c r="F919" s="27">
        <v>0</v>
      </c>
      <c r="G919" s="27">
        <v>0</v>
      </c>
      <c r="H919" s="27">
        <v>0</v>
      </c>
      <c r="I919" s="27">
        <f>+IFERROR(VLOOKUP(A919,'[1]Pending Dispatch'!$N$2:$O$651,2,0),0)</f>
        <v>0</v>
      </c>
      <c r="J919" s="27">
        <f t="shared" si="14"/>
        <v>0</v>
      </c>
      <c r="K919" s="28">
        <v>0</v>
      </c>
      <c r="L919" s="28">
        <v>0</v>
      </c>
      <c r="M919" s="26">
        <v>540</v>
      </c>
      <c r="N919" s="26">
        <v>0</v>
      </c>
    </row>
    <row r="920" spans="1:14" ht="15" customHeight="1" x14ac:dyDescent="0.3">
      <c r="A920" s="25" t="s">
        <v>1686</v>
      </c>
      <c r="B920" s="26" t="s">
        <v>1687</v>
      </c>
      <c r="C920" s="26" t="s">
        <v>1647</v>
      </c>
      <c r="D920" s="27">
        <v>1</v>
      </c>
      <c r="E920" s="27">
        <v>0</v>
      </c>
      <c r="F920" s="27">
        <v>338</v>
      </c>
      <c r="G920" s="27">
        <v>105</v>
      </c>
      <c r="H920" s="27">
        <v>233</v>
      </c>
      <c r="I920" s="27">
        <f>+IFERROR(VLOOKUP(A920,'[1]Pending Dispatch'!$N$2:$O$651,2,0),0)</f>
        <v>20</v>
      </c>
      <c r="J920" s="27">
        <f t="shared" si="14"/>
        <v>213</v>
      </c>
      <c r="K920" s="28">
        <v>15.6</v>
      </c>
      <c r="L920" s="28">
        <v>31.2</v>
      </c>
      <c r="M920" s="26">
        <v>3648</v>
      </c>
      <c r="N920" s="26">
        <v>777024</v>
      </c>
    </row>
    <row r="921" spans="1:14" ht="15" customHeight="1" x14ac:dyDescent="0.3">
      <c r="A921" s="37" t="s">
        <v>1688</v>
      </c>
      <c r="B921" s="26" t="s">
        <v>1689</v>
      </c>
      <c r="C921" s="26" t="s">
        <v>1647</v>
      </c>
      <c r="D921" s="27">
        <v>1</v>
      </c>
      <c r="E921" s="27">
        <v>1040</v>
      </c>
      <c r="F921" s="27">
        <v>0</v>
      </c>
      <c r="G921" s="27">
        <v>0</v>
      </c>
      <c r="H921" s="27">
        <v>1040</v>
      </c>
      <c r="I921" s="27">
        <f>+IFERROR(VLOOKUP(A921,'[1]Pending Dispatch'!$N$2:$O$651,2,0),0)</f>
        <v>0</v>
      </c>
      <c r="J921" s="27">
        <f t="shared" si="14"/>
        <v>1040</v>
      </c>
      <c r="K921" s="28">
        <v>2</v>
      </c>
      <c r="L921" s="28">
        <v>2120</v>
      </c>
      <c r="M921" s="26">
        <v>44</v>
      </c>
      <c r="N921" s="26">
        <v>45760</v>
      </c>
    </row>
    <row r="922" spans="1:14" ht="15" customHeight="1" x14ac:dyDescent="0.3">
      <c r="A922" s="25" t="s">
        <v>1690</v>
      </c>
      <c r="B922" s="26" t="s">
        <v>1691</v>
      </c>
      <c r="C922" s="26" t="s">
        <v>1647</v>
      </c>
      <c r="D922" s="27">
        <v>1</v>
      </c>
      <c r="E922" s="27">
        <v>72</v>
      </c>
      <c r="F922" s="27">
        <v>0</v>
      </c>
      <c r="G922" s="27">
        <v>0</v>
      </c>
      <c r="H922" s="27">
        <v>72</v>
      </c>
      <c r="I922" s="27">
        <f>+IFERROR(VLOOKUP(A922,'[1]Pending Dispatch'!$N$2:$O$651,2,0),0)</f>
        <v>10</v>
      </c>
      <c r="J922" s="27">
        <f t="shared" si="14"/>
        <v>62</v>
      </c>
      <c r="K922" s="28">
        <v>26.88</v>
      </c>
      <c r="L922" s="28">
        <v>2231.04</v>
      </c>
      <c r="M922" s="26">
        <v>92</v>
      </c>
      <c r="N922" s="26">
        <v>5704</v>
      </c>
    </row>
    <row r="923" spans="1:14" ht="15" customHeight="1" x14ac:dyDescent="0.3">
      <c r="A923" s="25" t="s">
        <v>1692</v>
      </c>
      <c r="B923" s="26" t="s">
        <v>1693</v>
      </c>
      <c r="C923" s="26" t="s">
        <v>1647</v>
      </c>
      <c r="D923" s="27">
        <v>1</v>
      </c>
      <c r="E923" s="27">
        <v>79</v>
      </c>
      <c r="F923" s="27">
        <v>0</v>
      </c>
      <c r="G923" s="27">
        <v>0</v>
      </c>
      <c r="H923" s="27">
        <v>79</v>
      </c>
      <c r="I923" s="27">
        <f>+IFERROR(VLOOKUP(A923,'[1]Pending Dispatch'!$N$2:$O$651,2,0),0)</f>
        <v>0</v>
      </c>
      <c r="J923" s="27">
        <f t="shared" si="14"/>
        <v>79</v>
      </c>
      <c r="K923" s="28">
        <v>3.56</v>
      </c>
      <c r="L923" s="28">
        <v>644.36</v>
      </c>
      <c r="M923" s="26">
        <v>168</v>
      </c>
      <c r="N923" s="26">
        <v>13272</v>
      </c>
    </row>
    <row r="924" spans="1:14" ht="15" customHeight="1" x14ac:dyDescent="0.3">
      <c r="A924" s="37" t="s">
        <v>1694</v>
      </c>
      <c r="B924" s="26" t="s">
        <v>1695</v>
      </c>
      <c r="C924" s="26" t="s">
        <v>1647</v>
      </c>
      <c r="D924" s="27">
        <v>1</v>
      </c>
      <c r="E924" s="27">
        <v>85</v>
      </c>
      <c r="F924" s="27">
        <v>228</v>
      </c>
      <c r="G924" s="27">
        <v>120</v>
      </c>
      <c r="H924" s="27">
        <v>193</v>
      </c>
      <c r="I924" s="27">
        <f>+IFERROR(VLOOKUP(A924,'[1]Pending Dispatch'!$N$2:$O$651,2,0),0)</f>
        <v>0</v>
      </c>
      <c r="J924" s="27">
        <f t="shared" si="14"/>
        <v>193</v>
      </c>
      <c r="K924" s="28">
        <v>5.2679999999999998</v>
      </c>
      <c r="L924" s="28">
        <v>1432.896</v>
      </c>
      <c r="M924" s="26">
        <v>0</v>
      </c>
      <c r="N924" s="26">
        <v>0</v>
      </c>
    </row>
    <row r="925" spans="1:14" ht="15" customHeight="1" x14ac:dyDescent="0.3">
      <c r="A925" s="38" t="s">
        <v>1696</v>
      </c>
      <c r="B925" s="26" t="s">
        <v>1697</v>
      </c>
      <c r="C925" s="26" t="s">
        <v>1647</v>
      </c>
      <c r="D925" s="27">
        <v>1</v>
      </c>
      <c r="E925" s="27">
        <v>57</v>
      </c>
      <c r="F925" s="27">
        <v>0</v>
      </c>
      <c r="G925" s="27">
        <v>0</v>
      </c>
      <c r="H925" s="27">
        <v>57</v>
      </c>
      <c r="I925" s="27">
        <f>+IFERROR(VLOOKUP(A925,'[1]Pending Dispatch'!$N$2:$O$651,2,0),0)</f>
        <v>31</v>
      </c>
      <c r="J925" s="27">
        <f t="shared" si="14"/>
        <v>26</v>
      </c>
      <c r="K925" s="28">
        <v>39.618000000000002</v>
      </c>
      <c r="L925" s="28">
        <v>0</v>
      </c>
      <c r="M925" s="26">
        <v>0</v>
      </c>
      <c r="N925" s="26">
        <v>0</v>
      </c>
    </row>
    <row r="926" spans="1:14" ht="15" customHeight="1" x14ac:dyDescent="0.3">
      <c r="A926" s="25" t="s">
        <v>1698</v>
      </c>
      <c r="B926" s="26" t="s">
        <v>1699</v>
      </c>
      <c r="C926" s="26" t="s">
        <v>1647</v>
      </c>
      <c r="D926" s="27">
        <v>1</v>
      </c>
      <c r="E926" s="27">
        <v>382</v>
      </c>
      <c r="F926" s="27">
        <v>0</v>
      </c>
      <c r="G926" s="27">
        <v>0</v>
      </c>
      <c r="H926" s="27">
        <v>382</v>
      </c>
      <c r="I926" s="27">
        <f>+IFERROR(VLOOKUP(A926,'[1]Pending Dispatch'!$N$2:$O$651,2,0),0)</f>
        <v>0</v>
      </c>
      <c r="J926" s="27">
        <f t="shared" si="14"/>
        <v>382</v>
      </c>
      <c r="K926" s="28">
        <v>12.6</v>
      </c>
      <c r="L926" s="28">
        <v>4813.2</v>
      </c>
      <c r="M926" s="26">
        <v>3348</v>
      </c>
      <c r="N926" s="26">
        <v>1278936</v>
      </c>
    </row>
    <row r="927" spans="1:14" ht="15" customHeight="1" x14ac:dyDescent="0.3">
      <c r="A927" s="25" t="s">
        <v>1700</v>
      </c>
      <c r="B927" s="26" t="s">
        <v>1701</v>
      </c>
      <c r="C927" s="26" t="s">
        <v>1647</v>
      </c>
      <c r="D927" s="27">
        <v>1</v>
      </c>
      <c r="E927" s="27">
        <v>11</v>
      </c>
      <c r="F927" s="27">
        <v>0</v>
      </c>
      <c r="G927" s="27">
        <v>0</v>
      </c>
      <c r="H927" s="27">
        <v>11</v>
      </c>
      <c r="I927" s="27">
        <f>+IFERROR(VLOOKUP(A927,'[1]Pending Dispatch'!$N$2:$O$651,2,0),0)</f>
        <v>0</v>
      </c>
      <c r="J927" s="27">
        <f t="shared" si="14"/>
        <v>11</v>
      </c>
      <c r="K927" s="28">
        <v>19.04</v>
      </c>
      <c r="L927" s="28">
        <v>209.44</v>
      </c>
      <c r="M927" s="26">
        <v>4986</v>
      </c>
      <c r="N927" s="26">
        <v>54846</v>
      </c>
    </row>
    <row r="928" spans="1:14" ht="15" customHeight="1" x14ac:dyDescent="0.3">
      <c r="A928" s="37" t="s">
        <v>1702</v>
      </c>
      <c r="B928" s="26" t="s">
        <v>1703</v>
      </c>
      <c r="C928" s="26" t="s">
        <v>1647</v>
      </c>
      <c r="D928" s="27">
        <v>25</v>
      </c>
      <c r="E928" s="27">
        <v>25</v>
      </c>
      <c r="F928" s="27">
        <v>4100</v>
      </c>
      <c r="G928" s="27">
        <v>625</v>
      </c>
      <c r="H928" s="27">
        <v>3500</v>
      </c>
      <c r="I928" s="27">
        <f>+IFERROR(VLOOKUP(A928,'[1]Pending Dispatch'!$N$2:$O$651,2,0),0)</f>
        <v>0</v>
      </c>
      <c r="J928" s="27">
        <f t="shared" si="14"/>
        <v>3500</v>
      </c>
      <c r="K928" s="28">
        <v>0.48499999999999999</v>
      </c>
      <c r="L928" s="28">
        <v>1406.5</v>
      </c>
      <c r="M928" s="26">
        <v>0</v>
      </c>
      <c r="N928" s="26">
        <v>0</v>
      </c>
    </row>
    <row r="929" spans="1:15" ht="15" customHeight="1" x14ac:dyDescent="0.3">
      <c r="A929" s="37" t="s">
        <v>1704</v>
      </c>
      <c r="B929" s="26" t="s">
        <v>1705</v>
      </c>
      <c r="C929" s="26" t="s">
        <v>1647</v>
      </c>
      <c r="D929" s="27">
        <v>1</v>
      </c>
      <c r="E929" s="27">
        <v>916</v>
      </c>
      <c r="F929" s="27">
        <v>0</v>
      </c>
      <c r="G929" s="27">
        <v>0</v>
      </c>
      <c r="H929" s="27">
        <v>916</v>
      </c>
      <c r="I929" s="27">
        <f>+IFERROR(VLOOKUP(A929,'[1]Pending Dispatch'!$N$2:$O$651,2,0),0)</f>
        <v>0</v>
      </c>
      <c r="J929" s="27">
        <f t="shared" si="14"/>
        <v>916</v>
      </c>
      <c r="K929" s="28">
        <v>0.79</v>
      </c>
      <c r="L929" s="28">
        <v>723.64</v>
      </c>
      <c r="M929" s="26">
        <v>0</v>
      </c>
      <c r="N929" s="26">
        <v>0</v>
      </c>
    </row>
    <row r="930" spans="1:15" ht="15" customHeight="1" x14ac:dyDescent="0.3">
      <c r="A930" s="25" t="s">
        <v>1706</v>
      </c>
      <c r="B930" s="26" t="s">
        <v>1707</v>
      </c>
      <c r="C930" s="26" t="s">
        <v>1647</v>
      </c>
      <c r="D930" s="27">
        <v>1</v>
      </c>
      <c r="E930" s="27">
        <v>0</v>
      </c>
      <c r="F930" s="27">
        <v>0</v>
      </c>
      <c r="G930" s="27">
        <v>0</v>
      </c>
      <c r="H930" s="27">
        <v>0</v>
      </c>
      <c r="I930" s="27">
        <f>+IFERROR(VLOOKUP(A930,'[1]Pending Dispatch'!$N$2:$O$651,2,0),0)</f>
        <v>0</v>
      </c>
      <c r="J930" s="27">
        <f t="shared" si="14"/>
        <v>0</v>
      </c>
      <c r="K930" s="28">
        <v>40.01</v>
      </c>
      <c r="L930" s="28">
        <v>0</v>
      </c>
      <c r="M930" s="26">
        <v>10480</v>
      </c>
      <c r="N930" s="26">
        <v>0</v>
      </c>
    </row>
    <row r="931" spans="1:15" ht="15" customHeight="1" x14ac:dyDescent="0.3">
      <c r="A931" s="25" t="s">
        <v>1708</v>
      </c>
      <c r="B931" s="26" t="s">
        <v>1709</v>
      </c>
      <c r="C931" s="26" t="s">
        <v>1647</v>
      </c>
      <c r="D931" s="27">
        <v>1</v>
      </c>
      <c r="E931" s="27">
        <v>20</v>
      </c>
      <c r="F931" s="27">
        <v>0</v>
      </c>
      <c r="G931" s="27">
        <v>0</v>
      </c>
      <c r="H931" s="27">
        <v>20</v>
      </c>
      <c r="I931" s="27">
        <f>+IFERROR(VLOOKUP(A931,'[1]Pending Dispatch'!$N$2:$O$651,2,0),0)</f>
        <v>0</v>
      </c>
      <c r="J931" s="27">
        <f t="shared" si="14"/>
        <v>20</v>
      </c>
      <c r="K931" s="28">
        <v>17.309999999999999</v>
      </c>
      <c r="L931" s="28">
        <v>432.74999999999994</v>
      </c>
      <c r="M931" s="26">
        <v>4890</v>
      </c>
      <c r="N931" s="26">
        <v>97800</v>
      </c>
    </row>
    <row r="932" spans="1:15" ht="15" customHeight="1" x14ac:dyDescent="0.3">
      <c r="A932" s="25" t="s">
        <v>1710</v>
      </c>
      <c r="B932" s="26" t="s">
        <v>1711</v>
      </c>
      <c r="C932" s="26" t="s">
        <v>1647</v>
      </c>
      <c r="D932" s="27">
        <v>1</v>
      </c>
      <c r="E932" s="27">
        <v>0</v>
      </c>
      <c r="F932" s="27">
        <v>0</v>
      </c>
      <c r="G932" s="27">
        <v>0</v>
      </c>
      <c r="H932" s="27">
        <v>0</v>
      </c>
      <c r="I932" s="27">
        <f>+IFERROR(VLOOKUP(A932,'[1]Pending Dispatch'!$N$2:$O$651,2,0),0)</f>
        <v>0</v>
      </c>
      <c r="J932" s="27">
        <f t="shared" si="14"/>
        <v>0</v>
      </c>
      <c r="K932" s="28">
        <v>31.92</v>
      </c>
      <c r="L932" s="28">
        <v>0</v>
      </c>
      <c r="M932" s="26">
        <v>8496</v>
      </c>
      <c r="N932" s="26">
        <v>0</v>
      </c>
    </row>
    <row r="933" spans="1:15" ht="15" customHeight="1" x14ac:dyDescent="0.3">
      <c r="A933" s="45" t="s">
        <v>1712</v>
      </c>
      <c r="B933" s="26" t="s">
        <v>1713</v>
      </c>
      <c r="C933" s="26" t="s">
        <v>1647</v>
      </c>
      <c r="D933" s="27">
        <v>1</v>
      </c>
      <c r="E933" s="27">
        <v>66</v>
      </c>
      <c r="F933" s="27">
        <v>0</v>
      </c>
      <c r="G933" s="27">
        <v>0</v>
      </c>
      <c r="H933" s="27">
        <v>66</v>
      </c>
      <c r="I933" s="27">
        <f>+IFERROR(VLOOKUP(A933,'[1]Pending Dispatch'!$N$2:$O$651,2,0),0)</f>
        <v>0</v>
      </c>
      <c r="J933" s="27">
        <f t="shared" si="14"/>
        <v>66</v>
      </c>
      <c r="K933" s="28">
        <v>2.97</v>
      </c>
      <c r="L933" s="28">
        <v>297</v>
      </c>
      <c r="M933" s="26">
        <v>764</v>
      </c>
      <c r="N933" s="26">
        <v>50424</v>
      </c>
    </row>
    <row r="934" spans="1:15" ht="15" customHeight="1" x14ac:dyDescent="0.3">
      <c r="A934" s="45" t="s">
        <v>1714</v>
      </c>
      <c r="B934" s="26" t="s">
        <v>1715</v>
      </c>
      <c r="C934" s="26" t="s">
        <v>1647</v>
      </c>
      <c r="D934" s="27">
        <v>1</v>
      </c>
      <c r="E934" s="27">
        <v>22</v>
      </c>
      <c r="F934" s="27">
        <v>20</v>
      </c>
      <c r="G934" s="27">
        <v>35</v>
      </c>
      <c r="H934" s="27">
        <v>7</v>
      </c>
      <c r="I934" s="27">
        <f>+IFERROR(VLOOKUP(A934,'[1]Pending Dispatch'!$N$2:$O$651,2,0),0)</f>
        <v>0</v>
      </c>
      <c r="J934" s="27">
        <f t="shared" si="14"/>
        <v>7</v>
      </c>
      <c r="K934" s="28">
        <v>5.75</v>
      </c>
      <c r="L934" s="28">
        <v>0</v>
      </c>
      <c r="M934" s="26">
        <v>1574</v>
      </c>
      <c r="N934" s="26">
        <v>11018</v>
      </c>
    </row>
    <row r="935" spans="1:15" ht="15" customHeight="1" x14ac:dyDescent="0.3">
      <c r="A935" s="25" t="s">
        <v>1716</v>
      </c>
      <c r="B935" s="26" t="s">
        <v>1717</v>
      </c>
      <c r="C935" s="26" t="s">
        <v>1647</v>
      </c>
      <c r="D935" s="27">
        <v>1</v>
      </c>
      <c r="E935" s="27">
        <v>80</v>
      </c>
      <c r="F935" s="27">
        <v>587</v>
      </c>
      <c r="G935" s="27">
        <v>667</v>
      </c>
      <c r="H935" s="27">
        <v>0</v>
      </c>
      <c r="I935" s="27">
        <f>+IFERROR(VLOOKUP(A935,'[1]Pending Dispatch'!$N$2:$O$651,2,0),0)</f>
        <v>150</v>
      </c>
      <c r="J935" s="27">
        <f t="shared" si="14"/>
        <v>-150</v>
      </c>
      <c r="K935" s="28">
        <v>2.6</v>
      </c>
      <c r="L935" s="28">
        <v>124.80000000000001</v>
      </c>
      <c r="M935" s="26">
        <v>740</v>
      </c>
      <c r="N935" s="26">
        <v>-111000</v>
      </c>
    </row>
    <row r="936" spans="1:15" ht="15" customHeight="1" x14ac:dyDescent="0.3">
      <c r="A936" s="25" t="s">
        <v>1718</v>
      </c>
      <c r="B936" s="26" t="s">
        <v>1719</v>
      </c>
      <c r="C936" s="26" t="s">
        <v>1647</v>
      </c>
      <c r="D936" s="27">
        <v>1</v>
      </c>
      <c r="E936" s="27">
        <v>80</v>
      </c>
      <c r="F936" s="27">
        <v>0</v>
      </c>
      <c r="G936" s="27">
        <v>0</v>
      </c>
      <c r="H936" s="27">
        <v>80</v>
      </c>
      <c r="I936" s="27">
        <f>+IFERROR(VLOOKUP(A936,'[1]Pending Dispatch'!$N$2:$O$651,2,0),0)</f>
        <v>0</v>
      </c>
      <c r="J936" s="27">
        <f t="shared" si="14"/>
        <v>80</v>
      </c>
      <c r="K936" s="28">
        <v>4</v>
      </c>
      <c r="L936" s="28">
        <v>320</v>
      </c>
      <c r="M936" s="26">
        <v>1074</v>
      </c>
      <c r="N936" s="26">
        <v>85920</v>
      </c>
    </row>
    <row r="937" spans="1:15" ht="15" customHeight="1" x14ac:dyDescent="0.3">
      <c r="A937" s="25" t="s">
        <v>1720</v>
      </c>
      <c r="B937" s="26" t="s">
        <v>1721</v>
      </c>
      <c r="C937" s="26" t="s">
        <v>1647</v>
      </c>
      <c r="D937" s="27">
        <v>1</v>
      </c>
      <c r="E937" s="27">
        <v>944</v>
      </c>
      <c r="F937" s="27">
        <v>0</v>
      </c>
      <c r="G937" s="27">
        <v>0</v>
      </c>
      <c r="H937" s="27">
        <v>944</v>
      </c>
      <c r="I937" s="27">
        <f>+IFERROR(VLOOKUP(A937,'[1]Pending Dispatch'!$N$2:$O$651,2,0),0)</f>
        <v>0</v>
      </c>
      <c r="J937" s="27">
        <f t="shared" si="14"/>
        <v>944</v>
      </c>
      <c r="K937" s="28">
        <v>0.30499999999999999</v>
      </c>
      <c r="L937" s="28">
        <v>287.92</v>
      </c>
      <c r="M937" s="26">
        <v>111</v>
      </c>
      <c r="N937" s="26">
        <v>104784</v>
      </c>
    </row>
    <row r="938" spans="1:15" ht="15" customHeight="1" x14ac:dyDescent="0.3">
      <c r="A938" s="25" t="s">
        <v>1722</v>
      </c>
      <c r="B938" s="26" t="s">
        <v>1723</v>
      </c>
      <c r="C938" s="26" t="s">
        <v>1647</v>
      </c>
      <c r="D938" s="27">
        <v>1</v>
      </c>
      <c r="E938" s="27">
        <v>0</v>
      </c>
      <c r="F938" s="27">
        <v>0</v>
      </c>
      <c r="G938" s="27">
        <v>0</v>
      </c>
      <c r="H938" s="27">
        <v>0</v>
      </c>
      <c r="I938" s="27">
        <f>+IFERROR(VLOOKUP(A938,'[1]Pending Dispatch'!$N$2:$O$651,2,0),0)</f>
        <v>0</v>
      </c>
      <c r="J938" s="27">
        <f t="shared" si="14"/>
        <v>0</v>
      </c>
      <c r="K938" s="28">
        <v>2.35</v>
      </c>
      <c r="L938" s="28">
        <v>0</v>
      </c>
      <c r="M938" s="26">
        <v>578.33000000000004</v>
      </c>
      <c r="N938" s="26">
        <v>0</v>
      </c>
    </row>
    <row r="939" spans="1:15" ht="15" customHeight="1" x14ac:dyDescent="0.3">
      <c r="A939" s="25" t="s">
        <v>1724</v>
      </c>
      <c r="B939" s="26" t="s">
        <v>1725</v>
      </c>
      <c r="C939" s="26" t="s">
        <v>1726</v>
      </c>
      <c r="D939" s="27">
        <v>14</v>
      </c>
      <c r="E939" s="27">
        <v>158</v>
      </c>
      <c r="F939" s="27">
        <v>0</v>
      </c>
      <c r="G939" s="27">
        <v>84</v>
      </c>
      <c r="H939" s="27">
        <v>74</v>
      </c>
      <c r="I939" s="27">
        <f>+IFERROR(VLOOKUP(A939,'[1]Pending Dispatch'!$N$2:$O$651,2,0),0)</f>
        <v>42</v>
      </c>
      <c r="J939" s="27">
        <f t="shared" si="14"/>
        <v>32</v>
      </c>
      <c r="K939" s="28">
        <v>0.57940000000000003</v>
      </c>
      <c r="L939" s="28">
        <v>2.3176000000000001</v>
      </c>
      <c r="M939" s="26">
        <v>281.2</v>
      </c>
      <c r="N939" s="26">
        <v>8998.4</v>
      </c>
    </row>
    <row r="940" spans="1:15" ht="15" customHeight="1" x14ac:dyDescent="0.3">
      <c r="A940" s="25" t="s">
        <v>1727</v>
      </c>
      <c r="B940" s="26" t="s">
        <v>1728</v>
      </c>
      <c r="C940" s="26" t="s">
        <v>1726</v>
      </c>
      <c r="D940" s="27">
        <v>120</v>
      </c>
      <c r="E940" s="27">
        <v>1601</v>
      </c>
      <c r="F940" s="27">
        <v>0</v>
      </c>
      <c r="G940" s="27">
        <v>240</v>
      </c>
      <c r="H940" s="27">
        <v>1361</v>
      </c>
      <c r="I940" s="27">
        <f>+IFERROR(VLOOKUP(A940,'[1]Pending Dispatch'!$N$2:$O$651,2,0),0)</f>
        <v>600</v>
      </c>
      <c r="J940" s="27">
        <f t="shared" si="14"/>
        <v>761</v>
      </c>
      <c r="K940" s="28">
        <v>7.3999999999999996E-2</v>
      </c>
      <c r="L940" s="28">
        <v>13.763999999999999</v>
      </c>
      <c r="M940" s="26">
        <v>35.6</v>
      </c>
      <c r="N940" s="26">
        <v>27091.600000000002</v>
      </c>
    </row>
    <row r="941" spans="1:15" ht="15" customHeight="1" x14ac:dyDescent="0.3">
      <c r="A941" s="25" t="s">
        <v>1729</v>
      </c>
      <c r="B941" s="26" t="s">
        <v>1730</v>
      </c>
      <c r="C941" s="26" t="s">
        <v>1726</v>
      </c>
      <c r="D941" s="27">
        <v>125</v>
      </c>
      <c r="E941" s="27">
        <v>1495</v>
      </c>
      <c r="F941" s="27">
        <v>0</v>
      </c>
      <c r="G941" s="27">
        <v>251</v>
      </c>
      <c r="H941" s="27">
        <v>1244</v>
      </c>
      <c r="I941" s="27">
        <f>+IFERROR(VLOOKUP(A941,'[1]Pending Dispatch'!$N$2:$O$651,2,0),0)</f>
        <v>125</v>
      </c>
      <c r="J941" s="27">
        <f t="shared" si="14"/>
        <v>1119</v>
      </c>
      <c r="K941" s="28">
        <v>0.1065</v>
      </c>
      <c r="L941" s="28">
        <v>0.112038</v>
      </c>
      <c r="M941" s="26">
        <v>52</v>
      </c>
      <c r="N941" s="26">
        <v>58188</v>
      </c>
    </row>
    <row r="942" spans="1:15" ht="15" customHeight="1" x14ac:dyDescent="0.3">
      <c r="A942" s="25" t="s">
        <v>1731</v>
      </c>
      <c r="B942" s="26" t="s">
        <v>1732</v>
      </c>
      <c r="C942" s="26" t="s">
        <v>1726</v>
      </c>
      <c r="D942" s="27">
        <v>75</v>
      </c>
      <c r="E942" s="27">
        <v>542</v>
      </c>
      <c r="F942" s="27">
        <v>0</v>
      </c>
      <c r="G942" s="27">
        <v>375</v>
      </c>
      <c r="H942" s="27">
        <v>167</v>
      </c>
      <c r="I942" s="27">
        <f>+IFERROR(VLOOKUP(A942,'[1]Pending Dispatch'!$N$2:$O$651,2,0),0)</f>
        <v>750</v>
      </c>
      <c r="J942" s="27">
        <f t="shared" si="14"/>
        <v>-583</v>
      </c>
      <c r="K942" s="28">
        <v>0.155</v>
      </c>
      <c r="L942" s="28">
        <v>0.10726000000000001</v>
      </c>
      <c r="M942" s="26">
        <v>75.8</v>
      </c>
      <c r="N942" s="26">
        <v>-44191.4</v>
      </c>
      <c r="O942" s="2">
        <v>271</v>
      </c>
    </row>
    <row r="943" spans="1:15" ht="15" customHeight="1" x14ac:dyDescent="0.3">
      <c r="A943" s="25" t="s">
        <v>1733</v>
      </c>
      <c r="B943" s="26" t="s">
        <v>1734</v>
      </c>
      <c r="C943" s="26" t="s">
        <v>1726</v>
      </c>
      <c r="D943" s="27">
        <v>50</v>
      </c>
      <c r="E943" s="27">
        <v>431</v>
      </c>
      <c r="F943" s="27">
        <v>1200</v>
      </c>
      <c r="G943" s="27">
        <v>651</v>
      </c>
      <c r="H943" s="27">
        <v>980</v>
      </c>
      <c r="I943" s="27">
        <f>+IFERROR(VLOOKUP(A943,'[1]Pending Dispatch'!$N$2:$O$651,2,0),0)</f>
        <v>1250</v>
      </c>
      <c r="J943" s="27">
        <f t="shared" si="14"/>
        <v>-270</v>
      </c>
      <c r="K943" s="28">
        <v>0.24199999999999999</v>
      </c>
      <c r="L943" s="28">
        <v>0.18900199999999998</v>
      </c>
      <c r="M943" s="26">
        <v>116.8</v>
      </c>
      <c r="N943" s="26">
        <v>-32120</v>
      </c>
    </row>
    <row r="944" spans="1:15" ht="15" customHeight="1" x14ac:dyDescent="0.3">
      <c r="A944" s="25" t="s">
        <v>1735</v>
      </c>
      <c r="B944" s="26" t="s">
        <v>1736</v>
      </c>
      <c r="C944" s="26" t="s">
        <v>1726</v>
      </c>
      <c r="D944" s="27">
        <v>400</v>
      </c>
      <c r="E944" s="27">
        <v>595</v>
      </c>
      <c r="F944" s="27">
        <v>2400</v>
      </c>
      <c r="G944" s="27">
        <v>1900</v>
      </c>
      <c r="H944" s="27">
        <v>1095</v>
      </c>
      <c r="I944" s="27">
        <f>+IFERROR(VLOOKUP(A944,'[1]Pending Dispatch'!$N$2:$O$651,2,0),0)</f>
        <v>1200</v>
      </c>
      <c r="J944" s="27">
        <f t="shared" si="14"/>
        <v>-105</v>
      </c>
      <c r="K944" s="28">
        <v>3.3700000000000001E-2</v>
      </c>
      <c r="L944" s="28">
        <v>6.0491500000000004E-2</v>
      </c>
      <c r="M944" s="26">
        <v>0</v>
      </c>
      <c r="N944" s="26">
        <v>0</v>
      </c>
    </row>
    <row r="945" spans="1:14" ht="15" customHeight="1" x14ac:dyDescent="0.3">
      <c r="A945" s="25" t="s">
        <v>1737</v>
      </c>
      <c r="B945" s="26" t="s">
        <v>1738</v>
      </c>
      <c r="C945" s="26" t="s">
        <v>1726</v>
      </c>
      <c r="D945" s="27">
        <v>200</v>
      </c>
      <c r="E945" s="27">
        <v>653</v>
      </c>
      <c r="F945" s="27">
        <v>2200</v>
      </c>
      <c r="G945" s="27">
        <v>900</v>
      </c>
      <c r="H945" s="27">
        <v>1953</v>
      </c>
      <c r="I945" s="27">
        <f>+IFERROR(VLOOKUP(A945,'[1]Pending Dispatch'!$N$2:$O$651,2,0),0)</f>
        <v>1200</v>
      </c>
      <c r="J945" s="27">
        <f t="shared" si="14"/>
        <v>753</v>
      </c>
      <c r="K945" s="28">
        <v>5.5200000000000006E-2</v>
      </c>
      <c r="L945" s="28">
        <v>0.14644560000000001</v>
      </c>
      <c r="M945" s="26">
        <v>0</v>
      </c>
      <c r="N945" s="26">
        <v>0</v>
      </c>
    </row>
    <row r="946" spans="1:14" ht="15" customHeight="1" x14ac:dyDescent="0.3">
      <c r="A946" s="25" t="s">
        <v>1739</v>
      </c>
      <c r="B946" s="26" t="s">
        <v>1740</v>
      </c>
      <c r="C946" s="26" t="s">
        <v>1726</v>
      </c>
      <c r="D946" s="27">
        <v>110</v>
      </c>
      <c r="E946" s="27">
        <v>907</v>
      </c>
      <c r="F946" s="27">
        <v>0</v>
      </c>
      <c r="G946" s="27">
        <v>20</v>
      </c>
      <c r="H946" s="27">
        <v>887</v>
      </c>
      <c r="I946" s="27">
        <f>+IFERROR(VLOOKUP(A946,'[1]Pending Dispatch'!$N$2:$O$651,2,0),0)</f>
        <v>0</v>
      </c>
      <c r="J946" s="27">
        <f t="shared" si="14"/>
        <v>887</v>
      </c>
      <c r="K946" s="28">
        <v>8.8349999999999998E-2</v>
      </c>
      <c r="L946" s="28">
        <v>8.0133449999999995E-2</v>
      </c>
      <c r="M946" s="26">
        <v>0</v>
      </c>
      <c r="N946" s="26">
        <v>0</v>
      </c>
    </row>
    <row r="947" spans="1:14" ht="15" customHeight="1" x14ac:dyDescent="0.3">
      <c r="A947" s="25" t="s">
        <v>1741</v>
      </c>
      <c r="B947" s="26" t="s">
        <v>1742</v>
      </c>
      <c r="C947" s="26" t="s">
        <v>1726</v>
      </c>
      <c r="D947" s="27">
        <v>120</v>
      </c>
      <c r="E947" s="27">
        <v>681</v>
      </c>
      <c r="F947" s="27">
        <v>0</v>
      </c>
      <c r="G947" s="27">
        <v>12</v>
      </c>
      <c r="H947" s="27">
        <v>669</v>
      </c>
      <c r="I947" s="27">
        <f>+IFERROR(VLOOKUP(A947,'[1]Pending Dispatch'!$N$2:$O$651,2,0),0)</f>
        <v>0</v>
      </c>
      <c r="J947" s="27">
        <f t="shared" si="14"/>
        <v>669</v>
      </c>
      <c r="K947" s="28">
        <v>0.12890000000000001</v>
      </c>
      <c r="L947" s="28">
        <v>0.11871690000000001</v>
      </c>
      <c r="M947" s="26">
        <v>0</v>
      </c>
      <c r="N947" s="26">
        <v>0</v>
      </c>
    </row>
    <row r="948" spans="1:14" ht="15" customHeight="1" x14ac:dyDescent="0.3">
      <c r="A948" s="25" t="s">
        <v>1743</v>
      </c>
      <c r="B948" s="26" t="s">
        <v>1744</v>
      </c>
      <c r="C948" s="26" t="s">
        <v>1726</v>
      </c>
      <c r="D948" s="27">
        <v>75</v>
      </c>
      <c r="E948" s="27">
        <v>154</v>
      </c>
      <c r="F948" s="27">
        <v>0</v>
      </c>
      <c r="G948" s="27">
        <v>20</v>
      </c>
      <c r="H948" s="27">
        <v>134</v>
      </c>
      <c r="I948" s="27">
        <f>+IFERROR(VLOOKUP(A948,'[1]Pending Dispatch'!$N$2:$O$651,2,0),0)</f>
        <v>0</v>
      </c>
      <c r="J948" s="27">
        <f t="shared" si="14"/>
        <v>134</v>
      </c>
      <c r="K948" s="28">
        <v>0.191</v>
      </c>
      <c r="L948" s="28">
        <v>0.101039</v>
      </c>
      <c r="M948" s="26">
        <v>0</v>
      </c>
      <c r="N948" s="26">
        <v>0</v>
      </c>
    </row>
    <row r="949" spans="1:14" ht="15" customHeight="1" x14ac:dyDescent="0.3">
      <c r="A949" s="33" t="s">
        <v>1745</v>
      </c>
      <c r="B949" s="34" t="s">
        <v>1746</v>
      </c>
      <c r="C949" s="34" t="s">
        <v>1726</v>
      </c>
      <c r="D949" s="35">
        <v>50</v>
      </c>
      <c r="E949" s="35">
        <v>318</v>
      </c>
      <c r="F949" s="35">
        <v>300</v>
      </c>
      <c r="G949" s="35">
        <v>381</v>
      </c>
      <c r="H949" s="35">
        <v>237</v>
      </c>
      <c r="I949" s="27">
        <f>+IFERROR(VLOOKUP(A949,'[1]Pending Dispatch'!$N$2:$O$651,2,0),0)</f>
        <v>300</v>
      </c>
      <c r="J949" s="27">
        <f t="shared" si="14"/>
        <v>-63</v>
      </c>
      <c r="K949" s="36">
        <v>0.29560000000000003</v>
      </c>
      <c r="L949" s="36">
        <v>7.9220800000000008E-2</v>
      </c>
      <c r="M949" s="34">
        <v>0</v>
      </c>
      <c r="N949" s="34">
        <v>0</v>
      </c>
    </row>
    <row r="950" spans="1:14" ht="15" customHeight="1" x14ac:dyDescent="0.3">
      <c r="A950" s="25" t="s">
        <v>1747</v>
      </c>
      <c r="B950" s="26" t="s">
        <v>1748</v>
      </c>
      <c r="C950" s="26" t="s">
        <v>1726</v>
      </c>
      <c r="D950" s="27">
        <v>32</v>
      </c>
      <c r="E950" s="27">
        <v>50</v>
      </c>
      <c r="F950" s="27">
        <v>0</v>
      </c>
      <c r="G950" s="27">
        <v>0</v>
      </c>
      <c r="H950" s="27">
        <v>50</v>
      </c>
      <c r="I950" s="27">
        <f>+IFERROR(VLOOKUP(A950,'[1]Pending Dispatch'!$N$2:$O$651,2,0),0)</f>
        <v>0</v>
      </c>
      <c r="J950" s="27">
        <f t="shared" si="14"/>
        <v>50</v>
      </c>
      <c r="K950" s="28">
        <v>0.4</v>
      </c>
      <c r="L950" s="28">
        <v>5.8400000000000007E-2</v>
      </c>
      <c r="M950" s="26">
        <v>0</v>
      </c>
      <c r="N950" s="26">
        <v>0</v>
      </c>
    </row>
    <row r="951" spans="1:14" ht="15" customHeight="1" x14ac:dyDescent="0.3">
      <c r="A951" s="25" t="s">
        <v>1749</v>
      </c>
      <c r="B951" s="26" t="s">
        <v>1750</v>
      </c>
      <c r="C951" s="26" t="s">
        <v>1726</v>
      </c>
      <c r="D951" s="27">
        <v>22</v>
      </c>
      <c r="E951" s="27">
        <v>52</v>
      </c>
      <c r="F951" s="27">
        <v>0</v>
      </c>
      <c r="G951" s="27">
        <v>44</v>
      </c>
      <c r="H951" s="27">
        <v>8</v>
      </c>
      <c r="I951" s="27">
        <f>+IFERROR(VLOOKUP(A951,'[1]Pending Dispatch'!$N$2:$O$651,2,0),0)</f>
        <v>22</v>
      </c>
      <c r="J951" s="27">
        <f t="shared" si="14"/>
        <v>-14</v>
      </c>
      <c r="K951" s="28">
        <v>0.54349999999999998</v>
      </c>
      <c r="L951" s="28">
        <v>0.100004</v>
      </c>
      <c r="M951" s="26">
        <v>0</v>
      </c>
      <c r="N951" s="26">
        <v>0</v>
      </c>
    </row>
    <row r="952" spans="1:14" ht="15" customHeight="1" x14ac:dyDescent="0.3">
      <c r="A952" s="25" t="s">
        <v>1751</v>
      </c>
      <c r="B952" s="26" t="s">
        <v>1752</v>
      </c>
      <c r="C952" s="26" t="s">
        <v>1726</v>
      </c>
      <c r="D952" s="27">
        <v>12</v>
      </c>
      <c r="E952" s="27">
        <v>43</v>
      </c>
      <c r="F952" s="27">
        <v>240</v>
      </c>
      <c r="G952" s="27">
        <v>104</v>
      </c>
      <c r="H952" s="27">
        <v>179</v>
      </c>
      <c r="I952" s="27">
        <f>+IFERROR(VLOOKUP(A952,'[1]Pending Dispatch'!$N$2:$O$651,2,0),0)</f>
        <v>24</v>
      </c>
      <c r="J952" s="27">
        <f t="shared" si="14"/>
        <v>155</v>
      </c>
      <c r="K952" s="28">
        <v>0.75670000000000004</v>
      </c>
      <c r="L952" s="28">
        <v>8.7020500000000001E-2</v>
      </c>
      <c r="M952" s="26">
        <v>0</v>
      </c>
      <c r="N952" s="26">
        <v>0</v>
      </c>
    </row>
    <row r="953" spans="1:14" ht="15" customHeight="1" x14ac:dyDescent="0.3">
      <c r="A953" s="25" t="s">
        <v>1753</v>
      </c>
      <c r="B953" s="26" t="s">
        <v>1754</v>
      </c>
      <c r="C953" s="26" t="s">
        <v>1726</v>
      </c>
      <c r="D953" s="27">
        <v>5</v>
      </c>
      <c r="E953" s="27">
        <v>52</v>
      </c>
      <c r="F953" s="27">
        <v>0</v>
      </c>
      <c r="G953" s="27">
        <v>25</v>
      </c>
      <c r="H953" s="27">
        <v>27</v>
      </c>
      <c r="I953" s="27">
        <f>+IFERROR(VLOOKUP(A953,'[1]Pending Dispatch'!$N$2:$O$651,2,0),0)</f>
        <v>30</v>
      </c>
      <c r="J953" s="27">
        <f t="shared" si="14"/>
        <v>-3</v>
      </c>
      <c r="K953" s="28">
        <v>1.5760000000000001</v>
      </c>
      <c r="L953" s="28">
        <v>0.24743200000000001</v>
      </c>
      <c r="M953" s="26">
        <v>756.8</v>
      </c>
      <c r="N953" s="26">
        <v>92329.599999999991</v>
      </c>
    </row>
    <row r="954" spans="1:14" ht="15" customHeight="1" x14ac:dyDescent="0.3">
      <c r="A954" s="25" t="s">
        <v>1755</v>
      </c>
      <c r="B954" s="26" t="s">
        <v>1756</v>
      </c>
      <c r="C954" s="26" t="s">
        <v>1726</v>
      </c>
      <c r="D954" s="27">
        <v>75</v>
      </c>
      <c r="E954" s="27">
        <v>710</v>
      </c>
      <c r="F954" s="27">
        <v>0</v>
      </c>
      <c r="G954" s="27">
        <v>152</v>
      </c>
      <c r="H954" s="27">
        <v>558</v>
      </c>
      <c r="I954" s="27">
        <f>+IFERROR(VLOOKUP(A954,'[1]Pending Dispatch'!$N$2:$O$651,2,0),0)</f>
        <v>525</v>
      </c>
      <c r="J954" s="27">
        <f t="shared" si="14"/>
        <v>33</v>
      </c>
      <c r="K954" s="28">
        <v>0.18099999999999999</v>
      </c>
      <c r="L954" s="28">
        <v>0.30444199999999999</v>
      </c>
      <c r="M954" s="26">
        <v>87</v>
      </c>
      <c r="N954" s="26">
        <v>2871</v>
      </c>
    </row>
    <row r="955" spans="1:14" ht="15" customHeight="1" x14ac:dyDescent="0.3">
      <c r="A955" s="25" t="s">
        <v>1757</v>
      </c>
      <c r="B955" s="26" t="s">
        <v>1758</v>
      </c>
      <c r="C955" s="26" t="s">
        <v>1726</v>
      </c>
      <c r="D955" s="27">
        <v>45</v>
      </c>
      <c r="E955" s="27">
        <v>899</v>
      </c>
      <c r="F955" s="27">
        <v>0</v>
      </c>
      <c r="G955" s="27">
        <v>4</v>
      </c>
      <c r="H955" s="27">
        <v>895</v>
      </c>
      <c r="I955" s="27">
        <f>+IFERROR(VLOOKUP(A955,'[1]Pending Dispatch'!$N$2:$O$651,2,0),0)</f>
        <v>405</v>
      </c>
      <c r="J955" s="27">
        <f t="shared" si="14"/>
        <v>490</v>
      </c>
      <c r="K955" s="28">
        <v>0.26739999999999997</v>
      </c>
      <c r="L955" s="28">
        <v>8.3963599999999985E-2</v>
      </c>
      <c r="M955" s="26">
        <v>129.19999999999999</v>
      </c>
      <c r="N955" s="26">
        <v>63307.999999999993</v>
      </c>
    </row>
    <row r="956" spans="1:14" ht="15" customHeight="1" x14ac:dyDescent="0.3">
      <c r="A956" s="25" t="s">
        <v>1759</v>
      </c>
      <c r="B956" s="26" t="s">
        <v>1760</v>
      </c>
      <c r="C956" s="26" t="s">
        <v>1726</v>
      </c>
      <c r="D956" s="27">
        <v>32</v>
      </c>
      <c r="E956" s="27">
        <v>1462</v>
      </c>
      <c r="F956" s="27">
        <v>0</v>
      </c>
      <c r="G956" s="27">
        <v>462</v>
      </c>
      <c r="H956" s="27">
        <v>1000</v>
      </c>
      <c r="I956" s="27">
        <f>+IFERROR(VLOOKUP(A956,'[1]Pending Dispatch'!$N$2:$O$651,2,0),0)</f>
        <v>384</v>
      </c>
      <c r="J956" s="27">
        <f t="shared" si="14"/>
        <v>616</v>
      </c>
      <c r="K956" s="28">
        <v>0.39700000000000002</v>
      </c>
      <c r="L956" s="28">
        <v>6.5107999999999999E-2</v>
      </c>
      <c r="M956" s="26">
        <v>190.8</v>
      </c>
      <c r="N956" s="26">
        <v>117532.8</v>
      </c>
    </row>
    <row r="957" spans="1:14" ht="15" customHeight="1" x14ac:dyDescent="0.3">
      <c r="A957" s="25" t="s">
        <v>1761</v>
      </c>
      <c r="B957" s="26" t="s">
        <v>1762</v>
      </c>
      <c r="C957" s="26" t="s">
        <v>1726</v>
      </c>
      <c r="D957" s="27">
        <v>15</v>
      </c>
      <c r="E957" s="27">
        <v>326</v>
      </c>
      <c r="F957" s="27">
        <v>1140</v>
      </c>
      <c r="G957" s="27">
        <v>558</v>
      </c>
      <c r="H957" s="27">
        <v>908</v>
      </c>
      <c r="I957" s="27">
        <f>+IFERROR(VLOOKUP(A957,'[1]Pending Dispatch'!$N$2:$O$651,2,0),0)</f>
        <v>630</v>
      </c>
      <c r="J957" s="27">
        <f t="shared" si="14"/>
        <v>278</v>
      </c>
      <c r="K957" s="28">
        <v>0.62120000000000009</v>
      </c>
      <c r="L957" s="28">
        <v>0.23046520000000004</v>
      </c>
      <c r="M957" s="26">
        <v>302.10000000000002</v>
      </c>
      <c r="N957" s="26">
        <v>82473.3</v>
      </c>
    </row>
    <row r="958" spans="1:14" ht="15" customHeight="1" x14ac:dyDescent="0.3">
      <c r="A958" s="25" t="s">
        <v>1763</v>
      </c>
      <c r="B958" s="26" t="s">
        <v>1764</v>
      </c>
      <c r="C958" s="26" t="s">
        <v>1726</v>
      </c>
      <c r="D958" s="27">
        <v>150</v>
      </c>
      <c r="E958" s="27">
        <v>2835</v>
      </c>
      <c r="F958" s="27">
        <v>0</v>
      </c>
      <c r="G958" s="27">
        <v>922</v>
      </c>
      <c r="H958" s="27">
        <v>1913</v>
      </c>
      <c r="I958" s="27">
        <f>+IFERROR(VLOOKUP(A958,'[1]Pending Dispatch'!$N$2:$O$651,2,0),0)</f>
        <v>1100</v>
      </c>
      <c r="J958" s="27">
        <f t="shared" si="14"/>
        <v>813</v>
      </c>
      <c r="K958" s="28">
        <v>7.8900000000000012E-2</v>
      </c>
      <c r="L958" s="28">
        <v>3.8266500000000009E-2</v>
      </c>
      <c r="M958" s="26">
        <v>0</v>
      </c>
      <c r="N958" s="26">
        <v>0</v>
      </c>
    </row>
    <row r="959" spans="1:14" ht="15" customHeight="1" x14ac:dyDescent="0.3">
      <c r="A959" s="25" t="s">
        <v>1765</v>
      </c>
      <c r="B959" s="26" t="s">
        <v>1766</v>
      </c>
      <c r="C959" s="26" t="s">
        <v>1726</v>
      </c>
      <c r="D959" s="27">
        <v>150</v>
      </c>
      <c r="E959" s="27">
        <v>554</v>
      </c>
      <c r="F959" s="27">
        <v>3750</v>
      </c>
      <c r="G959" s="27">
        <v>2152</v>
      </c>
      <c r="H959" s="27">
        <v>2152</v>
      </c>
      <c r="I959" s="27">
        <f>+IFERROR(VLOOKUP(A959,'[1]Pending Dispatch'!$N$2:$O$651,2,0),0)</f>
        <v>1850</v>
      </c>
      <c r="J959" s="27">
        <f t="shared" si="14"/>
        <v>302</v>
      </c>
      <c r="K959" s="28">
        <v>0.1235</v>
      </c>
      <c r="L959" s="28">
        <v>0.19809399999999999</v>
      </c>
      <c r="M959" s="26">
        <v>0</v>
      </c>
      <c r="N959" s="26">
        <v>0</v>
      </c>
    </row>
    <row r="960" spans="1:14" ht="15" customHeight="1" x14ac:dyDescent="0.3">
      <c r="A960" s="25" t="s">
        <v>1767</v>
      </c>
      <c r="B960" s="26" t="s">
        <v>1768</v>
      </c>
      <c r="C960" s="26" t="s">
        <v>1726</v>
      </c>
      <c r="D960" s="27">
        <v>40</v>
      </c>
      <c r="E960" s="27">
        <v>20</v>
      </c>
      <c r="F960" s="27">
        <v>0</v>
      </c>
      <c r="G960" s="27">
        <v>2</v>
      </c>
      <c r="H960" s="27">
        <v>18</v>
      </c>
      <c r="I960" s="27">
        <f>+IFERROR(VLOOKUP(A960,'[1]Pending Dispatch'!$N$2:$O$651,2,0),0)</f>
        <v>200</v>
      </c>
      <c r="J960" s="27">
        <f t="shared" si="14"/>
        <v>-182</v>
      </c>
      <c r="K960" s="28">
        <v>0.20019999999999999</v>
      </c>
      <c r="L960" s="28">
        <v>8.4083999999999992E-2</v>
      </c>
      <c r="M960" s="26">
        <v>0</v>
      </c>
      <c r="N960" s="26">
        <v>0</v>
      </c>
    </row>
    <row r="961" spans="1:14" ht="15" customHeight="1" x14ac:dyDescent="0.3">
      <c r="A961" s="25" t="s">
        <v>1769</v>
      </c>
      <c r="B961" s="26" t="s">
        <v>1770</v>
      </c>
      <c r="C961" s="26" t="s">
        <v>1726</v>
      </c>
      <c r="D961" s="27">
        <v>45</v>
      </c>
      <c r="E961" s="27">
        <v>737</v>
      </c>
      <c r="F961" s="27">
        <v>0</v>
      </c>
      <c r="G961" s="27">
        <v>4</v>
      </c>
      <c r="H961" s="27">
        <v>733</v>
      </c>
      <c r="I961" s="27">
        <f>+IFERROR(VLOOKUP(A961,'[1]Pending Dispatch'!$N$2:$O$651,2,0),0)</f>
        <v>180</v>
      </c>
      <c r="J961" s="27">
        <f t="shared" si="14"/>
        <v>553</v>
      </c>
      <c r="K961" s="28">
        <v>0.30549999999999999</v>
      </c>
      <c r="L961" s="28">
        <v>5.1935000000000002E-3</v>
      </c>
      <c r="M961" s="26">
        <v>0</v>
      </c>
      <c r="N961" s="26">
        <v>0</v>
      </c>
    </row>
    <row r="962" spans="1:14" ht="15" customHeight="1" x14ac:dyDescent="0.3">
      <c r="A962" s="33" t="s">
        <v>1771</v>
      </c>
      <c r="B962" s="34" t="s">
        <v>1772</v>
      </c>
      <c r="C962" s="34" t="s">
        <v>1726</v>
      </c>
      <c r="D962" s="35">
        <v>25</v>
      </c>
      <c r="E962" s="35">
        <v>80</v>
      </c>
      <c r="F962" s="35">
        <v>0</v>
      </c>
      <c r="G962" s="35">
        <v>57</v>
      </c>
      <c r="H962" s="35">
        <v>23</v>
      </c>
      <c r="I962" s="27">
        <f>+IFERROR(VLOOKUP(A962,'[1]Pending Dispatch'!$N$2:$O$651,2,0),0)</f>
        <v>275</v>
      </c>
      <c r="J962" s="27">
        <f t="shared" si="14"/>
        <v>-252</v>
      </c>
      <c r="K962" s="36">
        <v>0.46100000000000002</v>
      </c>
      <c r="L962" s="36">
        <v>9.4505000000000006E-2</v>
      </c>
      <c r="M962" s="34">
        <v>78</v>
      </c>
      <c r="N962" s="34">
        <v>-6006</v>
      </c>
    </row>
    <row r="963" spans="1:14" ht="15" customHeight="1" x14ac:dyDescent="0.3">
      <c r="A963" s="25" t="s">
        <v>1773</v>
      </c>
      <c r="B963" s="26" t="s">
        <v>1774</v>
      </c>
      <c r="C963" s="26" t="s">
        <v>1726</v>
      </c>
      <c r="D963" s="27">
        <v>15</v>
      </c>
      <c r="E963" s="27">
        <v>209</v>
      </c>
      <c r="F963" s="27">
        <v>613</v>
      </c>
      <c r="G963" s="27">
        <v>468</v>
      </c>
      <c r="H963" s="27">
        <v>354</v>
      </c>
      <c r="I963" s="27">
        <f>+IFERROR(VLOOKUP(A963,'[1]Pending Dispatch'!$N$2:$O$651,2,0),0)</f>
        <v>210</v>
      </c>
      <c r="J963" s="27">
        <f t="shared" si="14"/>
        <v>144</v>
      </c>
      <c r="K963" s="28">
        <v>0.72499999999999998</v>
      </c>
      <c r="L963" s="28">
        <v>0.40092500000000003</v>
      </c>
      <c r="M963" s="26">
        <v>84</v>
      </c>
      <c r="N963" s="26">
        <v>12096</v>
      </c>
    </row>
    <row r="964" spans="1:14" ht="15" customHeight="1" x14ac:dyDescent="0.3">
      <c r="A964" s="25" t="s">
        <v>1775</v>
      </c>
      <c r="B964" s="26" t="s">
        <v>1776</v>
      </c>
      <c r="C964" s="26" t="s">
        <v>1726</v>
      </c>
      <c r="D964" s="27">
        <v>10</v>
      </c>
      <c r="E964" s="27">
        <v>139</v>
      </c>
      <c r="F964" s="27">
        <v>0</v>
      </c>
      <c r="G964" s="27">
        <v>0</v>
      </c>
      <c r="H964" s="27">
        <v>139</v>
      </c>
      <c r="I964" s="27">
        <f>+IFERROR(VLOOKUP(A964,'[1]Pending Dispatch'!$N$2:$O$651,2,0),0)</f>
        <v>0</v>
      </c>
      <c r="J964" s="27">
        <f t="shared" si="14"/>
        <v>139</v>
      </c>
      <c r="K964" s="28">
        <v>0.96750000000000003</v>
      </c>
      <c r="L964" s="28">
        <v>0.1344825</v>
      </c>
      <c r="M964" s="26">
        <v>84</v>
      </c>
      <c r="N964" s="26">
        <v>11676</v>
      </c>
    </row>
    <row r="965" spans="1:14" ht="15" customHeight="1" x14ac:dyDescent="0.3">
      <c r="A965" s="25" t="s">
        <v>1777</v>
      </c>
      <c r="B965" s="26" t="s">
        <v>1778</v>
      </c>
      <c r="C965" s="26" t="s">
        <v>1726</v>
      </c>
      <c r="D965" s="27">
        <v>6</v>
      </c>
      <c r="E965" s="27">
        <v>30</v>
      </c>
      <c r="F965" s="27">
        <v>114</v>
      </c>
      <c r="G965" s="27">
        <v>54</v>
      </c>
      <c r="H965" s="27">
        <v>90</v>
      </c>
      <c r="I965" s="27">
        <f>+IFERROR(VLOOKUP(A965,'[1]Pending Dispatch'!$N$2:$O$651,2,0),0)</f>
        <v>0</v>
      </c>
      <c r="J965" s="27">
        <f t="shared" si="14"/>
        <v>90</v>
      </c>
      <c r="K965" s="28">
        <v>1.333</v>
      </c>
      <c r="L965" s="28">
        <v>0.11197199999999999</v>
      </c>
      <c r="M965" s="26">
        <v>0</v>
      </c>
      <c r="N965" s="26">
        <v>0</v>
      </c>
    </row>
    <row r="966" spans="1:14" ht="15" customHeight="1" x14ac:dyDescent="0.3">
      <c r="A966" s="25" t="s">
        <v>1779</v>
      </c>
      <c r="B966" s="26" t="s">
        <v>1780</v>
      </c>
      <c r="C966" s="26" t="s">
        <v>1726</v>
      </c>
      <c r="D966" s="27">
        <v>6</v>
      </c>
      <c r="E966" s="27">
        <v>146</v>
      </c>
      <c r="F966" s="27">
        <v>0</v>
      </c>
      <c r="G966" s="27">
        <v>72</v>
      </c>
      <c r="H966" s="27">
        <v>74</v>
      </c>
      <c r="I966" s="27">
        <f>+IFERROR(VLOOKUP(A966,'[1]Pending Dispatch'!$N$2:$O$651,2,0),0)</f>
        <v>18</v>
      </c>
      <c r="J966" s="27">
        <f t="shared" ref="J966:J1029" si="15">+H966-I966</f>
        <v>56</v>
      </c>
      <c r="K966" s="28">
        <v>1.84</v>
      </c>
      <c r="L966" s="28">
        <v>0.34592000000000001</v>
      </c>
      <c r="M966" s="26">
        <v>0</v>
      </c>
      <c r="N966" s="26">
        <v>0</v>
      </c>
    </row>
    <row r="967" spans="1:14" ht="15" customHeight="1" x14ac:dyDescent="0.3">
      <c r="A967" s="25" t="s">
        <v>1781</v>
      </c>
      <c r="B967" s="26" t="s">
        <v>1782</v>
      </c>
      <c r="C967" s="26" t="s">
        <v>1726</v>
      </c>
      <c r="D967" s="27">
        <v>8</v>
      </c>
      <c r="E967" s="27">
        <v>0</v>
      </c>
      <c r="F967" s="27">
        <v>232</v>
      </c>
      <c r="G967" s="27">
        <v>56</v>
      </c>
      <c r="H967" s="27">
        <v>176</v>
      </c>
      <c r="I967" s="27">
        <f>+IFERROR(VLOOKUP(A967,'[1]Pending Dispatch'!$N$2:$O$651,2,0),0)</f>
        <v>16</v>
      </c>
      <c r="J967" s="27">
        <f t="shared" si="15"/>
        <v>160</v>
      </c>
      <c r="K967" s="28">
        <v>1.2749999999999999</v>
      </c>
      <c r="L967" s="28">
        <v>0.21292499999999998</v>
      </c>
      <c r="M967" s="26">
        <v>120</v>
      </c>
      <c r="N967" s="26">
        <v>19200</v>
      </c>
    </row>
    <row r="968" spans="1:14" ht="15" customHeight="1" x14ac:dyDescent="0.3">
      <c r="A968" s="25" t="s">
        <v>1783</v>
      </c>
      <c r="B968" s="26" t="s">
        <v>1784</v>
      </c>
      <c r="C968" s="26" t="s">
        <v>1726</v>
      </c>
      <c r="D968" s="27">
        <v>120</v>
      </c>
      <c r="E968" s="27">
        <v>752</v>
      </c>
      <c r="F968" s="27">
        <v>0</v>
      </c>
      <c r="G968" s="27">
        <v>242</v>
      </c>
      <c r="H968" s="27">
        <v>510</v>
      </c>
      <c r="I968" s="27">
        <f>+IFERROR(VLOOKUP(A968,'[1]Pending Dispatch'!$N$2:$O$651,2,0),0)</f>
        <v>1440</v>
      </c>
      <c r="J968" s="27">
        <f t="shared" si="15"/>
        <v>-930</v>
      </c>
      <c r="K968" s="28">
        <v>0.1285</v>
      </c>
      <c r="L968" s="28">
        <v>0.36069950000000001</v>
      </c>
      <c r="M968" s="26">
        <v>62</v>
      </c>
      <c r="N968" s="26">
        <v>-57660</v>
      </c>
    </row>
    <row r="969" spans="1:14" ht="15" customHeight="1" x14ac:dyDescent="0.3">
      <c r="A969" s="25" t="s">
        <v>1785</v>
      </c>
      <c r="B969" s="26" t="s">
        <v>1786</v>
      </c>
      <c r="C969" s="26" t="s">
        <v>1726</v>
      </c>
      <c r="D969" s="27">
        <v>70</v>
      </c>
      <c r="E969" s="27">
        <v>2227</v>
      </c>
      <c r="F969" s="27">
        <v>0</v>
      </c>
      <c r="G969" s="27">
        <v>354</v>
      </c>
      <c r="H969" s="27">
        <v>1873</v>
      </c>
      <c r="I969" s="27">
        <f>+IFERROR(VLOOKUP(A969,'[1]Pending Dispatch'!$N$2:$O$651,2,0),0)</f>
        <v>1050</v>
      </c>
      <c r="J969" s="27">
        <f t="shared" si="15"/>
        <v>823</v>
      </c>
      <c r="K969" s="28">
        <v>0.19</v>
      </c>
      <c r="L969" s="28">
        <v>0.25023000000000001</v>
      </c>
      <c r="M969" s="26">
        <v>93.1</v>
      </c>
      <c r="N969" s="26">
        <v>76621.299999999988</v>
      </c>
    </row>
    <row r="970" spans="1:14" ht="15" customHeight="1" x14ac:dyDescent="0.3">
      <c r="A970" s="25" t="s">
        <v>1787</v>
      </c>
      <c r="B970" s="26" t="s">
        <v>1788</v>
      </c>
      <c r="C970" s="26" t="s">
        <v>1726</v>
      </c>
      <c r="D970" s="27">
        <v>45</v>
      </c>
      <c r="E970" s="27">
        <v>2707</v>
      </c>
      <c r="F970" s="27">
        <v>270</v>
      </c>
      <c r="G970" s="27">
        <v>1158</v>
      </c>
      <c r="H970" s="27">
        <v>1819</v>
      </c>
      <c r="I970" s="27">
        <f>+IFERROR(VLOOKUP(A970,'[1]Pending Dispatch'!$N$2:$O$651,2,0),0)</f>
        <v>585</v>
      </c>
      <c r="J970" s="27">
        <f t="shared" si="15"/>
        <v>1234</v>
      </c>
      <c r="K970" s="28">
        <v>0.28199999999999997</v>
      </c>
      <c r="L970" s="28">
        <v>0.31950599999999996</v>
      </c>
      <c r="M970" s="26">
        <v>130</v>
      </c>
      <c r="N970" s="26">
        <v>160420</v>
      </c>
    </row>
    <row r="971" spans="1:14" ht="15" customHeight="1" x14ac:dyDescent="0.3">
      <c r="A971" s="25" t="s">
        <v>1789</v>
      </c>
      <c r="B971" s="26" t="s">
        <v>1790</v>
      </c>
      <c r="C971" s="26" t="s">
        <v>1726</v>
      </c>
      <c r="D971" s="27">
        <v>25</v>
      </c>
      <c r="E971" s="27">
        <v>1037</v>
      </c>
      <c r="F971" s="27">
        <v>300</v>
      </c>
      <c r="G971" s="27">
        <v>1178</v>
      </c>
      <c r="H971" s="27">
        <v>159</v>
      </c>
      <c r="I971" s="27">
        <f>+IFERROR(VLOOKUP(A971,'[1]Pending Dispatch'!$N$2:$O$651,2,0),0)</f>
        <v>1000</v>
      </c>
      <c r="J971" s="27">
        <f t="shared" si="15"/>
        <v>-841</v>
      </c>
      <c r="K971" s="28">
        <v>0.46300000000000002</v>
      </c>
      <c r="L971" s="28">
        <v>0.58801000000000003</v>
      </c>
      <c r="M971" s="26">
        <v>130</v>
      </c>
      <c r="N971" s="26">
        <v>-109980</v>
      </c>
    </row>
    <row r="972" spans="1:14" ht="15" customHeight="1" x14ac:dyDescent="0.3">
      <c r="A972" s="25" t="s">
        <v>1791</v>
      </c>
      <c r="B972" s="26" t="s">
        <v>1792</v>
      </c>
      <c r="C972" s="26" t="s">
        <v>1726</v>
      </c>
      <c r="D972" s="27">
        <v>250</v>
      </c>
      <c r="E972" s="27">
        <v>6443</v>
      </c>
      <c r="F972" s="27">
        <v>0</v>
      </c>
      <c r="G972" s="27">
        <v>4112</v>
      </c>
      <c r="H972" s="27">
        <v>2331</v>
      </c>
      <c r="I972" s="27">
        <f>+IFERROR(VLOOKUP(A972,'[1]Pending Dispatch'!$N$2:$O$651,2,0),0)</f>
        <v>4750</v>
      </c>
      <c r="J972" s="27">
        <f t="shared" si="15"/>
        <v>-2419</v>
      </c>
      <c r="K972" s="28">
        <v>6.1499999999999999E-2</v>
      </c>
      <c r="L972" s="28">
        <v>0.14716950000000001</v>
      </c>
      <c r="M972" s="26">
        <v>0</v>
      </c>
      <c r="N972" s="26">
        <v>0</v>
      </c>
    </row>
    <row r="973" spans="1:14" ht="15" customHeight="1" x14ac:dyDescent="0.3">
      <c r="A973" s="25" t="s">
        <v>1793</v>
      </c>
      <c r="B973" s="26" t="s">
        <v>1794</v>
      </c>
      <c r="C973" s="26" t="s">
        <v>1726</v>
      </c>
      <c r="D973" s="27">
        <v>200</v>
      </c>
      <c r="E973" s="27">
        <v>3305</v>
      </c>
      <c r="F973" s="27">
        <v>6000</v>
      </c>
      <c r="G973" s="27">
        <v>3602</v>
      </c>
      <c r="H973" s="27">
        <v>5703</v>
      </c>
      <c r="I973" s="27">
        <f>+IFERROR(VLOOKUP(A973,'[1]Pending Dispatch'!$N$2:$O$651,2,0),0)</f>
        <v>4700</v>
      </c>
      <c r="J973" s="27">
        <f t="shared" si="15"/>
        <v>1003</v>
      </c>
      <c r="K973" s="28">
        <v>9.7500000000000003E-2</v>
      </c>
      <c r="L973" s="28">
        <v>0.43241250000000003</v>
      </c>
      <c r="M973" s="26">
        <v>0</v>
      </c>
      <c r="N973" s="26">
        <v>0</v>
      </c>
    </row>
    <row r="974" spans="1:14" ht="15" customHeight="1" x14ac:dyDescent="0.3">
      <c r="A974" s="25" t="s">
        <v>1795</v>
      </c>
      <c r="B974" s="26" t="s">
        <v>1796</v>
      </c>
      <c r="C974" s="26" t="s">
        <v>1726</v>
      </c>
      <c r="D974" s="27">
        <v>60</v>
      </c>
      <c r="E974" s="27">
        <v>1473</v>
      </c>
      <c r="F974" s="27">
        <v>0</v>
      </c>
      <c r="G974" s="27">
        <v>2</v>
      </c>
      <c r="H974" s="27">
        <v>1471</v>
      </c>
      <c r="I974" s="27">
        <f>+IFERROR(VLOOKUP(A974,'[1]Pending Dispatch'!$N$2:$O$651,2,0),0)</f>
        <v>540</v>
      </c>
      <c r="J974" s="27">
        <f t="shared" si="15"/>
        <v>931</v>
      </c>
      <c r="K974" s="28">
        <v>0.1527</v>
      </c>
      <c r="L974" s="28">
        <v>0.19591409999999998</v>
      </c>
      <c r="M974" s="26">
        <v>0</v>
      </c>
      <c r="N974" s="26">
        <v>0</v>
      </c>
    </row>
    <row r="975" spans="1:14" ht="15" customHeight="1" x14ac:dyDescent="0.3">
      <c r="A975" s="25" t="s">
        <v>1797</v>
      </c>
      <c r="B975" s="26" t="s">
        <v>1798</v>
      </c>
      <c r="C975" s="26" t="s">
        <v>1726</v>
      </c>
      <c r="D975" s="27">
        <v>70</v>
      </c>
      <c r="E975" s="27">
        <v>201</v>
      </c>
      <c r="F975" s="27">
        <v>0</v>
      </c>
      <c r="G975" s="27">
        <v>154</v>
      </c>
      <c r="H975" s="27">
        <v>47</v>
      </c>
      <c r="I975" s="27">
        <f>+IFERROR(VLOOKUP(A975,'[1]Pending Dispatch'!$N$2:$O$651,2,0),0)</f>
        <v>210</v>
      </c>
      <c r="J975" s="27">
        <f t="shared" si="15"/>
        <v>-163</v>
      </c>
      <c r="K975" s="28">
        <v>0.23280000000000001</v>
      </c>
      <c r="L975" s="28">
        <v>0.24700079999999999</v>
      </c>
      <c r="M975" s="26">
        <v>224</v>
      </c>
      <c r="N975" s="26">
        <v>-36512</v>
      </c>
    </row>
    <row r="976" spans="1:14" ht="15" customHeight="1" x14ac:dyDescent="0.3">
      <c r="A976" s="25" t="s">
        <v>1799</v>
      </c>
      <c r="B976" s="26" t="s">
        <v>1800</v>
      </c>
      <c r="C976" s="26" t="s">
        <v>1726</v>
      </c>
      <c r="D976" s="27">
        <v>40</v>
      </c>
      <c r="E976" s="27">
        <v>666</v>
      </c>
      <c r="F976" s="27">
        <v>0</v>
      </c>
      <c r="G976" s="27">
        <v>133</v>
      </c>
      <c r="H976" s="27">
        <v>533</v>
      </c>
      <c r="I976" s="27">
        <f>+IFERROR(VLOOKUP(A976,'[1]Pending Dispatch'!$N$2:$O$651,2,0),0)</f>
        <v>40</v>
      </c>
      <c r="J976" s="27">
        <f t="shared" si="15"/>
        <v>493</v>
      </c>
      <c r="K976" s="28">
        <v>0.34399999999999997</v>
      </c>
      <c r="L976" s="28">
        <v>0.28448800000000002</v>
      </c>
      <c r="M976" s="26">
        <v>0</v>
      </c>
      <c r="N976" s="26">
        <v>0</v>
      </c>
    </row>
    <row r="977" spans="1:14" ht="15" customHeight="1" x14ac:dyDescent="0.3">
      <c r="A977" s="25" t="s">
        <v>1801</v>
      </c>
      <c r="B977" s="26" t="s">
        <v>1802</v>
      </c>
      <c r="C977" s="26" t="s">
        <v>1726</v>
      </c>
      <c r="D977" s="27">
        <v>24</v>
      </c>
      <c r="E977" s="27">
        <v>358</v>
      </c>
      <c r="F977" s="27">
        <v>552</v>
      </c>
      <c r="G977" s="27">
        <v>601</v>
      </c>
      <c r="H977" s="27">
        <v>309</v>
      </c>
      <c r="I977" s="27">
        <f>+IFERROR(VLOOKUP(A977,'[1]Pending Dispatch'!$N$2:$O$651,2,0),0)</f>
        <v>744</v>
      </c>
      <c r="J977" s="27">
        <f t="shared" si="15"/>
        <v>-435</v>
      </c>
      <c r="K977" s="28">
        <v>0.53300000000000003</v>
      </c>
      <c r="L977" s="28">
        <v>0.39761799999999997</v>
      </c>
      <c r="M977" s="26">
        <v>0</v>
      </c>
      <c r="N977" s="26">
        <v>0</v>
      </c>
    </row>
    <row r="978" spans="1:14" ht="15" customHeight="1" x14ac:dyDescent="0.3">
      <c r="A978" s="25" t="s">
        <v>1803</v>
      </c>
      <c r="B978" s="26" t="s">
        <v>1804</v>
      </c>
      <c r="C978" s="26" t="s">
        <v>1726</v>
      </c>
      <c r="D978" s="27">
        <v>15</v>
      </c>
      <c r="E978" s="27">
        <v>182</v>
      </c>
      <c r="F978" s="27">
        <v>0</v>
      </c>
      <c r="G978" s="27">
        <v>0</v>
      </c>
      <c r="H978" s="27">
        <v>182</v>
      </c>
      <c r="I978" s="27">
        <f>+IFERROR(VLOOKUP(A978,'[1]Pending Dispatch'!$N$2:$O$651,2,0),0)</f>
        <v>0</v>
      </c>
      <c r="J978" s="27">
        <f t="shared" si="15"/>
        <v>182</v>
      </c>
      <c r="K978" s="28">
        <v>0.79700000000000004</v>
      </c>
      <c r="L978" s="28">
        <v>0.14505399999999999</v>
      </c>
      <c r="M978" s="26">
        <v>236</v>
      </c>
      <c r="N978" s="26">
        <v>42952</v>
      </c>
    </row>
    <row r="979" spans="1:14" ht="15" customHeight="1" x14ac:dyDescent="0.3">
      <c r="A979" s="25" t="s">
        <v>1805</v>
      </c>
      <c r="B979" s="26" t="s">
        <v>1806</v>
      </c>
      <c r="C979" s="26" t="s">
        <v>1726</v>
      </c>
      <c r="D979" s="27">
        <v>10</v>
      </c>
      <c r="E979" s="27">
        <v>186</v>
      </c>
      <c r="F979" s="27">
        <v>0</v>
      </c>
      <c r="G979" s="27">
        <v>100</v>
      </c>
      <c r="H979" s="27">
        <v>86</v>
      </c>
      <c r="I979" s="27">
        <f>+IFERROR(VLOOKUP(A979,'[1]Pending Dispatch'!$N$2:$O$651,2,0),0)</f>
        <v>60</v>
      </c>
      <c r="J979" s="27">
        <f t="shared" si="15"/>
        <v>26</v>
      </c>
      <c r="K979" s="28">
        <v>1.0509999999999999</v>
      </c>
      <c r="L979" s="28">
        <v>3.7836000000000002E-2</v>
      </c>
      <c r="M979" s="26">
        <v>236</v>
      </c>
      <c r="N979" s="26">
        <v>6136</v>
      </c>
    </row>
    <row r="980" spans="1:14" ht="15" customHeight="1" x14ac:dyDescent="0.3">
      <c r="A980" s="25" t="s">
        <v>1807</v>
      </c>
      <c r="B980" s="26" t="s">
        <v>1808</v>
      </c>
      <c r="C980" s="26" t="s">
        <v>1726</v>
      </c>
      <c r="D980" s="27">
        <v>8</v>
      </c>
      <c r="E980" s="27">
        <v>41</v>
      </c>
      <c r="F980" s="27">
        <v>336</v>
      </c>
      <c r="G980" s="27">
        <v>88</v>
      </c>
      <c r="H980" s="27">
        <v>289</v>
      </c>
      <c r="I980" s="27">
        <f>+IFERROR(VLOOKUP(A980,'[1]Pending Dispatch'!$N$2:$O$651,2,0),0)</f>
        <v>40</v>
      </c>
      <c r="J980" s="27">
        <f t="shared" si="15"/>
        <v>249</v>
      </c>
      <c r="K980" s="28">
        <v>1.5680000000000001</v>
      </c>
      <c r="L980" s="28">
        <v>0.16464000000000001</v>
      </c>
      <c r="M980" s="26">
        <v>0</v>
      </c>
      <c r="N980" s="26">
        <v>0</v>
      </c>
    </row>
    <row r="981" spans="1:14" ht="15" customHeight="1" x14ac:dyDescent="0.3">
      <c r="A981" s="25" t="s">
        <v>1809</v>
      </c>
      <c r="B981" s="26" t="s">
        <v>1810</v>
      </c>
      <c r="C981" s="26" t="s">
        <v>1726</v>
      </c>
      <c r="D981" s="27">
        <v>25</v>
      </c>
      <c r="E981" s="27">
        <v>300</v>
      </c>
      <c r="F981" s="27">
        <v>425</v>
      </c>
      <c r="G981" s="27">
        <v>300</v>
      </c>
      <c r="H981" s="27">
        <v>425</v>
      </c>
      <c r="I981" s="27">
        <f>+IFERROR(VLOOKUP(A981,'[1]Pending Dispatch'!$N$2:$O$651,2,0),0)</f>
        <v>25</v>
      </c>
      <c r="J981" s="27">
        <f t="shared" si="15"/>
        <v>400</v>
      </c>
      <c r="K981" s="28">
        <v>0.42199999999999999</v>
      </c>
      <c r="L981" s="28">
        <v>2.4475999999999998E-2</v>
      </c>
      <c r="M981" s="26">
        <v>207.1</v>
      </c>
      <c r="N981" s="26">
        <v>82840</v>
      </c>
    </row>
    <row r="982" spans="1:14" ht="15" customHeight="1" x14ac:dyDescent="0.3">
      <c r="A982" s="25" t="s">
        <v>1811</v>
      </c>
      <c r="B982" s="26" t="s">
        <v>1812</v>
      </c>
      <c r="C982" s="26" t="s">
        <v>1726</v>
      </c>
      <c r="D982" s="27">
        <v>200</v>
      </c>
      <c r="E982" s="27">
        <v>686</v>
      </c>
      <c r="F982" s="27">
        <v>0</v>
      </c>
      <c r="G982" s="27">
        <v>0</v>
      </c>
      <c r="H982" s="27">
        <v>686</v>
      </c>
      <c r="I982" s="27">
        <f>+IFERROR(VLOOKUP(A982,'[1]Pending Dispatch'!$N$2:$O$651,2,0),0)</f>
        <v>400</v>
      </c>
      <c r="J982" s="27">
        <f t="shared" si="15"/>
        <v>286</v>
      </c>
      <c r="K982" s="28">
        <v>5.3999999999999999E-2</v>
      </c>
      <c r="L982" s="28">
        <v>0.13694399999999998</v>
      </c>
      <c r="M982" s="26">
        <v>26.2</v>
      </c>
      <c r="N982" s="26">
        <v>7493.2</v>
      </c>
    </row>
    <row r="983" spans="1:14" ht="15" customHeight="1" x14ac:dyDescent="0.3">
      <c r="A983" s="25" t="s">
        <v>1813</v>
      </c>
      <c r="B983" s="26" t="s">
        <v>1814</v>
      </c>
      <c r="C983" s="26" t="s">
        <v>1726</v>
      </c>
      <c r="D983" s="27">
        <v>225</v>
      </c>
      <c r="E983" s="27">
        <v>649</v>
      </c>
      <c r="F983" s="27">
        <v>1350</v>
      </c>
      <c r="G983" s="27">
        <v>225</v>
      </c>
      <c r="H983" s="27">
        <v>1774</v>
      </c>
      <c r="I983" s="27">
        <f>+IFERROR(VLOOKUP(A983,'[1]Pending Dispatch'!$N$2:$O$651,2,0),0)</f>
        <v>1125</v>
      </c>
      <c r="J983" s="27">
        <f t="shared" si="15"/>
        <v>649</v>
      </c>
      <c r="K983" s="28">
        <v>7.8E-2</v>
      </c>
      <c r="L983" s="28">
        <v>1.6302000000000001E-2</v>
      </c>
      <c r="M983" s="26">
        <v>37.9</v>
      </c>
      <c r="N983" s="26">
        <v>24597.1</v>
      </c>
    </row>
    <row r="984" spans="1:14" ht="15" customHeight="1" x14ac:dyDescent="0.3">
      <c r="A984" s="25" t="s">
        <v>1815</v>
      </c>
      <c r="B984" s="26" t="s">
        <v>1816</v>
      </c>
      <c r="C984" s="26" t="s">
        <v>1726</v>
      </c>
      <c r="D984" s="27">
        <v>140</v>
      </c>
      <c r="E984" s="27">
        <v>555</v>
      </c>
      <c r="F984" s="27">
        <v>1540</v>
      </c>
      <c r="G984" s="27">
        <v>280</v>
      </c>
      <c r="H984" s="27">
        <v>1815</v>
      </c>
      <c r="I984" s="27">
        <f>+IFERROR(VLOOKUP(A984,'[1]Pending Dispatch'!$N$2:$O$651,2,0),0)</f>
        <v>700</v>
      </c>
      <c r="J984" s="27">
        <f t="shared" si="15"/>
        <v>1115</v>
      </c>
      <c r="K984" s="28">
        <v>0.1128</v>
      </c>
      <c r="L984" s="28">
        <v>0.173148</v>
      </c>
      <c r="M984" s="26">
        <v>296</v>
      </c>
      <c r="N984" s="26">
        <v>330040</v>
      </c>
    </row>
    <row r="985" spans="1:14" ht="15" customHeight="1" x14ac:dyDescent="0.3">
      <c r="A985" s="25" t="s">
        <v>1817</v>
      </c>
      <c r="B985" s="26" t="s">
        <v>1818</v>
      </c>
      <c r="C985" s="26" t="s">
        <v>1726</v>
      </c>
      <c r="D985" s="27">
        <v>75</v>
      </c>
      <c r="E985" s="27">
        <v>1471</v>
      </c>
      <c r="F985" s="27">
        <v>2700</v>
      </c>
      <c r="G985" s="27">
        <v>2700</v>
      </c>
      <c r="H985" s="27">
        <v>1471</v>
      </c>
      <c r="I985" s="27">
        <f>+IFERROR(VLOOKUP(A985,'[1]Pending Dispatch'!$N$2:$O$651,2,0),0)</f>
        <v>1350</v>
      </c>
      <c r="J985" s="27">
        <f t="shared" si="15"/>
        <v>121</v>
      </c>
      <c r="K985" s="28">
        <v>0.17399999999999999</v>
      </c>
      <c r="L985" s="28">
        <v>0.36104999999999998</v>
      </c>
      <c r="M985" s="26">
        <v>83.9</v>
      </c>
      <c r="N985" s="26">
        <v>22736.9</v>
      </c>
    </row>
    <row r="986" spans="1:14" ht="15" customHeight="1" x14ac:dyDescent="0.3">
      <c r="A986" s="25" t="s">
        <v>1819</v>
      </c>
      <c r="B986" s="26" t="s">
        <v>1820</v>
      </c>
      <c r="C986" s="26" t="s">
        <v>1726</v>
      </c>
      <c r="D986" s="27">
        <v>700</v>
      </c>
      <c r="E986" s="27">
        <v>2159</v>
      </c>
      <c r="F986" s="27">
        <v>0</v>
      </c>
      <c r="G986" s="27">
        <v>0</v>
      </c>
      <c r="H986" s="27">
        <v>2159</v>
      </c>
      <c r="I986" s="27">
        <f>+IFERROR(VLOOKUP(A986,'[1]Pending Dispatch'!$N$2:$O$651,2,0),0)</f>
        <v>200</v>
      </c>
      <c r="J986" s="27">
        <f t="shared" si="15"/>
        <v>1959</v>
      </c>
      <c r="K986" s="28">
        <v>2.46E-2</v>
      </c>
      <c r="L986" s="28">
        <v>2.8511400000000003E-2</v>
      </c>
      <c r="M986" s="26">
        <v>0</v>
      </c>
      <c r="N986" s="26">
        <v>0</v>
      </c>
    </row>
    <row r="987" spans="1:14" ht="15" customHeight="1" x14ac:dyDescent="0.3">
      <c r="A987" s="25" t="s">
        <v>1821</v>
      </c>
      <c r="B987" s="26" t="s">
        <v>1822</v>
      </c>
      <c r="C987" s="26" t="s">
        <v>1726</v>
      </c>
      <c r="D987" s="27">
        <v>400</v>
      </c>
      <c r="E987" s="27">
        <v>480</v>
      </c>
      <c r="F987" s="27">
        <v>0</v>
      </c>
      <c r="G987" s="27">
        <v>200</v>
      </c>
      <c r="H987" s="27">
        <v>280</v>
      </c>
      <c r="I987" s="27">
        <f>+IFERROR(VLOOKUP(A987,'[1]Pending Dispatch'!$N$2:$O$651,2,0),0)</f>
        <v>1650</v>
      </c>
      <c r="J987" s="27">
        <f t="shared" si="15"/>
        <v>-1370</v>
      </c>
      <c r="K987" s="28">
        <v>0.04</v>
      </c>
      <c r="L987" s="28">
        <v>8.7440000000000004E-2</v>
      </c>
      <c r="M987" s="26">
        <v>308</v>
      </c>
      <c r="N987" s="26">
        <v>-421960</v>
      </c>
    </row>
    <row r="988" spans="1:14" ht="15" customHeight="1" x14ac:dyDescent="0.3">
      <c r="A988" s="25" t="s">
        <v>1823</v>
      </c>
      <c r="B988" s="26" t="s">
        <v>1824</v>
      </c>
      <c r="C988" s="26" t="s">
        <v>1726</v>
      </c>
      <c r="D988" s="27">
        <v>200</v>
      </c>
      <c r="E988" s="27">
        <v>262</v>
      </c>
      <c r="F988" s="27">
        <v>0</v>
      </c>
      <c r="G988" s="27">
        <v>20</v>
      </c>
      <c r="H988" s="27">
        <v>242</v>
      </c>
      <c r="I988" s="27">
        <f>+IFERROR(VLOOKUP(A988,'[1]Pending Dispatch'!$N$2:$O$651,2,0),0)</f>
        <v>0</v>
      </c>
      <c r="J988" s="27">
        <f t="shared" si="15"/>
        <v>242</v>
      </c>
      <c r="K988" s="28">
        <v>6.409999999999999E-2</v>
      </c>
      <c r="L988" s="28">
        <v>2.9614199999999997E-2</v>
      </c>
      <c r="M988" s="26">
        <v>0</v>
      </c>
      <c r="N988" s="26">
        <v>0</v>
      </c>
    </row>
    <row r="989" spans="1:14" ht="15" customHeight="1" x14ac:dyDescent="0.3">
      <c r="A989" s="25" t="s">
        <v>1825</v>
      </c>
      <c r="B989" s="26" t="s">
        <v>1826</v>
      </c>
      <c r="C989" s="26" t="s">
        <v>1726</v>
      </c>
      <c r="D989" s="27">
        <v>200</v>
      </c>
      <c r="E989" s="27">
        <v>108</v>
      </c>
      <c r="F989" s="27">
        <v>2400</v>
      </c>
      <c r="G989" s="27">
        <v>410</v>
      </c>
      <c r="H989" s="27">
        <v>2098</v>
      </c>
      <c r="I989" s="27">
        <f>+IFERROR(VLOOKUP(A989,'[1]Pending Dispatch'!$N$2:$O$651,2,0),0)</f>
        <v>200</v>
      </c>
      <c r="J989" s="27">
        <f t="shared" si="15"/>
        <v>1898</v>
      </c>
      <c r="K989" s="28">
        <v>8.9700000000000002E-2</v>
      </c>
      <c r="L989" s="28">
        <v>0.1173276</v>
      </c>
      <c r="M989" s="26">
        <v>0</v>
      </c>
      <c r="N989" s="26">
        <v>0</v>
      </c>
    </row>
    <row r="990" spans="1:14" ht="15" customHeight="1" x14ac:dyDescent="0.3">
      <c r="A990" s="25" t="s">
        <v>1827</v>
      </c>
      <c r="B990" s="26" t="s">
        <v>1828</v>
      </c>
      <c r="C990" s="26" t="s">
        <v>1726</v>
      </c>
      <c r="D990" s="27">
        <v>120</v>
      </c>
      <c r="E990" s="27">
        <v>745</v>
      </c>
      <c r="F990" s="27">
        <v>0</v>
      </c>
      <c r="G990" s="27">
        <v>20</v>
      </c>
      <c r="H990" s="27">
        <v>725</v>
      </c>
      <c r="I990" s="27">
        <f>+IFERROR(VLOOKUP(A990,'[1]Pending Dispatch'!$N$2:$O$651,2,0),0)</f>
        <v>0</v>
      </c>
      <c r="J990" s="27">
        <f t="shared" si="15"/>
        <v>725</v>
      </c>
      <c r="K990" s="28">
        <v>0.13850000000000001</v>
      </c>
      <c r="L990" s="28">
        <v>0.16966250000000002</v>
      </c>
      <c r="M990" s="26">
        <v>0</v>
      </c>
      <c r="N990" s="26">
        <v>0</v>
      </c>
    </row>
    <row r="991" spans="1:14" ht="15" customHeight="1" x14ac:dyDescent="0.3">
      <c r="A991" s="25" t="s">
        <v>1829</v>
      </c>
      <c r="B991" s="26" t="s">
        <v>1830</v>
      </c>
      <c r="C991" s="26" t="s">
        <v>1726</v>
      </c>
      <c r="D991" s="27">
        <v>75</v>
      </c>
      <c r="E991" s="27">
        <v>41</v>
      </c>
      <c r="F991" s="27">
        <v>0</v>
      </c>
      <c r="G991" s="27">
        <v>0</v>
      </c>
      <c r="H991" s="27">
        <v>41</v>
      </c>
      <c r="I991" s="27">
        <f>+IFERROR(VLOOKUP(A991,'[1]Pending Dispatch'!$N$2:$O$651,2,0),0)</f>
        <v>450</v>
      </c>
      <c r="J991" s="27">
        <f t="shared" si="15"/>
        <v>-409</v>
      </c>
      <c r="K991" s="28">
        <v>0.218</v>
      </c>
      <c r="L991" s="28">
        <v>0.10703799999999999</v>
      </c>
      <c r="M991" s="26">
        <v>0</v>
      </c>
      <c r="N991" s="26">
        <v>0</v>
      </c>
    </row>
    <row r="992" spans="1:14" ht="15" customHeight="1" x14ac:dyDescent="0.3">
      <c r="A992" s="25" t="s">
        <v>1831</v>
      </c>
      <c r="B992" s="26" t="s">
        <v>1832</v>
      </c>
      <c r="C992" s="26" t="s">
        <v>1726</v>
      </c>
      <c r="D992" s="27">
        <v>60</v>
      </c>
      <c r="E992" s="27">
        <v>28</v>
      </c>
      <c r="F992" s="27">
        <v>0</v>
      </c>
      <c r="G992" s="27">
        <v>0</v>
      </c>
      <c r="H992" s="27">
        <v>28</v>
      </c>
      <c r="I992" s="27">
        <f>+IFERROR(VLOOKUP(A992,'[1]Pending Dispatch'!$N$2:$O$651,2,0),0)</f>
        <v>0</v>
      </c>
      <c r="J992" s="27">
        <f t="shared" si="15"/>
        <v>28</v>
      </c>
      <c r="K992" s="28">
        <v>0.27800000000000002</v>
      </c>
      <c r="L992" s="28">
        <v>2.4464000000000003E-2</v>
      </c>
      <c r="M992" s="26">
        <v>0</v>
      </c>
      <c r="N992" s="26">
        <v>0</v>
      </c>
    </row>
    <row r="993" spans="1:14" ht="15" customHeight="1" x14ac:dyDescent="0.3">
      <c r="A993" s="25" t="s">
        <v>1833</v>
      </c>
      <c r="B993" s="26" t="s">
        <v>1834</v>
      </c>
      <c r="C993" s="26" t="s">
        <v>1726</v>
      </c>
      <c r="D993" s="27">
        <v>40</v>
      </c>
      <c r="E993" s="27">
        <v>538</v>
      </c>
      <c r="F993" s="27">
        <v>0</v>
      </c>
      <c r="G993" s="27">
        <v>0</v>
      </c>
      <c r="H993" s="27">
        <v>538</v>
      </c>
      <c r="I993" s="27">
        <f>+IFERROR(VLOOKUP(A993,'[1]Pending Dispatch'!$N$2:$O$651,2,0),0)</f>
        <v>120</v>
      </c>
      <c r="J993" s="27">
        <f t="shared" si="15"/>
        <v>418</v>
      </c>
      <c r="K993" s="28">
        <v>0.38119999999999998</v>
      </c>
      <c r="L993" s="28">
        <v>6.861599999999999E-3</v>
      </c>
      <c r="M993" s="26">
        <v>438</v>
      </c>
      <c r="N993" s="26">
        <v>183084</v>
      </c>
    </row>
    <row r="994" spans="1:14" ht="15" customHeight="1" x14ac:dyDescent="0.3">
      <c r="A994" s="25" t="s">
        <v>1835</v>
      </c>
      <c r="B994" s="26" t="s">
        <v>1836</v>
      </c>
      <c r="C994" s="26" t="s">
        <v>1726</v>
      </c>
      <c r="D994" s="27">
        <v>25</v>
      </c>
      <c r="E994" s="27">
        <v>147</v>
      </c>
      <c r="F994" s="27">
        <v>0</v>
      </c>
      <c r="G994" s="27">
        <v>0</v>
      </c>
      <c r="H994" s="27">
        <v>147</v>
      </c>
      <c r="I994" s="27">
        <f>+IFERROR(VLOOKUP(A994,'[1]Pending Dispatch'!$N$2:$O$651,2,0),0)</f>
        <v>0</v>
      </c>
      <c r="J994" s="27">
        <f t="shared" si="15"/>
        <v>147</v>
      </c>
      <c r="K994" s="28">
        <v>0.54200000000000004</v>
      </c>
      <c r="L994" s="28">
        <v>0.10948400000000001</v>
      </c>
      <c r="M994" s="26">
        <v>0</v>
      </c>
      <c r="N994" s="26">
        <v>0</v>
      </c>
    </row>
    <row r="995" spans="1:14" ht="15" customHeight="1" x14ac:dyDescent="0.3">
      <c r="A995" s="25" t="s">
        <v>1837</v>
      </c>
      <c r="B995" s="26" t="s">
        <v>1838</v>
      </c>
      <c r="C995" s="26" t="s">
        <v>1726</v>
      </c>
      <c r="D995" s="27">
        <v>60</v>
      </c>
      <c r="E995" s="27">
        <v>905</v>
      </c>
      <c r="F995" s="27">
        <v>0</v>
      </c>
      <c r="G995" s="27">
        <v>0</v>
      </c>
      <c r="H995" s="27">
        <v>905</v>
      </c>
      <c r="I995" s="27">
        <f>+IFERROR(VLOOKUP(A995,'[1]Pending Dispatch'!$N$2:$O$651,2,0),0)</f>
        <v>0</v>
      </c>
      <c r="J995" s="27">
        <f t="shared" si="15"/>
        <v>905</v>
      </c>
      <c r="K995" s="28">
        <v>0.23350000000000001</v>
      </c>
      <c r="L995" s="28">
        <v>0.23933750000000001</v>
      </c>
      <c r="M995" s="26">
        <v>0</v>
      </c>
      <c r="N995" s="26">
        <v>0</v>
      </c>
    </row>
    <row r="996" spans="1:14" ht="15" customHeight="1" x14ac:dyDescent="0.3">
      <c r="A996" s="25" t="s">
        <v>1839</v>
      </c>
      <c r="B996" s="26" t="s">
        <v>1840</v>
      </c>
      <c r="C996" s="26" t="s">
        <v>1726</v>
      </c>
      <c r="D996" s="27">
        <v>50</v>
      </c>
      <c r="E996" s="27">
        <v>237</v>
      </c>
      <c r="F996" s="27">
        <v>0</v>
      </c>
      <c r="G996" s="27">
        <v>50</v>
      </c>
      <c r="H996" s="27">
        <v>187</v>
      </c>
      <c r="I996" s="27">
        <f>+IFERROR(VLOOKUP(A996,'[1]Pending Dispatch'!$N$2:$O$651,2,0),0)</f>
        <v>0</v>
      </c>
      <c r="J996" s="27">
        <f t="shared" si="15"/>
        <v>187</v>
      </c>
      <c r="K996" s="28">
        <v>0.27150000000000002</v>
      </c>
      <c r="L996" s="28">
        <v>0.13222050000000002</v>
      </c>
      <c r="M996" s="26">
        <v>454</v>
      </c>
      <c r="N996" s="26">
        <v>84898</v>
      </c>
    </row>
    <row r="997" spans="1:14" ht="15" customHeight="1" x14ac:dyDescent="0.3">
      <c r="A997" s="25" t="s">
        <v>1841</v>
      </c>
      <c r="B997" s="26" t="s">
        <v>1842</v>
      </c>
      <c r="C997" s="26" t="s">
        <v>1726</v>
      </c>
      <c r="D997" s="27">
        <v>36</v>
      </c>
      <c r="E997" s="27">
        <v>386</v>
      </c>
      <c r="F997" s="27">
        <v>0</v>
      </c>
      <c r="G997" s="27">
        <v>36</v>
      </c>
      <c r="H997" s="27">
        <v>350</v>
      </c>
      <c r="I997" s="27">
        <f>+IFERROR(VLOOKUP(A997,'[1]Pending Dispatch'!$N$2:$O$651,2,0),0)</f>
        <v>72</v>
      </c>
      <c r="J997" s="27">
        <f t="shared" si="15"/>
        <v>278</v>
      </c>
      <c r="K997" s="28">
        <v>0.36049999999999999</v>
      </c>
      <c r="L997" s="28">
        <v>0.16510899999999998</v>
      </c>
      <c r="M997" s="26">
        <v>0</v>
      </c>
      <c r="N997" s="26">
        <v>0</v>
      </c>
    </row>
    <row r="998" spans="1:14" ht="15" customHeight="1" x14ac:dyDescent="0.3">
      <c r="A998" s="25" t="s">
        <v>1843</v>
      </c>
      <c r="B998" s="26" t="s">
        <v>1844</v>
      </c>
      <c r="C998" s="26" t="s">
        <v>1726</v>
      </c>
      <c r="D998" s="27">
        <v>30</v>
      </c>
      <c r="E998" s="27">
        <v>404</v>
      </c>
      <c r="F998" s="27">
        <v>0</v>
      </c>
      <c r="G998" s="27">
        <v>30</v>
      </c>
      <c r="H998" s="27">
        <v>374</v>
      </c>
      <c r="I998" s="27">
        <f>+IFERROR(VLOOKUP(A998,'[1]Pending Dispatch'!$N$2:$O$651,2,0),0)</f>
        <v>150</v>
      </c>
      <c r="J998" s="27">
        <f t="shared" si="15"/>
        <v>224</v>
      </c>
      <c r="K998" s="28">
        <v>0.38939999999999997</v>
      </c>
      <c r="L998" s="28">
        <v>0.18068159999999997</v>
      </c>
      <c r="M998" s="26">
        <v>0</v>
      </c>
      <c r="N998" s="26">
        <v>0</v>
      </c>
    </row>
    <row r="999" spans="1:14" ht="15" customHeight="1" x14ac:dyDescent="0.3">
      <c r="A999" s="25" t="s">
        <v>1845</v>
      </c>
      <c r="B999" s="26" t="s">
        <v>1846</v>
      </c>
      <c r="C999" s="26" t="s">
        <v>1726</v>
      </c>
      <c r="D999" s="27">
        <v>26</v>
      </c>
      <c r="E999" s="27">
        <v>260</v>
      </c>
      <c r="F999" s="27">
        <v>0</v>
      </c>
      <c r="G999" s="27">
        <v>52</v>
      </c>
      <c r="H999" s="27">
        <v>208</v>
      </c>
      <c r="I999" s="27">
        <f>+IFERROR(VLOOKUP(A999,'[1]Pending Dispatch'!$N$2:$O$651,2,0),0)</f>
        <v>26</v>
      </c>
      <c r="J999" s="27">
        <f t="shared" si="15"/>
        <v>182</v>
      </c>
      <c r="K999" s="28">
        <v>0.50749999999999995</v>
      </c>
      <c r="L999" s="28">
        <v>0.25070500000000001</v>
      </c>
      <c r="M999" s="26">
        <v>0</v>
      </c>
      <c r="N999" s="26">
        <v>0</v>
      </c>
    </row>
    <row r="1000" spans="1:14" ht="15" customHeight="1" x14ac:dyDescent="0.3">
      <c r="A1000" s="33" t="s">
        <v>1847</v>
      </c>
      <c r="B1000" s="34" t="s">
        <v>1848</v>
      </c>
      <c r="C1000" s="34" t="s">
        <v>1726</v>
      </c>
      <c r="D1000" s="35">
        <v>24</v>
      </c>
      <c r="E1000" s="35">
        <v>40</v>
      </c>
      <c r="F1000" s="35">
        <v>384</v>
      </c>
      <c r="G1000" s="35">
        <v>50</v>
      </c>
      <c r="H1000" s="35">
        <v>374</v>
      </c>
      <c r="I1000" s="27">
        <f>+IFERROR(VLOOKUP(A1000,'[1]Pending Dispatch'!$N$2:$O$651,2,0),0)</f>
        <v>72</v>
      </c>
      <c r="J1000" s="27">
        <f t="shared" si="15"/>
        <v>302</v>
      </c>
      <c r="K1000" s="36">
        <v>0.55600000000000005</v>
      </c>
      <c r="L1000" s="36">
        <v>0.11564800000000001</v>
      </c>
      <c r="M1000" s="34">
        <v>0</v>
      </c>
      <c r="N1000" s="34">
        <v>0</v>
      </c>
    </row>
    <row r="1001" spans="1:14" ht="15" customHeight="1" x14ac:dyDescent="0.3">
      <c r="A1001" s="33" t="s">
        <v>1849</v>
      </c>
      <c r="B1001" s="34" t="s">
        <v>1850</v>
      </c>
      <c r="C1001" s="34" t="s">
        <v>1726</v>
      </c>
      <c r="D1001" s="35">
        <v>18</v>
      </c>
      <c r="E1001" s="35">
        <v>79</v>
      </c>
      <c r="F1001" s="35">
        <v>90</v>
      </c>
      <c r="G1001" s="35">
        <v>90</v>
      </c>
      <c r="H1001" s="35">
        <v>79</v>
      </c>
      <c r="I1001" s="27">
        <f>+IFERROR(VLOOKUP(A1001,'[1]Pending Dispatch'!$N$2:$O$651,2,0),0)</f>
        <v>270</v>
      </c>
      <c r="J1001" s="27">
        <f t="shared" si="15"/>
        <v>-191</v>
      </c>
      <c r="K1001" s="36">
        <v>0.61799999999999999</v>
      </c>
      <c r="L1001" s="36">
        <v>0.21568199999999998</v>
      </c>
      <c r="M1001" s="34">
        <v>0</v>
      </c>
      <c r="N1001" s="34">
        <v>0</v>
      </c>
    </row>
    <row r="1002" spans="1:14" ht="15" customHeight="1" x14ac:dyDescent="0.3">
      <c r="A1002" s="25" t="s">
        <v>1851</v>
      </c>
      <c r="B1002" s="26" t="s">
        <v>1852</v>
      </c>
      <c r="C1002" s="26" t="s">
        <v>1726</v>
      </c>
      <c r="D1002" s="27">
        <v>0</v>
      </c>
      <c r="E1002" s="27">
        <v>0</v>
      </c>
      <c r="F1002" s="27">
        <v>0</v>
      </c>
      <c r="G1002" s="27">
        <v>0</v>
      </c>
      <c r="H1002" s="27">
        <v>0</v>
      </c>
      <c r="I1002" s="27">
        <f>+IFERROR(VLOOKUP(A1002,'[1]Pending Dispatch'!$N$2:$O$651,2,0),0)</f>
        <v>0</v>
      </c>
      <c r="J1002" s="27">
        <f t="shared" si="15"/>
        <v>0</v>
      </c>
      <c r="K1002" s="28">
        <v>0</v>
      </c>
      <c r="L1002" s="28">
        <v>0</v>
      </c>
      <c r="M1002" s="26">
        <v>0</v>
      </c>
      <c r="N1002" s="26">
        <v>0</v>
      </c>
    </row>
    <row r="1003" spans="1:14" ht="15" customHeight="1" x14ac:dyDescent="0.3">
      <c r="A1003" s="25" t="s">
        <v>1853</v>
      </c>
      <c r="B1003" s="26" t="s">
        <v>1854</v>
      </c>
      <c r="C1003" s="26" t="s">
        <v>1726</v>
      </c>
      <c r="D1003" s="27">
        <v>10</v>
      </c>
      <c r="E1003" s="27">
        <v>26</v>
      </c>
      <c r="F1003" s="27">
        <v>0</v>
      </c>
      <c r="G1003" s="27">
        <v>0</v>
      </c>
      <c r="H1003" s="27">
        <v>26</v>
      </c>
      <c r="I1003" s="27">
        <f>+IFERROR(VLOOKUP(A1003,'[1]Pending Dispatch'!$N$2:$O$651,2,0),0)</f>
        <v>58</v>
      </c>
      <c r="J1003" s="27">
        <f t="shared" si="15"/>
        <v>-32</v>
      </c>
      <c r="K1003" s="28">
        <v>0.97199999999999998</v>
      </c>
      <c r="L1003" s="28">
        <v>2.5271999999999999E-2</v>
      </c>
      <c r="M1003" s="26">
        <v>668</v>
      </c>
      <c r="N1003" s="26">
        <v>-21376</v>
      </c>
    </row>
    <row r="1004" spans="1:14" ht="15" customHeight="1" x14ac:dyDescent="0.3">
      <c r="A1004" s="25" t="s">
        <v>1855</v>
      </c>
      <c r="B1004" s="26" t="s">
        <v>1856</v>
      </c>
      <c r="C1004" s="26" t="s">
        <v>1726</v>
      </c>
      <c r="D1004" s="27">
        <v>6</v>
      </c>
      <c r="E1004" s="27">
        <v>85</v>
      </c>
      <c r="F1004" s="27">
        <v>0</v>
      </c>
      <c r="G1004" s="27">
        <v>0</v>
      </c>
      <c r="H1004" s="27">
        <v>85</v>
      </c>
      <c r="I1004" s="27">
        <f>+IFERROR(VLOOKUP(A1004,'[1]Pending Dispatch'!$N$2:$O$651,2,0),0)</f>
        <v>54</v>
      </c>
      <c r="J1004" s="27">
        <f t="shared" si="15"/>
        <v>31</v>
      </c>
      <c r="K1004" s="28">
        <v>1.2050000000000001</v>
      </c>
      <c r="L1004" s="28">
        <v>0.109655</v>
      </c>
      <c r="M1004" s="26">
        <v>0</v>
      </c>
      <c r="N1004" s="26">
        <v>0</v>
      </c>
    </row>
    <row r="1005" spans="1:14" ht="15" customHeight="1" x14ac:dyDescent="0.3">
      <c r="A1005" s="25" t="s">
        <v>1857</v>
      </c>
      <c r="B1005" s="26" t="s">
        <v>1858</v>
      </c>
      <c r="C1005" s="26" t="s">
        <v>1726</v>
      </c>
      <c r="D1005" s="27">
        <v>6</v>
      </c>
      <c r="E1005" s="27">
        <v>78</v>
      </c>
      <c r="F1005" s="27">
        <v>0</v>
      </c>
      <c r="G1005" s="27">
        <v>0</v>
      </c>
      <c r="H1005" s="27">
        <v>78</v>
      </c>
      <c r="I1005" s="27">
        <f>+IFERROR(VLOOKUP(A1005,'[1]Pending Dispatch'!$N$2:$O$651,2,0),0)</f>
        <v>54</v>
      </c>
      <c r="J1005" s="27">
        <f t="shared" si="15"/>
        <v>24</v>
      </c>
      <c r="K1005" s="28">
        <v>1.282</v>
      </c>
      <c r="L1005" s="28">
        <v>0.11538</v>
      </c>
      <c r="M1005" s="26">
        <v>0</v>
      </c>
      <c r="N1005" s="26">
        <v>0</v>
      </c>
    </row>
    <row r="1006" spans="1:14" ht="15" customHeight="1" x14ac:dyDescent="0.3">
      <c r="A1006" s="25" t="s">
        <v>1859</v>
      </c>
      <c r="B1006" s="26" t="s">
        <v>1860</v>
      </c>
      <c r="C1006" s="26" t="s">
        <v>1726</v>
      </c>
      <c r="D1006" s="27">
        <v>6</v>
      </c>
      <c r="E1006" s="27">
        <v>0</v>
      </c>
      <c r="F1006" s="27">
        <v>150</v>
      </c>
      <c r="G1006" s="27">
        <v>60</v>
      </c>
      <c r="H1006" s="27">
        <v>90</v>
      </c>
      <c r="I1006" s="27">
        <f>+IFERROR(VLOOKUP(A1006,'[1]Pending Dispatch'!$N$2:$O$651,2,0),0)</f>
        <v>42</v>
      </c>
      <c r="J1006" s="27">
        <f t="shared" si="15"/>
        <v>48</v>
      </c>
      <c r="K1006" s="28">
        <v>1.3959999999999999</v>
      </c>
      <c r="L1006" s="28">
        <v>0.27640799999999993</v>
      </c>
      <c r="M1006" s="26">
        <v>684</v>
      </c>
      <c r="N1006" s="26">
        <v>32832</v>
      </c>
    </row>
    <row r="1007" spans="1:14" ht="15" customHeight="1" x14ac:dyDescent="0.3">
      <c r="A1007" s="25" t="s">
        <v>1861</v>
      </c>
      <c r="B1007" s="26" t="s">
        <v>1862</v>
      </c>
      <c r="C1007" s="26" t="s">
        <v>1726</v>
      </c>
      <c r="D1007" s="27">
        <v>150</v>
      </c>
      <c r="E1007" s="27">
        <v>205</v>
      </c>
      <c r="F1007" s="27">
        <v>70</v>
      </c>
      <c r="G1007" s="27">
        <v>275</v>
      </c>
      <c r="H1007" s="27">
        <v>0</v>
      </c>
      <c r="I1007" s="27">
        <f>+IFERROR(VLOOKUP(A1007,'[1]Pending Dispatch'!$N$2:$O$651,2,0),0)</f>
        <v>325</v>
      </c>
      <c r="J1007" s="27">
        <f t="shared" si="15"/>
        <v>-325</v>
      </c>
      <c r="K1007" s="28">
        <v>1.0049999999999999</v>
      </c>
      <c r="L1007" s="28">
        <v>0.36682500000000001</v>
      </c>
      <c r="M1007" s="26">
        <v>0</v>
      </c>
      <c r="N1007" s="26">
        <v>0</v>
      </c>
    </row>
    <row r="1008" spans="1:14" ht="15" customHeight="1" x14ac:dyDescent="0.3">
      <c r="A1008" s="25" t="s">
        <v>1863</v>
      </c>
      <c r="B1008" s="26" t="s">
        <v>1864</v>
      </c>
      <c r="C1008" s="26" t="s">
        <v>1726</v>
      </c>
      <c r="D1008" s="27">
        <v>150</v>
      </c>
      <c r="E1008" s="27">
        <v>1274</v>
      </c>
      <c r="F1008" s="27">
        <v>0</v>
      </c>
      <c r="G1008" s="27">
        <v>150</v>
      </c>
      <c r="H1008" s="27">
        <v>1124</v>
      </c>
      <c r="I1008" s="27">
        <f>+IFERROR(VLOOKUP(A1008,'[1]Pending Dispatch'!$N$2:$O$651,2,0),0)</f>
        <v>300</v>
      </c>
      <c r="J1008" s="27">
        <f t="shared" si="15"/>
        <v>824</v>
      </c>
      <c r="K1008" s="28">
        <v>0.11170000000000001</v>
      </c>
      <c r="L1008" s="28">
        <v>0.24395280000000003</v>
      </c>
      <c r="M1008" s="26">
        <v>0</v>
      </c>
      <c r="N1008" s="26">
        <v>0</v>
      </c>
    </row>
    <row r="1009" spans="1:15" ht="15" customHeight="1" x14ac:dyDescent="0.3">
      <c r="A1009" s="25" t="s">
        <v>1865</v>
      </c>
      <c r="B1009" s="26" t="s">
        <v>1866</v>
      </c>
      <c r="C1009" s="26" t="s">
        <v>1726</v>
      </c>
      <c r="D1009" s="27">
        <v>100</v>
      </c>
      <c r="E1009" s="27">
        <v>1078</v>
      </c>
      <c r="F1009" s="27">
        <v>0</v>
      </c>
      <c r="G1009" s="27">
        <v>0</v>
      </c>
      <c r="H1009" s="27">
        <v>1078</v>
      </c>
      <c r="I1009" s="27">
        <f>+IFERROR(VLOOKUP(A1009,'[1]Pending Dispatch'!$N$2:$O$651,2,0),0)</f>
        <v>0</v>
      </c>
      <c r="J1009" s="27">
        <f t="shared" si="15"/>
        <v>1078</v>
      </c>
      <c r="K1009" s="28">
        <v>0.14399999999999999</v>
      </c>
      <c r="L1009" s="28">
        <v>0.17107199999999997</v>
      </c>
      <c r="M1009" s="26">
        <v>0</v>
      </c>
      <c r="N1009" s="26">
        <v>0</v>
      </c>
    </row>
    <row r="1010" spans="1:15" ht="15" customHeight="1" x14ac:dyDescent="0.3">
      <c r="A1010" s="25" t="s">
        <v>1867</v>
      </c>
      <c r="B1010" s="26" t="s">
        <v>1868</v>
      </c>
      <c r="C1010" s="26" t="s">
        <v>1726</v>
      </c>
      <c r="D1010" s="27">
        <v>100</v>
      </c>
      <c r="E1010" s="27">
        <v>1003</v>
      </c>
      <c r="F1010" s="27">
        <v>0</v>
      </c>
      <c r="G1010" s="27">
        <v>200</v>
      </c>
      <c r="H1010" s="27">
        <v>803</v>
      </c>
      <c r="I1010" s="27">
        <f>+IFERROR(VLOOKUP(A1010,'[1]Pending Dispatch'!$N$2:$O$651,2,0),0)</f>
        <v>100</v>
      </c>
      <c r="J1010" s="27">
        <f t="shared" si="15"/>
        <v>703</v>
      </c>
      <c r="K1010" s="28">
        <v>0.15</v>
      </c>
      <c r="L1010" s="28">
        <v>3.3449999999999994E-2</v>
      </c>
      <c r="M1010" s="26">
        <v>0</v>
      </c>
      <c r="N1010" s="26">
        <v>0</v>
      </c>
    </row>
    <row r="1011" spans="1:15" ht="15" customHeight="1" x14ac:dyDescent="0.3">
      <c r="A1011" s="33" t="s">
        <v>1869</v>
      </c>
      <c r="B1011" s="34" t="s">
        <v>1870</v>
      </c>
      <c r="C1011" s="34" t="s">
        <v>1726</v>
      </c>
      <c r="D1011" s="35">
        <v>100</v>
      </c>
      <c r="E1011" s="35">
        <v>177</v>
      </c>
      <c r="F1011" s="35">
        <v>0</v>
      </c>
      <c r="G1011" s="35">
        <v>100</v>
      </c>
      <c r="H1011" s="35">
        <v>77</v>
      </c>
      <c r="I1011" s="27">
        <f>+IFERROR(VLOOKUP(A1011,'[1]Pending Dispatch'!$N$2:$O$651,2,0),0)</f>
        <v>1200</v>
      </c>
      <c r="J1011" s="27">
        <f t="shared" si="15"/>
        <v>-1123</v>
      </c>
      <c r="K1011" s="36">
        <v>0.16650000000000001</v>
      </c>
      <c r="L1011" s="36">
        <v>0.1327005</v>
      </c>
      <c r="M1011" s="34">
        <v>0</v>
      </c>
      <c r="N1011" s="34">
        <v>0</v>
      </c>
    </row>
    <row r="1012" spans="1:15" ht="15" customHeight="1" x14ac:dyDescent="0.3">
      <c r="A1012" s="33" t="s">
        <v>1871</v>
      </c>
      <c r="B1012" s="34" t="s">
        <v>1872</v>
      </c>
      <c r="C1012" s="34" t="s">
        <v>1726</v>
      </c>
      <c r="D1012" s="35">
        <v>75</v>
      </c>
      <c r="E1012" s="35">
        <v>15</v>
      </c>
      <c r="F1012" s="35">
        <v>750</v>
      </c>
      <c r="G1012" s="35">
        <v>75</v>
      </c>
      <c r="H1012" s="35">
        <v>690</v>
      </c>
      <c r="I1012" s="27">
        <f>+IFERROR(VLOOKUP(A1012,'[1]Pending Dispatch'!$N$2:$O$651,2,0),0)</f>
        <v>300</v>
      </c>
      <c r="J1012" s="27">
        <f t="shared" si="15"/>
        <v>390</v>
      </c>
      <c r="K1012" s="36">
        <v>0.22750000000000001</v>
      </c>
      <c r="L1012" s="36">
        <v>0.17403749999999998</v>
      </c>
      <c r="M1012" s="34">
        <v>0</v>
      </c>
      <c r="N1012" s="34">
        <v>0</v>
      </c>
    </row>
    <row r="1013" spans="1:15" ht="15" customHeight="1" x14ac:dyDescent="0.3">
      <c r="A1013" s="25" t="s">
        <v>1873</v>
      </c>
      <c r="B1013" s="26" t="s">
        <v>1874</v>
      </c>
      <c r="C1013" s="26" t="s">
        <v>1726</v>
      </c>
      <c r="D1013" s="27">
        <v>75</v>
      </c>
      <c r="E1013" s="27">
        <v>233</v>
      </c>
      <c r="F1013" s="27">
        <v>0</v>
      </c>
      <c r="G1013" s="27">
        <v>150</v>
      </c>
      <c r="H1013" s="27">
        <v>83</v>
      </c>
      <c r="I1013" s="27">
        <f>+IFERROR(VLOOKUP(A1013,'[1]Pending Dispatch'!$N$2:$O$651,2,0),0)</f>
        <v>75</v>
      </c>
      <c r="J1013" s="27">
        <f t="shared" si="15"/>
        <v>8</v>
      </c>
      <c r="K1013" s="28">
        <v>0.24099999999999999</v>
      </c>
      <c r="L1013" s="28">
        <v>9.7122999999999987E-2</v>
      </c>
      <c r="M1013" s="26">
        <v>0</v>
      </c>
      <c r="N1013" s="26">
        <v>0</v>
      </c>
      <c r="O1013" s="2">
        <v>19</v>
      </c>
    </row>
    <row r="1014" spans="1:15" ht="15" customHeight="1" x14ac:dyDescent="0.3">
      <c r="A1014" s="25" t="s">
        <v>1875</v>
      </c>
      <c r="B1014" s="26" t="s">
        <v>1876</v>
      </c>
      <c r="C1014" s="26" t="s">
        <v>1726</v>
      </c>
      <c r="D1014" s="27">
        <v>75</v>
      </c>
      <c r="E1014" s="27">
        <v>446</v>
      </c>
      <c r="F1014" s="27">
        <v>0</v>
      </c>
      <c r="G1014" s="27">
        <v>255</v>
      </c>
      <c r="H1014" s="27">
        <v>191</v>
      </c>
      <c r="I1014" s="27">
        <f>+IFERROR(VLOOKUP(A1014,'[1]Pending Dispatch'!$N$2:$O$651,2,0),0)</f>
        <v>225</v>
      </c>
      <c r="J1014" s="27">
        <f t="shared" si="15"/>
        <v>-34</v>
      </c>
      <c r="K1014" s="28">
        <v>0.25680000000000003</v>
      </c>
      <c r="L1014" s="28">
        <v>0.1363608</v>
      </c>
      <c r="M1014" s="26">
        <v>0</v>
      </c>
      <c r="N1014" s="26">
        <v>0</v>
      </c>
    </row>
    <row r="1015" spans="1:15" ht="15" customHeight="1" x14ac:dyDescent="0.3">
      <c r="A1015" s="25" t="s">
        <v>1877</v>
      </c>
      <c r="B1015" s="26" t="s">
        <v>1878</v>
      </c>
      <c r="C1015" s="26" t="s">
        <v>1726</v>
      </c>
      <c r="D1015" s="27">
        <v>40</v>
      </c>
      <c r="E1015" s="27">
        <v>371</v>
      </c>
      <c r="F1015" s="27">
        <v>0</v>
      </c>
      <c r="G1015" s="27">
        <v>0</v>
      </c>
      <c r="H1015" s="27">
        <v>371</v>
      </c>
      <c r="I1015" s="27">
        <f>+IFERROR(VLOOKUP(A1015,'[1]Pending Dispatch'!$N$2:$O$651,2,0),0)</f>
        <v>0</v>
      </c>
      <c r="J1015" s="27">
        <f t="shared" si="15"/>
        <v>371</v>
      </c>
      <c r="K1015" s="28">
        <v>0.42699999999999999</v>
      </c>
      <c r="L1015" s="28">
        <v>0.17549699999999999</v>
      </c>
      <c r="M1015" s="26">
        <v>0</v>
      </c>
      <c r="N1015" s="26">
        <v>0</v>
      </c>
    </row>
    <row r="1016" spans="1:15" ht="15" customHeight="1" x14ac:dyDescent="0.3">
      <c r="A1016" s="25" t="s">
        <v>1879</v>
      </c>
      <c r="B1016" s="26" t="s">
        <v>1880</v>
      </c>
      <c r="C1016" s="26" t="s">
        <v>1726</v>
      </c>
      <c r="D1016" s="27">
        <v>21</v>
      </c>
      <c r="E1016" s="27">
        <v>107</v>
      </c>
      <c r="F1016" s="27">
        <v>0</v>
      </c>
      <c r="G1016" s="27">
        <v>92</v>
      </c>
      <c r="H1016" s="27">
        <v>15</v>
      </c>
      <c r="I1016" s="27">
        <f>+IFERROR(VLOOKUP(A1016,'[1]Pending Dispatch'!$N$2:$O$651,2,0),0)</f>
        <v>21</v>
      </c>
      <c r="J1016" s="27">
        <f t="shared" si="15"/>
        <v>-6</v>
      </c>
      <c r="K1016" s="28">
        <v>0.625</v>
      </c>
      <c r="L1016" s="28">
        <v>0.109375</v>
      </c>
      <c r="M1016" s="26">
        <v>0</v>
      </c>
      <c r="N1016" s="26">
        <v>0</v>
      </c>
    </row>
    <row r="1017" spans="1:15" ht="15" customHeight="1" x14ac:dyDescent="0.3">
      <c r="A1017" s="25" t="s">
        <v>1881</v>
      </c>
      <c r="B1017" s="26" t="s">
        <v>1882</v>
      </c>
      <c r="C1017" s="26" t="s">
        <v>1726</v>
      </c>
      <c r="D1017" s="27">
        <v>4</v>
      </c>
      <c r="E1017" s="27">
        <v>18</v>
      </c>
      <c r="F1017" s="27">
        <v>0</v>
      </c>
      <c r="G1017" s="27">
        <v>0</v>
      </c>
      <c r="H1017" s="27">
        <v>18</v>
      </c>
      <c r="I1017" s="27">
        <f>+IFERROR(VLOOKUP(A1017,'[1]Pending Dispatch'!$N$2:$O$651,2,0),0)</f>
        <v>0</v>
      </c>
      <c r="J1017" s="27">
        <f t="shared" si="15"/>
        <v>18</v>
      </c>
      <c r="K1017" s="28">
        <v>1.0249999999999999</v>
      </c>
      <c r="L1017" s="28">
        <v>1.8449999999999998E-2</v>
      </c>
      <c r="M1017" s="26">
        <v>492.8</v>
      </c>
      <c r="N1017" s="26">
        <v>8870.4</v>
      </c>
    </row>
    <row r="1018" spans="1:15" ht="15" customHeight="1" x14ac:dyDescent="0.3">
      <c r="A1018" s="25" t="s">
        <v>1883</v>
      </c>
      <c r="B1018" s="26" t="s">
        <v>1884</v>
      </c>
      <c r="C1018" s="26" t="s">
        <v>1726</v>
      </c>
      <c r="D1018" s="27">
        <v>2</v>
      </c>
      <c r="E1018" s="27">
        <v>17</v>
      </c>
      <c r="F1018" s="27">
        <v>0</v>
      </c>
      <c r="G1018" s="27">
        <v>0</v>
      </c>
      <c r="H1018" s="27">
        <v>17</v>
      </c>
      <c r="I1018" s="27">
        <f>+IFERROR(VLOOKUP(A1018,'[1]Pending Dispatch'!$N$2:$O$651,2,0),0)</f>
        <v>0</v>
      </c>
      <c r="J1018" s="27">
        <f t="shared" si="15"/>
        <v>17</v>
      </c>
      <c r="K1018" s="28">
        <v>2.64</v>
      </c>
      <c r="L1018" s="28">
        <v>7.1279999999999996E-2</v>
      </c>
      <c r="M1018" s="26">
        <v>1276</v>
      </c>
      <c r="N1018" s="26">
        <v>21692</v>
      </c>
    </row>
    <row r="1019" spans="1:15" ht="15" customHeight="1" x14ac:dyDescent="0.3">
      <c r="A1019" s="25" t="s">
        <v>1885</v>
      </c>
      <c r="B1019" s="26" t="s">
        <v>1886</v>
      </c>
      <c r="C1019" s="26" t="s">
        <v>1726</v>
      </c>
      <c r="D1019" s="27">
        <v>4</v>
      </c>
      <c r="E1019" s="27">
        <v>6</v>
      </c>
      <c r="F1019" s="27">
        <v>0</v>
      </c>
      <c r="G1019" s="27">
        <v>4</v>
      </c>
      <c r="H1019" s="27">
        <v>2</v>
      </c>
      <c r="I1019" s="27">
        <f>+IFERROR(VLOOKUP(A1019,'[1]Pending Dispatch'!$N$2:$O$651,2,0),0)</f>
        <v>0</v>
      </c>
      <c r="J1019" s="27">
        <f t="shared" si="15"/>
        <v>2</v>
      </c>
      <c r="K1019" s="28">
        <v>1.831</v>
      </c>
      <c r="L1019" s="28">
        <v>3.1126999999999998E-2</v>
      </c>
      <c r="M1019" s="26">
        <v>898</v>
      </c>
      <c r="N1019" s="26">
        <v>1796</v>
      </c>
    </row>
    <row r="1020" spans="1:15" ht="15" customHeight="1" x14ac:dyDescent="0.3">
      <c r="A1020" s="25" t="s">
        <v>1887</v>
      </c>
      <c r="B1020" s="26" t="s">
        <v>1888</v>
      </c>
      <c r="C1020" s="26" t="s">
        <v>1726</v>
      </c>
      <c r="D1020" s="27">
        <v>8</v>
      </c>
      <c r="E1020" s="27">
        <v>137</v>
      </c>
      <c r="F1020" s="27">
        <v>0</v>
      </c>
      <c r="G1020" s="27">
        <v>8</v>
      </c>
      <c r="H1020" s="27">
        <v>129</v>
      </c>
      <c r="I1020" s="27">
        <f>+IFERROR(VLOOKUP(A1020,'[1]Pending Dispatch'!$N$2:$O$651,2,0),0)</f>
        <v>0</v>
      </c>
      <c r="J1020" s="27">
        <f t="shared" si="15"/>
        <v>129</v>
      </c>
      <c r="K1020" s="28">
        <v>0.84299999999999997</v>
      </c>
      <c r="L1020" s="28">
        <v>0.16269899999999998</v>
      </c>
      <c r="M1020" s="26">
        <v>414</v>
      </c>
      <c r="N1020" s="26">
        <v>53406</v>
      </c>
    </row>
    <row r="1021" spans="1:15" ht="15" customHeight="1" x14ac:dyDescent="0.3">
      <c r="A1021" s="25" t="s">
        <v>1889</v>
      </c>
      <c r="B1021" s="26" t="s">
        <v>1890</v>
      </c>
      <c r="C1021" s="26" t="s">
        <v>1891</v>
      </c>
      <c r="D1021" s="27">
        <v>96</v>
      </c>
      <c r="E1021" s="27">
        <v>27</v>
      </c>
      <c r="F1021" s="27">
        <v>1005</v>
      </c>
      <c r="G1021" s="27">
        <v>360</v>
      </c>
      <c r="H1021" s="27">
        <v>672</v>
      </c>
      <c r="I1021" s="27">
        <f>+IFERROR(VLOOKUP(A1021,'[1]Pending Dispatch'!$N$2:$O$651,2,0),0)</f>
        <v>720</v>
      </c>
      <c r="J1021" s="27">
        <f t="shared" si="15"/>
        <v>-48</v>
      </c>
      <c r="K1021" s="28">
        <v>20</v>
      </c>
      <c r="L1021" s="28">
        <v>15.42</v>
      </c>
      <c r="M1021" s="26">
        <v>198</v>
      </c>
      <c r="N1021" s="26">
        <v>38016</v>
      </c>
    </row>
    <row r="1022" spans="1:15" ht="15" customHeight="1" x14ac:dyDescent="0.3">
      <c r="A1022" s="25" t="s">
        <v>1892</v>
      </c>
      <c r="B1022" s="26" t="s">
        <v>1893</v>
      </c>
      <c r="C1022" s="26" t="s">
        <v>1891</v>
      </c>
      <c r="D1022" s="27">
        <v>48</v>
      </c>
      <c r="E1022" s="27">
        <v>1402</v>
      </c>
      <c r="F1022" s="27">
        <v>0</v>
      </c>
      <c r="G1022" s="27">
        <v>360</v>
      </c>
      <c r="H1022" s="27">
        <v>1042</v>
      </c>
      <c r="I1022" s="27">
        <f>+IFERROR(VLOOKUP(A1022,'[1]Pending Dispatch'!$N$2:$O$651,2,0),0)</f>
        <v>156</v>
      </c>
      <c r="J1022" s="27">
        <f t="shared" si="15"/>
        <v>886</v>
      </c>
      <c r="K1022" s="28">
        <v>20</v>
      </c>
      <c r="L1022" s="28">
        <v>23.58</v>
      </c>
      <c r="M1022" s="26">
        <v>0</v>
      </c>
      <c r="N1022" s="26">
        <v>0</v>
      </c>
    </row>
    <row r="1023" spans="1:15" ht="15" customHeight="1" x14ac:dyDescent="0.3">
      <c r="A1023" s="25" t="s">
        <v>1894</v>
      </c>
      <c r="B1023" s="26" t="s">
        <v>1895</v>
      </c>
      <c r="C1023" s="26" t="s">
        <v>1891</v>
      </c>
      <c r="D1023" s="27">
        <v>24</v>
      </c>
      <c r="E1023" s="27">
        <v>475</v>
      </c>
      <c r="F1023" s="27">
        <v>0</v>
      </c>
      <c r="G1023" s="27">
        <v>140</v>
      </c>
      <c r="H1023" s="27">
        <v>335</v>
      </c>
      <c r="I1023" s="27">
        <f>+IFERROR(VLOOKUP(A1023,'[1]Pending Dispatch'!$N$2:$O$651,2,0),0)</f>
        <v>48</v>
      </c>
      <c r="J1023" s="27">
        <f t="shared" si="15"/>
        <v>287</v>
      </c>
      <c r="K1023" s="28">
        <v>20</v>
      </c>
      <c r="L1023" s="28">
        <v>0.32</v>
      </c>
      <c r="M1023" s="26">
        <v>588</v>
      </c>
      <c r="N1023" s="26">
        <v>161700</v>
      </c>
    </row>
    <row r="1024" spans="1:15" ht="15" customHeight="1" x14ac:dyDescent="0.3">
      <c r="A1024" s="25" t="s">
        <v>1896</v>
      </c>
      <c r="B1024" s="26" t="s">
        <v>1897</v>
      </c>
      <c r="C1024" s="26" t="s">
        <v>1898</v>
      </c>
      <c r="D1024" s="27">
        <v>1</v>
      </c>
      <c r="E1024" s="27">
        <v>0</v>
      </c>
      <c r="F1024" s="27">
        <v>10</v>
      </c>
      <c r="G1024" s="27">
        <v>10</v>
      </c>
      <c r="H1024" s="27">
        <v>0</v>
      </c>
      <c r="I1024" s="27">
        <f>+IFERROR(VLOOKUP(A1024,'[1]Pending Dispatch'!$N$2:$O$651,2,0),0)</f>
        <v>0</v>
      </c>
      <c r="J1024" s="27">
        <f t="shared" si="15"/>
        <v>0</v>
      </c>
      <c r="K1024" s="28">
        <v>0</v>
      </c>
      <c r="L1024" s="28">
        <v>0</v>
      </c>
      <c r="M1024" s="26">
        <v>0</v>
      </c>
      <c r="N1024" s="26">
        <v>0</v>
      </c>
    </row>
    <row r="1025" spans="1:14" ht="15" customHeight="1" x14ac:dyDescent="0.3">
      <c r="A1025" s="25" t="s">
        <v>1899</v>
      </c>
      <c r="B1025" s="26" t="s">
        <v>1900</v>
      </c>
      <c r="C1025" s="26" t="s">
        <v>1898</v>
      </c>
      <c r="D1025" s="27">
        <v>1</v>
      </c>
      <c r="E1025" s="27">
        <v>0</v>
      </c>
      <c r="F1025" s="27">
        <v>0</v>
      </c>
      <c r="G1025" s="27">
        <v>0</v>
      </c>
      <c r="H1025" s="27">
        <v>0</v>
      </c>
      <c r="I1025" s="27">
        <f>+IFERROR(VLOOKUP(A1025,'[1]Pending Dispatch'!$N$2:$O$651,2,0),0)</f>
        <v>0</v>
      </c>
      <c r="J1025" s="27">
        <f t="shared" si="15"/>
        <v>0</v>
      </c>
      <c r="K1025" s="28">
        <v>0</v>
      </c>
      <c r="L1025" s="28">
        <v>0</v>
      </c>
      <c r="M1025" s="26">
        <v>0</v>
      </c>
      <c r="N1025" s="26">
        <v>0</v>
      </c>
    </row>
    <row r="1026" spans="1:14" ht="15" customHeight="1" x14ac:dyDescent="0.3">
      <c r="A1026" s="25" t="s">
        <v>1901</v>
      </c>
      <c r="B1026" s="26" t="s">
        <v>1902</v>
      </c>
      <c r="C1026" s="26" t="s">
        <v>1898</v>
      </c>
      <c r="D1026" s="27">
        <v>1</v>
      </c>
      <c r="E1026" s="27">
        <v>169</v>
      </c>
      <c r="F1026" s="27">
        <v>0</v>
      </c>
      <c r="G1026" s="27">
        <v>38</v>
      </c>
      <c r="H1026" s="27">
        <v>131</v>
      </c>
      <c r="I1026" s="27">
        <f>+IFERROR(VLOOKUP(A1026,'[1]Pending Dispatch'!$N$2:$O$651,2,0),0)</f>
        <v>50</v>
      </c>
      <c r="J1026" s="27">
        <f t="shared" si="15"/>
        <v>81</v>
      </c>
      <c r="K1026" s="28">
        <v>11.5</v>
      </c>
      <c r="L1026" s="28">
        <v>2.5185</v>
      </c>
      <c r="M1026" s="26">
        <v>7250</v>
      </c>
      <c r="N1026" s="26">
        <v>587250</v>
      </c>
    </row>
    <row r="1027" spans="1:14" ht="15" customHeight="1" x14ac:dyDescent="0.3">
      <c r="A1027" s="25" t="s">
        <v>1903</v>
      </c>
      <c r="B1027" s="26" t="s">
        <v>1904</v>
      </c>
      <c r="C1027" s="26" t="s">
        <v>1898</v>
      </c>
      <c r="D1027" s="27">
        <v>1</v>
      </c>
      <c r="E1027" s="27">
        <v>104</v>
      </c>
      <c r="F1027" s="27">
        <v>0</v>
      </c>
      <c r="G1027" s="27">
        <v>0</v>
      </c>
      <c r="H1027" s="27">
        <v>104</v>
      </c>
      <c r="I1027" s="27">
        <f>+IFERROR(VLOOKUP(A1027,'[1]Pending Dispatch'!$N$2:$O$651,2,0),0)</f>
        <v>0</v>
      </c>
      <c r="J1027" s="27">
        <f t="shared" si="15"/>
        <v>104</v>
      </c>
      <c r="K1027" s="28">
        <v>18</v>
      </c>
      <c r="L1027" s="28">
        <v>0.70199999999999996</v>
      </c>
      <c r="M1027" s="26">
        <v>10875</v>
      </c>
      <c r="N1027" s="26">
        <v>1131000</v>
      </c>
    </row>
    <row r="1028" spans="1:14" ht="15" customHeight="1" x14ac:dyDescent="0.3">
      <c r="A1028" s="25" t="s">
        <v>1905</v>
      </c>
      <c r="B1028" s="26" t="s">
        <v>1906</v>
      </c>
      <c r="C1028" s="26" t="s">
        <v>1898</v>
      </c>
      <c r="D1028" s="27">
        <v>1</v>
      </c>
      <c r="E1028" s="27">
        <v>20</v>
      </c>
      <c r="F1028" s="27">
        <v>116</v>
      </c>
      <c r="G1028" s="27">
        <v>55</v>
      </c>
      <c r="H1028" s="27">
        <v>81</v>
      </c>
      <c r="I1028" s="27">
        <f>+IFERROR(VLOOKUP(A1028,'[1]Pending Dispatch'!$N$2:$O$651,2,0),0)</f>
        <v>33</v>
      </c>
      <c r="J1028" s="27">
        <f t="shared" si="15"/>
        <v>48</v>
      </c>
      <c r="K1028" s="28">
        <v>22.5</v>
      </c>
      <c r="L1028" s="28">
        <v>6.7500000000000004E-2</v>
      </c>
      <c r="M1028" s="26">
        <v>14500</v>
      </c>
      <c r="N1028" s="26">
        <v>696000</v>
      </c>
    </row>
    <row r="1029" spans="1:14" ht="15" customHeight="1" x14ac:dyDescent="0.3">
      <c r="A1029" s="25" t="s">
        <v>1907</v>
      </c>
      <c r="B1029" s="26" t="s">
        <v>1908</v>
      </c>
      <c r="C1029" s="26" t="s">
        <v>1898</v>
      </c>
      <c r="D1029" s="27">
        <v>1</v>
      </c>
      <c r="E1029" s="27">
        <v>1</v>
      </c>
      <c r="F1029" s="27">
        <v>13</v>
      </c>
      <c r="G1029" s="27">
        <v>1</v>
      </c>
      <c r="H1029" s="27">
        <v>13</v>
      </c>
      <c r="I1029" s="27">
        <f>+IFERROR(VLOOKUP(A1029,'[1]Pending Dispatch'!$N$2:$O$651,2,0),0)</f>
        <v>6</v>
      </c>
      <c r="J1029" s="27">
        <f t="shared" si="15"/>
        <v>7</v>
      </c>
      <c r="K1029" s="28">
        <v>32.200000000000003</v>
      </c>
      <c r="L1029" s="28">
        <v>0.54740000000000011</v>
      </c>
      <c r="M1029" s="26">
        <v>21750</v>
      </c>
      <c r="N1029" s="26">
        <v>108750</v>
      </c>
    </row>
    <row r="1030" spans="1:14" ht="15" customHeight="1" x14ac:dyDescent="0.3">
      <c r="A1030" s="25" t="s">
        <v>1909</v>
      </c>
      <c r="B1030" s="26" t="s">
        <v>1910</v>
      </c>
      <c r="C1030" s="26" t="s">
        <v>1898</v>
      </c>
      <c r="D1030" s="27">
        <v>1</v>
      </c>
      <c r="E1030" s="27">
        <v>4</v>
      </c>
      <c r="F1030" s="27">
        <v>18</v>
      </c>
      <c r="G1030" s="27">
        <v>11</v>
      </c>
      <c r="H1030" s="27">
        <v>11</v>
      </c>
      <c r="I1030" s="27">
        <f>+IFERROR(VLOOKUP(A1030,'[1]Pending Dispatch'!$N$2:$O$651,2,0),0)</f>
        <v>12</v>
      </c>
      <c r="J1030" s="27">
        <f t="shared" ref="J1030:J1093" si="16">+H1030-I1030</f>
        <v>-1</v>
      </c>
      <c r="K1030" s="28">
        <v>41.7</v>
      </c>
      <c r="L1030" s="28">
        <v>0.12510000000000002</v>
      </c>
      <c r="M1030" s="26">
        <v>29000</v>
      </c>
      <c r="N1030" s="26">
        <v>-29000</v>
      </c>
    </row>
    <row r="1031" spans="1:14" ht="15" customHeight="1" x14ac:dyDescent="0.3">
      <c r="A1031" s="25" t="s">
        <v>1911</v>
      </c>
      <c r="B1031" s="26" t="s">
        <v>1912</v>
      </c>
      <c r="C1031" s="26" t="s">
        <v>1898</v>
      </c>
      <c r="D1031" s="27">
        <v>1</v>
      </c>
      <c r="E1031" s="27">
        <v>6</v>
      </c>
      <c r="F1031" s="27">
        <v>0</v>
      </c>
      <c r="G1031" s="27">
        <v>0</v>
      </c>
      <c r="H1031" s="27">
        <v>6</v>
      </c>
      <c r="I1031" s="27">
        <f>+IFERROR(VLOOKUP(A1031,'[1]Pending Dispatch'!$N$2:$O$651,2,0),0)</f>
        <v>0</v>
      </c>
      <c r="J1031" s="27">
        <f t="shared" si="16"/>
        <v>6</v>
      </c>
      <c r="K1031" s="28">
        <v>63.7</v>
      </c>
      <c r="L1031" s="28">
        <v>0.25480000000000003</v>
      </c>
      <c r="M1031" s="26">
        <v>43500</v>
      </c>
      <c r="N1031" s="26">
        <v>261000</v>
      </c>
    </row>
    <row r="1032" spans="1:14" ht="15" customHeight="1" x14ac:dyDescent="0.3">
      <c r="A1032" s="25" t="s">
        <v>1913</v>
      </c>
      <c r="B1032" s="26" t="s">
        <v>1914</v>
      </c>
      <c r="C1032" s="26" t="s">
        <v>1898</v>
      </c>
      <c r="D1032" s="27">
        <v>1</v>
      </c>
      <c r="E1032" s="27">
        <v>5</v>
      </c>
      <c r="F1032" s="27">
        <v>0</v>
      </c>
      <c r="G1032" s="27">
        <v>0</v>
      </c>
      <c r="H1032" s="27">
        <v>5</v>
      </c>
      <c r="I1032" s="27">
        <f>+IFERROR(VLOOKUP(A1032,'[1]Pending Dispatch'!$N$2:$O$651,2,0),0)</f>
        <v>3</v>
      </c>
      <c r="J1032" s="27">
        <f t="shared" si="16"/>
        <v>2</v>
      </c>
      <c r="K1032" s="28">
        <v>104.7</v>
      </c>
      <c r="L1032" s="28">
        <v>0</v>
      </c>
      <c r="M1032" s="26">
        <v>72500</v>
      </c>
      <c r="N1032" s="26">
        <v>145000</v>
      </c>
    </row>
    <row r="1033" spans="1:14" ht="15" customHeight="1" x14ac:dyDescent="0.3">
      <c r="A1033" s="25" t="s">
        <v>1915</v>
      </c>
      <c r="B1033" s="26" t="s">
        <v>1916</v>
      </c>
      <c r="C1033" s="26" t="s">
        <v>1898</v>
      </c>
      <c r="D1033" s="27">
        <v>1</v>
      </c>
      <c r="E1033" s="27">
        <v>4</v>
      </c>
      <c r="F1033" s="27">
        <v>0</v>
      </c>
      <c r="G1033" s="27">
        <v>0</v>
      </c>
      <c r="H1033" s="27">
        <v>4</v>
      </c>
      <c r="I1033" s="27">
        <f>+IFERROR(VLOOKUP(A1033,'[1]Pending Dispatch'!$N$2:$O$651,2,0),0)</f>
        <v>0</v>
      </c>
      <c r="J1033" s="27">
        <f t="shared" si="16"/>
        <v>4</v>
      </c>
      <c r="K1033" s="28">
        <v>13.5</v>
      </c>
      <c r="L1033" s="28">
        <v>5.3999999999999999E-2</v>
      </c>
      <c r="M1033" s="26">
        <v>0</v>
      </c>
      <c r="N1033" s="26">
        <v>0</v>
      </c>
    </row>
    <row r="1034" spans="1:14" ht="15" customHeight="1" x14ac:dyDescent="0.3">
      <c r="A1034" s="25" t="s">
        <v>1917</v>
      </c>
      <c r="B1034" s="26" t="s">
        <v>1918</v>
      </c>
      <c r="C1034" s="26" t="s">
        <v>1898</v>
      </c>
      <c r="D1034" s="27">
        <v>1</v>
      </c>
      <c r="E1034" s="27">
        <v>3</v>
      </c>
      <c r="F1034" s="27">
        <v>0</v>
      </c>
      <c r="G1034" s="27">
        <v>0</v>
      </c>
      <c r="H1034" s="27">
        <v>3</v>
      </c>
      <c r="I1034" s="27">
        <f>+IFERROR(VLOOKUP(A1034,'[1]Pending Dispatch'!$N$2:$O$651,2,0),0)</f>
        <v>0</v>
      </c>
      <c r="J1034" s="27">
        <f t="shared" si="16"/>
        <v>3</v>
      </c>
      <c r="K1034" s="28">
        <v>2.5</v>
      </c>
      <c r="L1034" s="28">
        <v>7.4999999999999997E-3</v>
      </c>
      <c r="M1034" s="26">
        <v>0</v>
      </c>
      <c r="N1034" s="26">
        <v>0</v>
      </c>
    </row>
    <row r="1035" spans="1:14" ht="15" customHeight="1" x14ac:dyDescent="0.3">
      <c r="A1035" s="25" t="s">
        <v>1919</v>
      </c>
      <c r="B1035" s="26" t="s">
        <v>1920</v>
      </c>
      <c r="C1035" s="26" t="s">
        <v>1898</v>
      </c>
      <c r="D1035" s="27">
        <v>1</v>
      </c>
      <c r="E1035" s="27">
        <v>0</v>
      </c>
      <c r="F1035" s="27">
        <v>0</v>
      </c>
      <c r="G1035" s="27">
        <v>0</v>
      </c>
      <c r="H1035" s="27">
        <v>0</v>
      </c>
      <c r="I1035" s="27">
        <f>+IFERROR(VLOOKUP(A1035,'[1]Pending Dispatch'!$N$2:$O$651,2,0),0)</f>
        <v>0</v>
      </c>
      <c r="J1035" s="27">
        <f t="shared" si="16"/>
        <v>0</v>
      </c>
      <c r="K1035" s="28">
        <v>25.5</v>
      </c>
      <c r="L1035" s="28">
        <v>0</v>
      </c>
      <c r="M1035" s="26">
        <v>0</v>
      </c>
      <c r="N1035" s="26">
        <v>0</v>
      </c>
    </row>
    <row r="1036" spans="1:14" ht="15" customHeight="1" x14ac:dyDescent="0.3">
      <c r="A1036" s="25" t="s">
        <v>1921</v>
      </c>
      <c r="B1036" s="26" t="s">
        <v>1922</v>
      </c>
      <c r="C1036" s="26" t="s">
        <v>1898</v>
      </c>
      <c r="D1036" s="27">
        <v>1</v>
      </c>
      <c r="E1036" s="27">
        <v>1</v>
      </c>
      <c r="F1036" s="27">
        <v>0</v>
      </c>
      <c r="G1036" s="27">
        <v>0</v>
      </c>
      <c r="H1036" s="27">
        <v>1</v>
      </c>
      <c r="I1036" s="27">
        <f>+IFERROR(VLOOKUP(A1036,'[1]Pending Dispatch'!$N$2:$O$651,2,0),0)</f>
        <v>0</v>
      </c>
      <c r="J1036" s="27">
        <f t="shared" si="16"/>
        <v>1</v>
      </c>
      <c r="K1036" s="28">
        <v>38.700000000000003</v>
      </c>
      <c r="L1036" s="28">
        <v>3.8700000000000005E-2</v>
      </c>
      <c r="M1036" s="26">
        <v>0</v>
      </c>
      <c r="N1036" s="26">
        <v>0</v>
      </c>
    </row>
    <row r="1037" spans="1:14" ht="15" customHeight="1" x14ac:dyDescent="0.3">
      <c r="A1037" s="25" t="s">
        <v>1923</v>
      </c>
      <c r="B1037" s="26" t="s">
        <v>1924</v>
      </c>
      <c r="C1037" s="26" t="s">
        <v>1898</v>
      </c>
      <c r="D1037" s="27">
        <v>1</v>
      </c>
      <c r="E1037" s="27">
        <v>0</v>
      </c>
      <c r="F1037" s="27">
        <v>0</v>
      </c>
      <c r="G1037" s="27">
        <v>0</v>
      </c>
      <c r="H1037" s="27">
        <v>0</v>
      </c>
      <c r="I1037" s="27">
        <f>+IFERROR(VLOOKUP(A1037,'[1]Pending Dispatch'!$N$2:$O$651,2,0),0)</f>
        <v>0</v>
      </c>
      <c r="J1037" s="27">
        <f t="shared" si="16"/>
        <v>0</v>
      </c>
      <c r="K1037" s="28">
        <v>50.7</v>
      </c>
      <c r="L1037" s="28">
        <v>0</v>
      </c>
      <c r="M1037" s="26">
        <v>0</v>
      </c>
      <c r="N1037" s="26">
        <v>0</v>
      </c>
    </row>
    <row r="1038" spans="1:14" ht="15" customHeight="1" x14ac:dyDescent="0.3">
      <c r="A1038" s="25" t="s">
        <v>1925</v>
      </c>
      <c r="B1038" s="26" t="s">
        <v>1926</v>
      </c>
      <c r="C1038" s="26" t="s">
        <v>1898</v>
      </c>
      <c r="D1038" s="27">
        <v>1</v>
      </c>
      <c r="E1038" s="27">
        <v>0</v>
      </c>
      <c r="F1038" s="27">
        <v>0</v>
      </c>
      <c r="G1038" s="27">
        <v>0</v>
      </c>
      <c r="H1038" s="27">
        <v>0</v>
      </c>
      <c r="I1038" s="27">
        <f>+IFERROR(VLOOKUP(A1038,'[1]Pending Dispatch'!$N$2:$O$651,2,0),0)</f>
        <v>0</v>
      </c>
      <c r="J1038" s="27">
        <f t="shared" si="16"/>
        <v>0</v>
      </c>
      <c r="K1038" s="28">
        <v>73.7</v>
      </c>
      <c r="L1038" s="28">
        <v>0</v>
      </c>
      <c r="M1038" s="26">
        <v>0</v>
      </c>
      <c r="N1038" s="26">
        <v>0</v>
      </c>
    </row>
    <row r="1039" spans="1:14" ht="15" customHeight="1" x14ac:dyDescent="0.3">
      <c r="A1039" s="25" t="s">
        <v>1927</v>
      </c>
      <c r="B1039" s="26" t="s">
        <v>1928</v>
      </c>
      <c r="C1039" s="26" t="s">
        <v>1898</v>
      </c>
      <c r="D1039" s="27">
        <v>1</v>
      </c>
      <c r="E1039" s="27">
        <v>0</v>
      </c>
      <c r="F1039" s="27">
        <v>0</v>
      </c>
      <c r="G1039" s="27">
        <v>0</v>
      </c>
      <c r="H1039" s="27">
        <v>0</v>
      </c>
      <c r="I1039" s="27">
        <f>+IFERROR(VLOOKUP(A1039,'[1]Pending Dispatch'!$N$2:$O$651,2,0),0)</f>
        <v>0</v>
      </c>
      <c r="J1039" s="27">
        <f t="shared" si="16"/>
        <v>0</v>
      </c>
      <c r="K1039" s="28">
        <v>122.7</v>
      </c>
      <c r="L1039" s="28">
        <v>0</v>
      </c>
      <c r="M1039" s="26">
        <v>0</v>
      </c>
      <c r="N1039" s="26">
        <v>0</v>
      </c>
    </row>
    <row r="1040" spans="1:14" ht="15" customHeight="1" x14ac:dyDescent="0.3">
      <c r="A1040" s="25" t="s">
        <v>1929</v>
      </c>
      <c r="B1040" s="26" t="s">
        <v>1930</v>
      </c>
      <c r="C1040" s="26" t="s">
        <v>1898</v>
      </c>
      <c r="D1040" s="27">
        <v>1</v>
      </c>
      <c r="E1040" s="27">
        <v>13</v>
      </c>
      <c r="F1040" s="27">
        <v>40</v>
      </c>
      <c r="G1040" s="27">
        <v>40</v>
      </c>
      <c r="H1040" s="27">
        <v>13</v>
      </c>
      <c r="I1040" s="27">
        <f>+IFERROR(VLOOKUP(A1040,'[1]Pending Dispatch'!$N$2:$O$651,2,0),0)</f>
        <v>0</v>
      </c>
      <c r="J1040" s="27">
        <f t="shared" si="16"/>
        <v>13</v>
      </c>
      <c r="K1040" s="28">
        <v>13</v>
      </c>
      <c r="L1040" s="28">
        <v>0.50700000000000001</v>
      </c>
      <c r="M1040" s="26">
        <v>8750</v>
      </c>
      <c r="N1040" s="26">
        <v>113750</v>
      </c>
    </row>
    <row r="1041" spans="1:14" ht="15" customHeight="1" x14ac:dyDescent="0.3">
      <c r="A1041" s="25" t="s">
        <v>1931</v>
      </c>
      <c r="B1041" s="26" t="s">
        <v>1932</v>
      </c>
      <c r="C1041" s="26" t="s">
        <v>1898</v>
      </c>
      <c r="D1041" s="27">
        <v>1</v>
      </c>
      <c r="E1041" s="27">
        <v>3</v>
      </c>
      <c r="F1041" s="27">
        <v>0</v>
      </c>
      <c r="G1041" s="27">
        <v>0</v>
      </c>
      <c r="H1041" s="27">
        <v>3</v>
      </c>
      <c r="I1041" s="27">
        <f>+IFERROR(VLOOKUP(A1041,'[1]Pending Dispatch'!$N$2:$O$651,2,0),0)</f>
        <v>8</v>
      </c>
      <c r="J1041" s="27">
        <f t="shared" si="16"/>
        <v>-5</v>
      </c>
      <c r="K1041" s="28">
        <v>20.5</v>
      </c>
      <c r="L1041" s="28">
        <v>0.34849999999999998</v>
      </c>
      <c r="M1041" s="26">
        <v>13125</v>
      </c>
      <c r="N1041" s="26">
        <v>-65625</v>
      </c>
    </row>
    <row r="1042" spans="1:14" ht="15" customHeight="1" x14ac:dyDescent="0.3">
      <c r="A1042" s="25" t="s">
        <v>1933</v>
      </c>
      <c r="B1042" s="26" t="s">
        <v>1934</v>
      </c>
      <c r="C1042" s="26" t="s">
        <v>1898</v>
      </c>
      <c r="D1042" s="27">
        <v>1</v>
      </c>
      <c r="E1042" s="27">
        <v>16</v>
      </c>
      <c r="F1042" s="27">
        <v>12</v>
      </c>
      <c r="G1042" s="27">
        <v>12</v>
      </c>
      <c r="H1042" s="27">
        <v>16</v>
      </c>
      <c r="I1042" s="27">
        <f>+IFERROR(VLOOKUP(A1042,'[1]Pending Dispatch'!$N$2:$O$651,2,0),0)</f>
        <v>5</v>
      </c>
      <c r="J1042" s="27">
        <f t="shared" si="16"/>
        <v>11</v>
      </c>
      <c r="K1042" s="28">
        <v>25.5</v>
      </c>
      <c r="L1042" s="28">
        <v>0.10199999999999999</v>
      </c>
      <c r="M1042" s="26">
        <v>17500</v>
      </c>
      <c r="N1042" s="26">
        <v>192500</v>
      </c>
    </row>
    <row r="1043" spans="1:14" ht="15" customHeight="1" x14ac:dyDescent="0.3">
      <c r="A1043" s="25" t="s">
        <v>1935</v>
      </c>
      <c r="B1043" s="26" t="s">
        <v>1936</v>
      </c>
      <c r="C1043" s="26" t="s">
        <v>1898</v>
      </c>
      <c r="D1043" s="27">
        <v>1</v>
      </c>
      <c r="E1043" s="27">
        <v>2</v>
      </c>
      <c r="F1043" s="27">
        <v>5</v>
      </c>
      <c r="G1043" s="27">
        <v>0</v>
      </c>
      <c r="H1043" s="27">
        <v>7</v>
      </c>
      <c r="I1043" s="27">
        <f>+IFERROR(VLOOKUP(A1043,'[1]Pending Dispatch'!$N$2:$O$651,2,0),0)</f>
        <v>0</v>
      </c>
      <c r="J1043" s="27">
        <f t="shared" si="16"/>
        <v>7</v>
      </c>
      <c r="K1043" s="28">
        <v>38.700000000000003</v>
      </c>
      <c r="L1043" s="28">
        <v>0</v>
      </c>
      <c r="M1043" s="26">
        <v>26250</v>
      </c>
      <c r="N1043" s="26">
        <v>183750</v>
      </c>
    </row>
    <row r="1044" spans="1:14" ht="15" customHeight="1" x14ac:dyDescent="0.3">
      <c r="A1044" s="25" t="s">
        <v>1937</v>
      </c>
      <c r="B1044" s="26" t="s">
        <v>1938</v>
      </c>
      <c r="C1044" s="26" t="s">
        <v>1898</v>
      </c>
      <c r="D1044" s="27">
        <v>1</v>
      </c>
      <c r="E1044" s="27">
        <v>3</v>
      </c>
      <c r="F1044" s="27">
        <v>4</v>
      </c>
      <c r="G1044" s="27">
        <v>3</v>
      </c>
      <c r="H1044" s="27">
        <v>4</v>
      </c>
      <c r="I1044" s="27">
        <f>+IFERROR(VLOOKUP(A1044,'[1]Pending Dispatch'!$N$2:$O$651,2,0),0)</f>
        <v>1</v>
      </c>
      <c r="J1044" s="27">
        <f t="shared" si="16"/>
        <v>3</v>
      </c>
      <c r="K1044" s="28">
        <v>52.7</v>
      </c>
      <c r="L1044" s="28">
        <v>0</v>
      </c>
      <c r="M1044" s="26">
        <v>35000</v>
      </c>
      <c r="N1044" s="26">
        <v>105000</v>
      </c>
    </row>
    <row r="1045" spans="1:14" ht="15" customHeight="1" x14ac:dyDescent="0.3">
      <c r="A1045" s="25" t="s">
        <v>1939</v>
      </c>
      <c r="B1045" s="26" t="s">
        <v>1940</v>
      </c>
      <c r="C1045" s="26" t="s">
        <v>1898</v>
      </c>
      <c r="D1045" s="27">
        <v>1</v>
      </c>
      <c r="E1045" s="27">
        <v>0</v>
      </c>
      <c r="F1045" s="27">
        <v>0</v>
      </c>
      <c r="G1045" s="27">
        <v>0</v>
      </c>
      <c r="H1045" s="27">
        <v>0</v>
      </c>
      <c r="I1045" s="27">
        <f>+IFERROR(VLOOKUP(A1045,'[1]Pending Dispatch'!$N$2:$O$651,2,0),0)</f>
        <v>0</v>
      </c>
      <c r="J1045" s="27">
        <f t="shared" si="16"/>
        <v>0</v>
      </c>
      <c r="K1045" s="28">
        <v>75.7</v>
      </c>
      <c r="L1045" s="28">
        <v>0</v>
      </c>
      <c r="M1045" s="26">
        <v>52500</v>
      </c>
      <c r="N1045" s="26">
        <v>0</v>
      </c>
    </row>
    <row r="1046" spans="1:14" ht="15" customHeight="1" x14ac:dyDescent="0.3">
      <c r="A1046" s="25" t="s">
        <v>1941</v>
      </c>
      <c r="B1046" s="26" t="s">
        <v>1942</v>
      </c>
      <c r="C1046" s="26" t="s">
        <v>1898</v>
      </c>
      <c r="D1046" s="27">
        <v>1</v>
      </c>
      <c r="E1046" s="27">
        <v>0</v>
      </c>
      <c r="F1046" s="27">
        <v>0</v>
      </c>
      <c r="G1046" s="27">
        <v>0</v>
      </c>
      <c r="H1046" s="27">
        <v>0</v>
      </c>
      <c r="I1046" s="27">
        <f>+IFERROR(VLOOKUP(A1046,'[1]Pending Dispatch'!$N$2:$O$651,2,0),0)</f>
        <v>0</v>
      </c>
      <c r="J1046" s="27">
        <f t="shared" si="16"/>
        <v>0</v>
      </c>
      <c r="K1046" s="28">
        <v>125.7</v>
      </c>
      <c r="L1046" s="28">
        <v>0</v>
      </c>
      <c r="M1046" s="26">
        <v>87500</v>
      </c>
      <c r="N1046" s="26">
        <v>0</v>
      </c>
    </row>
    <row r="1047" spans="1:14" ht="15" customHeight="1" x14ac:dyDescent="0.3">
      <c r="A1047" s="25" t="s">
        <v>1943</v>
      </c>
      <c r="B1047" s="26" t="s">
        <v>1944</v>
      </c>
      <c r="C1047" s="26" t="s">
        <v>1898</v>
      </c>
      <c r="D1047" s="27">
        <v>1</v>
      </c>
      <c r="E1047" s="27">
        <v>15</v>
      </c>
      <c r="F1047" s="27">
        <v>0</v>
      </c>
      <c r="G1047" s="27">
        <v>0</v>
      </c>
      <c r="H1047" s="27">
        <v>15</v>
      </c>
      <c r="I1047" s="27">
        <f>+IFERROR(VLOOKUP(A1047,'[1]Pending Dispatch'!$N$2:$O$651,2,0),0)</f>
        <v>0</v>
      </c>
      <c r="J1047" s="27">
        <f t="shared" si="16"/>
        <v>15</v>
      </c>
      <c r="K1047" s="28">
        <v>16</v>
      </c>
      <c r="L1047" s="28">
        <v>0.24</v>
      </c>
      <c r="M1047" s="26">
        <v>0</v>
      </c>
      <c r="N1047" s="26">
        <v>0</v>
      </c>
    </row>
    <row r="1048" spans="1:14" ht="15" customHeight="1" x14ac:dyDescent="0.3">
      <c r="A1048" s="25" t="s">
        <v>1945</v>
      </c>
      <c r="B1048" s="26" t="s">
        <v>1946</v>
      </c>
      <c r="C1048" s="26" t="s">
        <v>1898</v>
      </c>
      <c r="D1048" s="27">
        <v>1</v>
      </c>
      <c r="E1048" s="27">
        <v>2</v>
      </c>
      <c r="F1048" s="27">
        <v>0</v>
      </c>
      <c r="G1048" s="27">
        <v>0</v>
      </c>
      <c r="H1048" s="27">
        <v>2</v>
      </c>
      <c r="I1048" s="27">
        <f>+IFERROR(VLOOKUP(A1048,'[1]Pending Dispatch'!$N$2:$O$651,2,0),0)</f>
        <v>0</v>
      </c>
      <c r="J1048" s="27">
        <f t="shared" si="16"/>
        <v>2</v>
      </c>
      <c r="K1048" s="28">
        <v>23.5</v>
      </c>
      <c r="L1048" s="28">
        <v>4.7E-2</v>
      </c>
      <c r="M1048" s="26">
        <v>0</v>
      </c>
      <c r="N1048" s="26">
        <v>0</v>
      </c>
    </row>
    <row r="1049" spans="1:14" ht="15" customHeight="1" x14ac:dyDescent="0.3">
      <c r="A1049" s="25" t="s">
        <v>1947</v>
      </c>
      <c r="B1049" s="26" t="s">
        <v>1948</v>
      </c>
      <c r="C1049" s="26" t="s">
        <v>1898</v>
      </c>
      <c r="D1049" s="27">
        <v>1</v>
      </c>
      <c r="E1049" s="27">
        <v>2</v>
      </c>
      <c r="F1049" s="27">
        <v>0</v>
      </c>
      <c r="G1049" s="27">
        <v>0</v>
      </c>
      <c r="H1049" s="27">
        <v>2</v>
      </c>
      <c r="I1049" s="27">
        <f>+IFERROR(VLOOKUP(A1049,'[1]Pending Dispatch'!$N$2:$O$651,2,0),0)</f>
        <v>0</v>
      </c>
      <c r="J1049" s="27">
        <f t="shared" si="16"/>
        <v>2</v>
      </c>
      <c r="K1049" s="28">
        <v>29.5</v>
      </c>
      <c r="L1049" s="28">
        <v>5.8999999999999997E-2</v>
      </c>
      <c r="M1049" s="26">
        <v>0</v>
      </c>
      <c r="N1049" s="26">
        <v>0</v>
      </c>
    </row>
    <row r="1050" spans="1:14" ht="15" customHeight="1" x14ac:dyDescent="0.3">
      <c r="A1050" s="25" t="s">
        <v>1949</v>
      </c>
      <c r="B1050" s="26" t="s">
        <v>1950</v>
      </c>
      <c r="C1050" s="26" t="s">
        <v>1898</v>
      </c>
      <c r="D1050" s="27">
        <v>1</v>
      </c>
      <c r="E1050" s="27">
        <v>0</v>
      </c>
      <c r="F1050" s="27">
        <v>0</v>
      </c>
      <c r="G1050" s="27">
        <v>0</v>
      </c>
      <c r="H1050" s="27">
        <v>0</v>
      </c>
      <c r="I1050" s="27">
        <f>+IFERROR(VLOOKUP(A1050,'[1]Pending Dispatch'!$N$2:$O$651,2,0),0)</f>
        <v>0</v>
      </c>
      <c r="J1050" s="27">
        <f t="shared" si="16"/>
        <v>0</v>
      </c>
      <c r="K1050" s="28">
        <v>44.7</v>
      </c>
      <c r="L1050" s="28">
        <v>0</v>
      </c>
      <c r="M1050" s="26">
        <v>0</v>
      </c>
      <c r="N1050" s="26">
        <v>0</v>
      </c>
    </row>
    <row r="1051" spans="1:14" ht="15" customHeight="1" x14ac:dyDescent="0.3">
      <c r="A1051" s="25" t="s">
        <v>1951</v>
      </c>
      <c r="B1051" s="26" t="s">
        <v>1952</v>
      </c>
      <c r="C1051" s="26" t="s">
        <v>1898</v>
      </c>
      <c r="D1051" s="27">
        <v>1</v>
      </c>
      <c r="E1051" s="27">
        <v>3</v>
      </c>
      <c r="F1051" s="27">
        <v>0</v>
      </c>
      <c r="G1051" s="27">
        <v>0</v>
      </c>
      <c r="H1051" s="27">
        <v>3</v>
      </c>
      <c r="I1051" s="27">
        <f>+IFERROR(VLOOKUP(A1051,'[1]Pending Dispatch'!$N$2:$O$651,2,0),0)</f>
        <v>0</v>
      </c>
      <c r="J1051" s="27">
        <f t="shared" si="16"/>
        <v>3</v>
      </c>
      <c r="K1051" s="28">
        <v>57.7</v>
      </c>
      <c r="L1051" s="28">
        <v>0.17310000000000003</v>
      </c>
      <c r="M1051" s="26">
        <v>0</v>
      </c>
      <c r="N1051" s="26">
        <v>0</v>
      </c>
    </row>
    <row r="1052" spans="1:14" ht="15" customHeight="1" x14ac:dyDescent="0.3">
      <c r="A1052" s="25" t="s">
        <v>1953</v>
      </c>
      <c r="B1052" s="26" t="s">
        <v>1954</v>
      </c>
      <c r="C1052" s="26" t="s">
        <v>1898</v>
      </c>
      <c r="D1052" s="27">
        <v>1</v>
      </c>
      <c r="E1052" s="27">
        <v>0</v>
      </c>
      <c r="F1052" s="27">
        <v>0</v>
      </c>
      <c r="G1052" s="27">
        <v>0</v>
      </c>
      <c r="H1052" s="27">
        <v>0</v>
      </c>
      <c r="I1052" s="27">
        <f>+IFERROR(VLOOKUP(A1052,'[1]Pending Dispatch'!$N$2:$O$651,2,0),0)</f>
        <v>0</v>
      </c>
      <c r="J1052" s="27">
        <f t="shared" si="16"/>
        <v>0</v>
      </c>
      <c r="K1052" s="28">
        <v>84.7</v>
      </c>
      <c r="L1052" s="28">
        <v>0</v>
      </c>
      <c r="M1052" s="26">
        <v>0</v>
      </c>
      <c r="N1052" s="26">
        <v>0</v>
      </c>
    </row>
    <row r="1053" spans="1:14" ht="15" customHeight="1" x14ac:dyDescent="0.3">
      <c r="A1053" s="25" t="s">
        <v>1955</v>
      </c>
      <c r="B1053" s="26" t="s">
        <v>1956</v>
      </c>
      <c r="C1053" s="26" t="s">
        <v>1898</v>
      </c>
      <c r="D1053" s="27">
        <v>1</v>
      </c>
      <c r="E1053" s="27">
        <v>0</v>
      </c>
      <c r="F1053" s="27">
        <v>0</v>
      </c>
      <c r="G1053" s="27">
        <v>0</v>
      </c>
      <c r="H1053" s="27">
        <v>0</v>
      </c>
      <c r="I1053" s="27">
        <f>+IFERROR(VLOOKUP(A1053,'[1]Pending Dispatch'!$N$2:$O$651,2,0),0)</f>
        <v>0</v>
      </c>
      <c r="J1053" s="27">
        <f t="shared" si="16"/>
        <v>0</v>
      </c>
      <c r="K1053" s="28">
        <v>139.69999999999999</v>
      </c>
      <c r="L1053" s="28">
        <v>0</v>
      </c>
      <c r="M1053" s="26">
        <v>0</v>
      </c>
      <c r="N1053" s="26">
        <v>0</v>
      </c>
    </row>
    <row r="1054" spans="1:14" ht="15" customHeight="1" x14ac:dyDescent="0.3">
      <c r="A1054" s="25" t="s">
        <v>1957</v>
      </c>
      <c r="B1054" s="26" t="s">
        <v>1958</v>
      </c>
      <c r="C1054" s="26" t="s">
        <v>1898</v>
      </c>
      <c r="D1054" s="27">
        <v>1</v>
      </c>
      <c r="E1054" s="27">
        <v>14</v>
      </c>
      <c r="F1054" s="27">
        <v>72</v>
      </c>
      <c r="G1054" s="27">
        <v>55</v>
      </c>
      <c r="H1054" s="27">
        <v>31</v>
      </c>
      <c r="I1054" s="27">
        <f>+IFERROR(VLOOKUP(A1054,'[1]Pending Dispatch'!$N$2:$O$651,2,0),0)</f>
        <v>54</v>
      </c>
      <c r="J1054" s="27">
        <f t="shared" si="16"/>
        <v>-23</v>
      </c>
      <c r="K1054" s="28">
        <v>18.5</v>
      </c>
      <c r="L1054" s="28">
        <v>1.1285000000000001</v>
      </c>
      <c r="M1054" s="26">
        <v>16990</v>
      </c>
      <c r="N1054" s="26">
        <v>-390770</v>
      </c>
    </row>
    <row r="1055" spans="1:14" ht="15" customHeight="1" x14ac:dyDescent="0.3">
      <c r="A1055" s="25" t="s">
        <v>1959</v>
      </c>
      <c r="B1055" s="26" t="s">
        <v>1960</v>
      </c>
      <c r="C1055" s="26" t="s">
        <v>1898</v>
      </c>
      <c r="D1055" s="27">
        <v>1</v>
      </c>
      <c r="E1055" s="27">
        <v>0</v>
      </c>
      <c r="F1055" s="27">
        <v>10</v>
      </c>
      <c r="G1055" s="27">
        <v>1</v>
      </c>
      <c r="H1055" s="27">
        <v>9</v>
      </c>
      <c r="I1055" s="27">
        <f>+IFERROR(VLOOKUP(A1055,'[1]Pending Dispatch'!$N$2:$O$651,2,0),0)</f>
        <v>0</v>
      </c>
      <c r="J1055" s="27">
        <f t="shared" si="16"/>
        <v>9</v>
      </c>
      <c r="K1055" s="28">
        <v>24.5</v>
      </c>
      <c r="L1055" s="28">
        <v>0</v>
      </c>
      <c r="M1055" s="26">
        <v>23990</v>
      </c>
      <c r="N1055" s="26">
        <v>215910</v>
      </c>
    </row>
    <row r="1056" spans="1:14" ht="15" customHeight="1" x14ac:dyDescent="0.3">
      <c r="A1056" s="25" t="s">
        <v>1961</v>
      </c>
      <c r="B1056" s="26" t="s">
        <v>1962</v>
      </c>
      <c r="C1056" s="26" t="s">
        <v>1898</v>
      </c>
      <c r="D1056" s="27">
        <v>1</v>
      </c>
      <c r="E1056" s="27">
        <v>8</v>
      </c>
      <c r="F1056" s="27">
        <v>46</v>
      </c>
      <c r="G1056" s="27">
        <v>49</v>
      </c>
      <c r="H1056" s="27">
        <v>5</v>
      </c>
      <c r="I1056" s="27">
        <f>+IFERROR(VLOOKUP(A1056,'[1]Pending Dispatch'!$N$2:$O$651,2,0),0)</f>
        <v>0</v>
      </c>
      <c r="J1056" s="27">
        <f t="shared" si="16"/>
        <v>5</v>
      </c>
      <c r="K1056" s="28">
        <v>33.5</v>
      </c>
      <c r="L1056" s="28">
        <v>0.33500000000000002</v>
      </c>
      <c r="M1056" s="26">
        <v>34990</v>
      </c>
      <c r="N1056" s="26">
        <v>174950</v>
      </c>
    </row>
    <row r="1057" spans="1:14" ht="15" customHeight="1" x14ac:dyDescent="0.3">
      <c r="A1057" s="25" t="s">
        <v>1963</v>
      </c>
      <c r="B1057" s="26" t="s">
        <v>1964</v>
      </c>
      <c r="C1057" s="26" t="s">
        <v>1898</v>
      </c>
      <c r="D1057" s="27">
        <v>1</v>
      </c>
      <c r="E1057" s="27">
        <v>2</v>
      </c>
      <c r="F1057" s="27">
        <v>1</v>
      </c>
      <c r="G1057" s="27">
        <v>3</v>
      </c>
      <c r="H1057" s="27">
        <v>0</v>
      </c>
      <c r="I1057" s="27">
        <f>+IFERROR(VLOOKUP(A1057,'[1]Pending Dispatch'!$N$2:$O$651,2,0),0)</f>
        <v>0</v>
      </c>
      <c r="J1057" s="27">
        <f t="shared" si="16"/>
        <v>0</v>
      </c>
      <c r="K1057" s="28">
        <v>64.5</v>
      </c>
      <c r="L1057" s="28">
        <v>0</v>
      </c>
      <c r="M1057" s="26">
        <v>69990</v>
      </c>
      <c r="N1057" s="26">
        <v>0</v>
      </c>
    </row>
    <row r="1058" spans="1:14" ht="15" customHeight="1" x14ac:dyDescent="0.3">
      <c r="A1058" s="25" t="s">
        <v>1965</v>
      </c>
      <c r="B1058" s="26" t="s">
        <v>1966</v>
      </c>
      <c r="C1058" s="26" t="s">
        <v>1898</v>
      </c>
      <c r="D1058" s="27">
        <v>1</v>
      </c>
      <c r="E1058" s="27">
        <v>0</v>
      </c>
      <c r="F1058" s="27">
        <v>0</v>
      </c>
      <c r="G1058" s="27">
        <v>0</v>
      </c>
      <c r="H1058" s="27">
        <v>0</v>
      </c>
      <c r="I1058" s="27">
        <f>+IFERROR(VLOOKUP(A1058,'[1]Pending Dispatch'!$N$2:$O$651,2,0),0)</f>
        <v>0</v>
      </c>
      <c r="J1058" s="27">
        <f t="shared" si="16"/>
        <v>0</v>
      </c>
      <c r="K1058" s="28">
        <v>96.5</v>
      </c>
      <c r="L1058" s="28">
        <v>0</v>
      </c>
      <c r="M1058" s="26">
        <v>105000</v>
      </c>
      <c r="N1058" s="26">
        <v>0</v>
      </c>
    </row>
    <row r="1059" spans="1:14" ht="15" customHeight="1" x14ac:dyDescent="0.3">
      <c r="A1059" s="25" t="s">
        <v>1967</v>
      </c>
      <c r="B1059" s="26" t="s">
        <v>1968</v>
      </c>
      <c r="C1059" s="26" t="s">
        <v>1898</v>
      </c>
      <c r="D1059" s="27">
        <v>1</v>
      </c>
      <c r="E1059" s="27">
        <v>0</v>
      </c>
      <c r="F1059" s="27">
        <v>18</v>
      </c>
      <c r="G1059" s="27">
        <v>17</v>
      </c>
      <c r="H1059" s="27">
        <v>1</v>
      </c>
      <c r="I1059" s="27">
        <f>+IFERROR(VLOOKUP(A1059,'[1]Pending Dispatch'!$N$2:$O$651,2,0),0)</f>
        <v>0</v>
      </c>
      <c r="J1059" s="27">
        <f t="shared" si="16"/>
        <v>1</v>
      </c>
      <c r="K1059" s="28">
        <v>180.5</v>
      </c>
      <c r="L1059" s="28">
        <v>0</v>
      </c>
      <c r="M1059" s="26">
        <v>175000</v>
      </c>
      <c r="N1059" s="26">
        <v>175000</v>
      </c>
    </row>
    <row r="1060" spans="1:14" ht="15" customHeight="1" x14ac:dyDescent="0.3">
      <c r="A1060" s="38" t="s">
        <v>1969</v>
      </c>
      <c r="B1060" s="26" t="s">
        <v>1661</v>
      </c>
      <c r="C1060" s="26" t="s">
        <v>1647</v>
      </c>
      <c r="D1060" s="27">
        <v>1</v>
      </c>
      <c r="E1060" s="27">
        <v>0</v>
      </c>
      <c r="F1060" s="27">
        <v>0</v>
      </c>
      <c r="G1060" s="27">
        <v>0</v>
      </c>
      <c r="H1060" s="27">
        <v>0</v>
      </c>
      <c r="I1060" s="27">
        <f>+IFERROR(VLOOKUP(A1060,'[1]Pending Dispatch'!$N$2:$O$651,2,0),0)</f>
        <v>0</v>
      </c>
      <c r="J1060" s="27">
        <f t="shared" si="16"/>
        <v>0</v>
      </c>
      <c r="K1060" s="28">
        <v>11.75</v>
      </c>
      <c r="L1060" s="28">
        <v>0</v>
      </c>
      <c r="M1060" s="26">
        <v>0</v>
      </c>
      <c r="N1060" s="26">
        <v>0</v>
      </c>
    </row>
    <row r="1061" spans="1:14" ht="15" customHeight="1" x14ac:dyDescent="0.3">
      <c r="A1061" s="25" t="s">
        <v>1970</v>
      </c>
      <c r="B1061" s="26" t="s">
        <v>1971</v>
      </c>
      <c r="C1061" s="26" t="s">
        <v>1647</v>
      </c>
      <c r="D1061" s="27">
        <v>1</v>
      </c>
      <c r="E1061" s="27">
        <v>0</v>
      </c>
      <c r="F1061" s="27">
        <v>50</v>
      </c>
      <c r="G1061" s="27">
        <v>50</v>
      </c>
      <c r="H1061" s="27">
        <v>0</v>
      </c>
      <c r="I1061" s="27">
        <f>+IFERROR(VLOOKUP(A1061,'[1]Pending Dispatch'!$N$2:$O$651,2,0),0)</f>
        <v>100</v>
      </c>
      <c r="J1061" s="27">
        <f t="shared" si="16"/>
        <v>-100</v>
      </c>
      <c r="K1061" s="28">
        <v>1.65</v>
      </c>
      <c r="L1061" s="28">
        <v>4.7173499999999997</v>
      </c>
      <c r="M1061" s="26">
        <v>398</v>
      </c>
      <c r="N1061" s="26">
        <v>-39800</v>
      </c>
    </row>
    <row r="1062" spans="1:14" ht="15" customHeight="1" x14ac:dyDescent="0.3">
      <c r="A1062" s="25" t="s">
        <v>1972</v>
      </c>
      <c r="B1062" s="26" t="s">
        <v>1973</v>
      </c>
      <c r="C1062" s="26" t="s">
        <v>1647</v>
      </c>
      <c r="D1062" s="27">
        <v>1</v>
      </c>
      <c r="E1062" s="27">
        <v>0</v>
      </c>
      <c r="F1062" s="27">
        <v>0</v>
      </c>
      <c r="G1062" s="27">
        <v>0</v>
      </c>
      <c r="H1062" s="27">
        <v>0</v>
      </c>
      <c r="I1062" s="27">
        <f>+IFERROR(VLOOKUP(A1062,'[1]Pending Dispatch'!$N$2:$O$651,2,0),0)</f>
        <v>0</v>
      </c>
      <c r="J1062" s="27">
        <f t="shared" si="16"/>
        <v>0</v>
      </c>
      <c r="K1062" s="28">
        <v>5.0999999999999996</v>
      </c>
      <c r="L1062" s="28">
        <v>0</v>
      </c>
      <c r="M1062" s="26">
        <v>1246.67</v>
      </c>
      <c r="N1062" s="26">
        <v>0</v>
      </c>
    </row>
    <row r="1063" spans="1:14" ht="15" customHeight="1" x14ac:dyDescent="0.3">
      <c r="A1063" s="25" t="s">
        <v>1974</v>
      </c>
      <c r="B1063" s="26" t="s">
        <v>1975</v>
      </c>
      <c r="C1063" s="26" t="s">
        <v>1647</v>
      </c>
      <c r="D1063" s="27">
        <v>1</v>
      </c>
      <c r="E1063" s="27">
        <v>0</v>
      </c>
      <c r="F1063" s="27">
        <v>0</v>
      </c>
      <c r="G1063" s="27">
        <v>0</v>
      </c>
      <c r="H1063" s="27">
        <v>0</v>
      </c>
      <c r="I1063" s="27">
        <f>+IFERROR(VLOOKUP(A1063,'[1]Pending Dispatch'!$N$2:$O$651,2,0),0)</f>
        <v>0</v>
      </c>
      <c r="J1063" s="27">
        <f t="shared" si="16"/>
        <v>0</v>
      </c>
      <c r="K1063" s="28">
        <v>0.50800000000000001</v>
      </c>
      <c r="L1063" s="28">
        <v>0</v>
      </c>
      <c r="M1063" s="26">
        <v>185</v>
      </c>
      <c r="N1063" s="26">
        <v>0</v>
      </c>
    </row>
    <row r="1064" spans="1:14" ht="15" customHeight="1" x14ac:dyDescent="0.3">
      <c r="A1064" s="25" t="s">
        <v>1976</v>
      </c>
      <c r="B1064" s="26" t="s">
        <v>1977</v>
      </c>
      <c r="C1064" s="26" t="s">
        <v>1647</v>
      </c>
      <c r="D1064" s="27">
        <v>1</v>
      </c>
      <c r="E1064" s="27">
        <v>370</v>
      </c>
      <c r="F1064" s="27">
        <v>0</v>
      </c>
      <c r="G1064" s="27">
        <v>0</v>
      </c>
      <c r="H1064" s="27">
        <v>370</v>
      </c>
      <c r="I1064" s="27">
        <f>+IFERROR(VLOOKUP(A1064,'[1]Pending Dispatch'!$N$2:$O$651,2,0),0)</f>
        <v>0</v>
      </c>
      <c r="J1064" s="27">
        <f t="shared" si="16"/>
        <v>370</v>
      </c>
      <c r="K1064" s="28">
        <v>0.77500000000000002</v>
      </c>
      <c r="L1064" s="28">
        <v>0.28675</v>
      </c>
      <c r="M1064" s="26">
        <v>236.67</v>
      </c>
      <c r="N1064" s="26">
        <v>87567.9</v>
      </c>
    </row>
    <row r="1065" spans="1:14" ht="15" customHeight="1" x14ac:dyDescent="0.3">
      <c r="A1065" s="25" t="s">
        <v>1978</v>
      </c>
      <c r="B1065" s="26" t="s">
        <v>1979</v>
      </c>
      <c r="C1065" s="26" t="s">
        <v>1647</v>
      </c>
      <c r="D1065" s="27">
        <v>1</v>
      </c>
      <c r="E1065" s="27">
        <v>0</v>
      </c>
      <c r="F1065" s="27">
        <v>0</v>
      </c>
      <c r="G1065" s="27">
        <v>0</v>
      </c>
      <c r="H1065" s="27">
        <v>0</v>
      </c>
      <c r="I1065" s="27">
        <f>+IFERROR(VLOOKUP(A1065,'[1]Pending Dispatch'!$N$2:$O$651,2,0),0)</f>
        <v>0</v>
      </c>
      <c r="J1065" s="27">
        <f t="shared" si="16"/>
        <v>0</v>
      </c>
      <c r="K1065" s="28">
        <v>1.3160000000000001</v>
      </c>
      <c r="L1065" s="28">
        <v>0</v>
      </c>
      <c r="M1065" s="26">
        <v>373.33</v>
      </c>
      <c r="N1065" s="26">
        <v>0</v>
      </c>
    </row>
    <row r="1066" spans="1:14" ht="15" customHeight="1" x14ac:dyDescent="0.3">
      <c r="A1066" s="25" t="s">
        <v>1980</v>
      </c>
      <c r="B1066" s="26" t="s">
        <v>1981</v>
      </c>
      <c r="C1066" s="26" t="s">
        <v>1647</v>
      </c>
      <c r="D1066" s="27">
        <v>1</v>
      </c>
      <c r="E1066" s="27">
        <v>74</v>
      </c>
      <c r="F1066" s="27">
        <v>0</v>
      </c>
      <c r="G1066" s="27">
        <v>0</v>
      </c>
      <c r="H1066" s="27">
        <v>74</v>
      </c>
      <c r="I1066" s="27">
        <f>+IFERROR(VLOOKUP(A1066,'[1]Pending Dispatch'!$N$2:$O$651,2,0),0)</f>
        <v>0</v>
      </c>
      <c r="J1066" s="27">
        <f t="shared" si="16"/>
        <v>74</v>
      </c>
      <c r="K1066" s="28">
        <v>1.516</v>
      </c>
      <c r="L1066" s="28">
        <v>0.11218399999999999</v>
      </c>
      <c r="M1066" s="26">
        <v>386.67</v>
      </c>
      <c r="N1066" s="26">
        <v>28613.58</v>
      </c>
    </row>
    <row r="1067" spans="1:14" ht="15" customHeight="1" x14ac:dyDescent="0.3">
      <c r="A1067" s="25" t="s">
        <v>1982</v>
      </c>
      <c r="B1067" s="26" t="s">
        <v>1983</v>
      </c>
      <c r="C1067" s="26" t="s">
        <v>1647</v>
      </c>
      <c r="D1067" s="27">
        <v>1</v>
      </c>
      <c r="E1067" s="27">
        <v>240</v>
      </c>
      <c r="F1067" s="27">
        <v>0</v>
      </c>
      <c r="G1067" s="27">
        <v>0</v>
      </c>
      <c r="H1067" s="27">
        <v>240</v>
      </c>
      <c r="I1067" s="27">
        <f>+IFERROR(VLOOKUP(A1067,'[1]Pending Dispatch'!$N$2:$O$651,2,0),0)</f>
        <v>0</v>
      </c>
      <c r="J1067" s="27">
        <f t="shared" si="16"/>
        <v>240</v>
      </c>
      <c r="K1067" s="28">
        <v>3.33</v>
      </c>
      <c r="L1067" s="28">
        <v>0.79920000000000002</v>
      </c>
      <c r="M1067" s="26">
        <v>911.67</v>
      </c>
      <c r="N1067" s="26">
        <v>218800.8</v>
      </c>
    </row>
    <row r="1068" spans="1:14" ht="15" customHeight="1" x14ac:dyDescent="0.3">
      <c r="A1068" s="25" t="s">
        <v>1984</v>
      </c>
      <c r="B1068" s="26" t="s">
        <v>1985</v>
      </c>
      <c r="C1068" s="26" t="s">
        <v>1647</v>
      </c>
      <c r="D1068" s="27">
        <v>1</v>
      </c>
      <c r="E1068" s="27">
        <v>389</v>
      </c>
      <c r="F1068" s="27">
        <v>0</v>
      </c>
      <c r="G1068" s="27">
        <v>0</v>
      </c>
      <c r="H1068" s="27">
        <v>389</v>
      </c>
      <c r="I1068" s="27">
        <f>+IFERROR(VLOOKUP(A1068,'[1]Pending Dispatch'!$N$2:$O$651,2,0),0)</f>
        <v>0</v>
      </c>
      <c r="J1068" s="27">
        <f t="shared" si="16"/>
        <v>389</v>
      </c>
      <c r="K1068" s="28">
        <v>5</v>
      </c>
      <c r="L1068" s="28">
        <v>1.9450000000000001</v>
      </c>
      <c r="M1068" s="26">
        <v>1273.33</v>
      </c>
      <c r="N1068" s="26">
        <v>495325.37</v>
      </c>
    </row>
    <row r="1069" spans="1:14" ht="15" customHeight="1" x14ac:dyDescent="0.3">
      <c r="A1069" s="25" t="s">
        <v>1986</v>
      </c>
      <c r="B1069" s="26" t="s">
        <v>1987</v>
      </c>
      <c r="C1069" s="26" t="s">
        <v>1647</v>
      </c>
      <c r="D1069" s="27">
        <v>1</v>
      </c>
      <c r="E1069" s="27">
        <v>0</v>
      </c>
      <c r="F1069" s="27">
        <v>0</v>
      </c>
      <c r="G1069" s="27">
        <v>0</v>
      </c>
      <c r="H1069" s="27">
        <v>0</v>
      </c>
      <c r="I1069" s="27">
        <f>+IFERROR(VLOOKUP(A1069,'[1]Pending Dispatch'!$N$2:$O$651,2,0),0)</f>
        <v>0</v>
      </c>
      <c r="J1069" s="27">
        <f t="shared" si="16"/>
        <v>0</v>
      </c>
      <c r="K1069" s="28">
        <v>6.25</v>
      </c>
      <c r="L1069" s="28">
        <v>0</v>
      </c>
      <c r="M1069" s="26">
        <v>1790</v>
      </c>
      <c r="N1069" s="26">
        <v>0</v>
      </c>
    </row>
    <row r="1070" spans="1:14" ht="15" customHeight="1" x14ac:dyDescent="0.3">
      <c r="A1070" s="25" t="s">
        <v>1988</v>
      </c>
      <c r="B1070" s="26" t="s">
        <v>1989</v>
      </c>
      <c r="C1070" s="26" t="s">
        <v>1647</v>
      </c>
      <c r="D1070" s="27">
        <v>1</v>
      </c>
      <c r="E1070" s="27">
        <v>31</v>
      </c>
      <c r="F1070" s="27">
        <v>0</v>
      </c>
      <c r="G1070" s="27">
        <v>0</v>
      </c>
      <c r="H1070" s="27">
        <v>31</v>
      </c>
      <c r="I1070" s="27">
        <f>+IFERROR(VLOOKUP(A1070,'[1]Pending Dispatch'!$N$2:$O$651,2,0),0)</f>
        <v>0</v>
      </c>
      <c r="J1070" s="27">
        <f t="shared" si="16"/>
        <v>31</v>
      </c>
      <c r="K1070" s="28">
        <v>6.66</v>
      </c>
      <c r="L1070" s="28">
        <v>0.20646</v>
      </c>
      <c r="M1070" s="26">
        <v>1830</v>
      </c>
      <c r="N1070" s="26">
        <v>56730</v>
      </c>
    </row>
    <row r="1071" spans="1:14" ht="15" customHeight="1" x14ac:dyDescent="0.3">
      <c r="A1071" s="25" t="s">
        <v>1990</v>
      </c>
      <c r="B1071" s="26" t="s">
        <v>1991</v>
      </c>
      <c r="C1071" s="26" t="s">
        <v>1647</v>
      </c>
      <c r="D1071" s="27">
        <v>1</v>
      </c>
      <c r="E1071" s="27">
        <v>360</v>
      </c>
      <c r="F1071" s="27">
        <v>0</v>
      </c>
      <c r="G1071" s="27">
        <v>0</v>
      </c>
      <c r="H1071" s="27">
        <v>360</v>
      </c>
      <c r="I1071" s="27">
        <f>+IFERROR(VLOOKUP(A1071,'[1]Pending Dispatch'!$N$2:$O$651,2,0),0)</f>
        <v>0</v>
      </c>
      <c r="J1071" s="27">
        <f t="shared" si="16"/>
        <v>360</v>
      </c>
      <c r="K1071" s="28">
        <v>4.3</v>
      </c>
      <c r="L1071" s="28">
        <v>1.548</v>
      </c>
      <c r="M1071" s="26">
        <v>1233.33</v>
      </c>
      <c r="N1071" s="26">
        <v>443998.8</v>
      </c>
    </row>
    <row r="1072" spans="1:14" ht="15" customHeight="1" x14ac:dyDescent="0.3">
      <c r="A1072" s="25" t="s">
        <v>1992</v>
      </c>
      <c r="B1072" s="26" t="s">
        <v>1993</v>
      </c>
      <c r="C1072" s="26" t="s">
        <v>1647</v>
      </c>
      <c r="D1072" s="27">
        <v>1</v>
      </c>
      <c r="E1072" s="27">
        <v>0</v>
      </c>
      <c r="F1072" s="27">
        <v>0</v>
      </c>
      <c r="G1072" s="27">
        <v>0</v>
      </c>
      <c r="H1072" s="27">
        <v>0</v>
      </c>
      <c r="I1072" s="27">
        <f>+IFERROR(VLOOKUP(A1072,'[1]Pending Dispatch'!$N$2:$O$651,2,0),0)</f>
        <v>0</v>
      </c>
      <c r="J1072" s="27">
        <f t="shared" si="16"/>
        <v>0</v>
      </c>
      <c r="K1072" s="28">
        <v>2.75</v>
      </c>
      <c r="L1072" s="28">
        <v>0</v>
      </c>
      <c r="M1072" s="26">
        <v>663.33</v>
      </c>
      <c r="N1072" s="26">
        <v>0</v>
      </c>
    </row>
    <row r="1073" spans="1:14" x14ac:dyDescent="0.3">
      <c r="A1073" s="25" t="s">
        <v>1994</v>
      </c>
      <c r="B1073" s="26" t="s">
        <v>1995</v>
      </c>
      <c r="C1073" s="26" t="s">
        <v>1726</v>
      </c>
      <c r="D1073" s="27">
        <v>1</v>
      </c>
      <c r="E1073" s="27">
        <v>13</v>
      </c>
      <c r="F1073" s="27">
        <v>0</v>
      </c>
      <c r="G1073" s="27">
        <v>0</v>
      </c>
      <c r="H1073" s="27">
        <v>13</v>
      </c>
      <c r="I1073" s="27">
        <f>+IFERROR(VLOOKUP(A1073,'[1]Pending Dispatch'!$N$2:$O$651,2,0),0)</f>
        <v>0</v>
      </c>
      <c r="J1073" s="27">
        <f t="shared" si="16"/>
        <v>13</v>
      </c>
      <c r="K1073" s="28">
        <v>3.9169999999999998</v>
      </c>
      <c r="L1073" s="28">
        <v>5.0921000000000001E-2</v>
      </c>
      <c r="M1073" s="26">
        <v>913.33</v>
      </c>
      <c r="N1073" s="26">
        <v>11873.29</v>
      </c>
    </row>
    <row r="1074" spans="1:14" x14ac:dyDescent="0.3">
      <c r="A1074" s="25" t="s">
        <v>1996</v>
      </c>
      <c r="B1074" s="26" t="s">
        <v>1997</v>
      </c>
      <c r="C1074" s="26" t="s">
        <v>1647</v>
      </c>
      <c r="D1074" s="27">
        <v>1</v>
      </c>
      <c r="E1074" s="27">
        <v>0</v>
      </c>
      <c r="F1074" s="27">
        <v>0</v>
      </c>
      <c r="G1074" s="27">
        <v>0</v>
      </c>
      <c r="H1074" s="27">
        <v>0</v>
      </c>
      <c r="I1074" s="27">
        <f>+IFERROR(VLOOKUP(A1074,'[1]Pending Dispatch'!$N$2:$O$651,2,0),0)</f>
        <v>0</v>
      </c>
      <c r="J1074" s="27">
        <f t="shared" si="16"/>
        <v>0</v>
      </c>
      <c r="K1074" s="28">
        <v>3.1</v>
      </c>
      <c r="L1074" s="28">
        <v>0</v>
      </c>
      <c r="M1074" s="26">
        <v>748</v>
      </c>
      <c r="N1074" s="26">
        <v>0</v>
      </c>
    </row>
    <row r="1075" spans="1:14" x14ac:dyDescent="0.3">
      <c r="A1075" s="25" t="s">
        <v>1998</v>
      </c>
      <c r="B1075" s="26" t="s">
        <v>1999</v>
      </c>
      <c r="C1075" s="26" t="s">
        <v>1647</v>
      </c>
      <c r="D1075" s="27">
        <v>1</v>
      </c>
      <c r="E1075" s="27">
        <v>74</v>
      </c>
      <c r="F1075" s="27">
        <v>0</v>
      </c>
      <c r="G1075" s="27">
        <v>0</v>
      </c>
      <c r="H1075" s="27">
        <v>74</v>
      </c>
      <c r="I1075" s="27">
        <f>+IFERROR(VLOOKUP(A1075,'[1]Pending Dispatch'!$N$2:$O$651,2,0),0)</f>
        <v>0</v>
      </c>
      <c r="J1075" s="27">
        <f t="shared" si="16"/>
        <v>74</v>
      </c>
      <c r="K1075" s="28">
        <v>4</v>
      </c>
      <c r="L1075" s="28">
        <v>0.24</v>
      </c>
      <c r="M1075" s="26">
        <v>1098</v>
      </c>
      <c r="N1075" s="26">
        <v>81252</v>
      </c>
    </row>
    <row r="1076" spans="1:14" x14ac:dyDescent="0.3">
      <c r="A1076" s="25" t="s">
        <v>2000</v>
      </c>
      <c r="B1076" s="26" t="s">
        <v>2001</v>
      </c>
      <c r="C1076" s="26" t="s">
        <v>1172</v>
      </c>
      <c r="D1076" s="27">
        <v>1</v>
      </c>
      <c r="E1076" s="27">
        <v>65</v>
      </c>
      <c r="F1076" s="27">
        <v>0</v>
      </c>
      <c r="G1076" s="27">
        <v>0</v>
      </c>
      <c r="H1076" s="27">
        <v>65</v>
      </c>
      <c r="I1076" s="27">
        <f>+IFERROR(VLOOKUP(A1076,'[1]Pending Dispatch'!$N$2:$O$651,2,0),0)</f>
        <v>0</v>
      </c>
      <c r="J1076" s="27">
        <f t="shared" si="16"/>
        <v>65</v>
      </c>
      <c r="K1076" s="28">
        <v>3.1</v>
      </c>
      <c r="L1076" s="28">
        <v>0.20150000000000001</v>
      </c>
      <c r="M1076" s="26">
        <v>0</v>
      </c>
      <c r="N1076" s="26">
        <v>0</v>
      </c>
    </row>
    <row r="1077" spans="1:14" x14ac:dyDescent="0.3">
      <c r="A1077" s="25" t="s">
        <v>2002</v>
      </c>
      <c r="B1077" s="26" t="s">
        <v>2001</v>
      </c>
      <c r="C1077" s="26" t="s">
        <v>1172</v>
      </c>
      <c r="D1077" s="27">
        <v>1</v>
      </c>
      <c r="E1077" s="27">
        <v>36</v>
      </c>
      <c r="F1077" s="27">
        <v>0</v>
      </c>
      <c r="G1077" s="27">
        <v>0</v>
      </c>
      <c r="H1077" s="27">
        <v>36</v>
      </c>
      <c r="I1077" s="27">
        <f>+IFERROR(VLOOKUP(A1077,'[1]Pending Dispatch'!$N$2:$O$651,2,0),0)</f>
        <v>0</v>
      </c>
      <c r="J1077" s="27">
        <f t="shared" si="16"/>
        <v>36</v>
      </c>
      <c r="K1077" s="28">
        <v>4.5999999999999996</v>
      </c>
      <c r="L1077" s="28">
        <v>0.1656</v>
      </c>
      <c r="M1077" s="26">
        <v>0</v>
      </c>
      <c r="N1077" s="26">
        <v>0</v>
      </c>
    </row>
    <row r="1078" spans="1:14" x14ac:dyDescent="0.3">
      <c r="A1078" s="25" t="s">
        <v>2003</v>
      </c>
      <c r="B1078" s="26" t="s">
        <v>2004</v>
      </c>
      <c r="C1078" s="26" t="s">
        <v>1647</v>
      </c>
      <c r="D1078" s="27">
        <v>1</v>
      </c>
      <c r="E1078" s="27">
        <v>173</v>
      </c>
      <c r="F1078" s="27">
        <v>0</v>
      </c>
      <c r="G1078" s="27">
        <v>5</v>
      </c>
      <c r="H1078" s="27">
        <v>168</v>
      </c>
      <c r="I1078" s="27">
        <f>+IFERROR(VLOOKUP(A1078,'[1]Pending Dispatch'!$N$2:$O$651,2,0),0)</f>
        <v>0</v>
      </c>
      <c r="J1078" s="27">
        <f t="shared" si="16"/>
        <v>168</v>
      </c>
      <c r="K1078" s="28">
        <v>2.35</v>
      </c>
      <c r="L1078" s="28">
        <v>0.40655000000000002</v>
      </c>
      <c r="M1078" s="26">
        <v>548</v>
      </c>
      <c r="N1078" s="26">
        <v>92064</v>
      </c>
    </row>
    <row r="1079" spans="1:14" x14ac:dyDescent="0.3">
      <c r="A1079" s="25" t="s">
        <v>2005</v>
      </c>
      <c r="B1079" s="26" t="s">
        <v>2006</v>
      </c>
      <c r="C1079" s="26" t="s">
        <v>87</v>
      </c>
      <c r="D1079" s="27">
        <v>5</v>
      </c>
      <c r="E1079" s="27">
        <v>149</v>
      </c>
      <c r="F1079" s="27">
        <v>5</v>
      </c>
      <c r="G1079" s="27">
        <v>0</v>
      </c>
      <c r="H1079" s="27">
        <v>154</v>
      </c>
      <c r="I1079" s="27">
        <f>+IFERROR(VLOOKUP(A1079,'[1]Pending Dispatch'!$N$2:$O$651,2,0),0)</f>
        <v>0</v>
      </c>
      <c r="J1079" s="27">
        <f t="shared" si="16"/>
        <v>154</v>
      </c>
      <c r="K1079" s="28">
        <v>0.83799999999999997</v>
      </c>
      <c r="L1079" s="28">
        <v>0.124862</v>
      </c>
      <c r="M1079" s="26">
        <v>1280</v>
      </c>
      <c r="N1079" s="26">
        <v>197120</v>
      </c>
    </row>
    <row r="1080" spans="1:14" x14ac:dyDescent="0.3">
      <c r="A1080" s="25" t="s">
        <v>2007</v>
      </c>
      <c r="B1080" s="26" t="s">
        <v>2008</v>
      </c>
      <c r="C1080" s="26" t="s">
        <v>87</v>
      </c>
      <c r="D1080" s="27">
        <v>6</v>
      </c>
      <c r="E1080" s="27">
        <v>98</v>
      </c>
      <c r="F1080" s="27">
        <v>3</v>
      </c>
      <c r="G1080" s="27">
        <v>6</v>
      </c>
      <c r="H1080" s="27">
        <v>95</v>
      </c>
      <c r="I1080" s="27">
        <f>+IFERROR(VLOOKUP(A1080,'[1]Pending Dispatch'!$N$2:$O$651,2,0),0)</f>
        <v>0</v>
      </c>
      <c r="J1080" s="27">
        <f t="shared" si="16"/>
        <v>95</v>
      </c>
      <c r="K1080" s="28">
        <v>1.425</v>
      </c>
      <c r="L1080" s="28">
        <v>0.17100000000000001</v>
      </c>
      <c r="M1080" s="26">
        <v>1780</v>
      </c>
      <c r="N1080" s="26">
        <v>169100</v>
      </c>
    </row>
    <row r="1081" spans="1:14" x14ac:dyDescent="0.3">
      <c r="A1081" s="25" t="s">
        <v>2009</v>
      </c>
      <c r="B1081" s="26" t="s">
        <v>2010</v>
      </c>
      <c r="C1081" s="26" t="s">
        <v>1647</v>
      </c>
      <c r="D1081" s="27">
        <v>1</v>
      </c>
      <c r="E1081" s="27">
        <v>0</v>
      </c>
      <c r="F1081" s="27">
        <v>0</v>
      </c>
      <c r="G1081" s="27">
        <v>0</v>
      </c>
      <c r="H1081" s="27">
        <v>0</v>
      </c>
      <c r="I1081" s="27">
        <f>+IFERROR(VLOOKUP(A1081,'[1]Pending Dispatch'!$N$2:$O$651,2,0),0)</f>
        <v>0</v>
      </c>
      <c r="J1081" s="27">
        <f t="shared" si="16"/>
        <v>0</v>
      </c>
      <c r="K1081" s="28">
        <v>13.44</v>
      </c>
      <c r="L1081" s="28">
        <v>0</v>
      </c>
      <c r="M1081" s="26">
        <v>3684</v>
      </c>
      <c r="N1081" s="26">
        <v>0</v>
      </c>
    </row>
    <row r="1082" spans="1:14" x14ac:dyDescent="0.3">
      <c r="A1082" s="25" t="s">
        <v>2011</v>
      </c>
      <c r="B1082" s="26" t="s">
        <v>2012</v>
      </c>
      <c r="C1082" s="26" t="s">
        <v>1647</v>
      </c>
      <c r="D1082" s="27">
        <v>1</v>
      </c>
      <c r="E1082" s="27">
        <v>0</v>
      </c>
      <c r="F1082" s="27">
        <v>0</v>
      </c>
      <c r="G1082" s="27">
        <v>0</v>
      </c>
      <c r="H1082" s="27">
        <v>0</v>
      </c>
      <c r="I1082" s="27">
        <f>+IFERROR(VLOOKUP(A1082,'[1]Pending Dispatch'!$N$2:$O$651,2,0),0)</f>
        <v>0</v>
      </c>
      <c r="J1082" s="27">
        <f t="shared" si="16"/>
        <v>0</v>
      </c>
      <c r="K1082" s="28">
        <v>9</v>
      </c>
      <c r="L1082" s="28">
        <v>0</v>
      </c>
      <c r="M1082" s="26">
        <v>2395</v>
      </c>
      <c r="N1082" s="26">
        <v>0</v>
      </c>
    </row>
    <row r="1083" spans="1:14" ht="14.4" x14ac:dyDescent="0.3">
      <c r="A1083" s="38" t="s">
        <v>2013</v>
      </c>
      <c r="B1083" s="44" t="s">
        <v>2014</v>
      </c>
      <c r="C1083" s="26" t="s">
        <v>87</v>
      </c>
      <c r="D1083" s="27">
        <v>10</v>
      </c>
      <c r="E1083" s="27">
        <v>125</v>
      </c>
      <c r="F1083" s="27">
        <v>0</v>
      </c>
      <c r="G1083" s="27">
        <v>32</v>
      </c>
      <c r="H1083" s="27">
        <v>93</v>
      </c>
      <c r="I1083" s="27">
        <f>+IFERROR(VLOOKUP(A1083,'[1]Pending Dispatch'!$N$2:$O$651,2,0),0)</f>
        <v>0</v>
      </c>
      <c r="J1083" s="27">
        <f t="shared" si="16"/>
        <v>93</v>
      </c>
      <c r="K1083" s="28">
        <v>0.91900000000000004</v>
      </c>
      <c r="L1083" s="28">
        <v>0.114875</v>
      </c>
      <c r="M1083" s="26">
        <v>1184</v>
      </c>
      <c r="N1083" s="26">
        <v>110112</v>
      </c>
    </row>
    <row r="1084" spans="1:14" ht="14.4" x14ac:dyDescent="0.3">
      <c r="A1084" s="38" t="s">
        <v>2015</v>
      </c>
      <c r="B1084" s="44" t="s">
        <v>2016</v>
      </c>
      <c r="C1084" s="26" t="s">
        <v>1647</v>
      </c>
      <c r="D1084" s="27">
        <v>1</v>
      </c>
      <c r="E1084" s="27">
        <v>0</v>
      </c>
      <c r="F1084" s="27">
        <v>0</v>
      </c>
      <c r="G1084" s="27">
        <v>0</v>
      </c>
      <c r="H1084" s="27">
        <v>0</v>
      </c>
      <c r="I1084" s="27">
        <f>+IFERROR(VLOOKUP(A1084,'[1]Pending Dispatch'!$N$2:$O$651,2,0),0)</f>
        <v>0</v>
      </c>
      <c r="J1084" s="27">
        <f t="shared" si="16"/>
        <v>0</v>
      </c>
      <c r="K1084" s="28">
        <v>1.78</v>
      </c>
      <c r="L1084" s="28">
        <v>0</v>
      </c>
      <c r="M1084" s="26">
        <v>495</v>
      </c>
      <c r="N1084" s="26">
        <v>0</v>
      </c>
    </row>
    <row r="1085" spans="1:14" ht="14.4" x14ac:dyDescent="0.3">
      <c r="A1085" s="38" t="s">
        <v>2017</v>
      </c>
      <c r="B1085" s="25" t="s">
        <v>2018</v>
      </c>
      <c r="C1085" s="26" t="s">
        <v>1647</v>
      </c>
      <c r="D1085" s="27">
        <v>0</v>
      </c>
      <c r="E1085" s="27">
        <v>0</v>
      </c>
      <c r="F1085" s="27">
        <v>0</v>
      </c>
      <c r="G1085" s="27">
        <v>0</v>
      </c>
      <c r="H1085" s="27">
        <v>0</v>
      </c>
      <c r="I1085" s="27">
        <f>+IFERROR(VLOOKUP(A1085,'[1]Pending Dispatch'!$N$2:$O$651,2,0),0)</f>
        <v>0</v>
      </c>
      <c r="J1085" s="27">
        <f t="shared" si="16"/>
        <v>0</v>
      </c>
      <c r="K1085" s="28">
        <v>0</v>
      </c>
      <c r="L1085" s="28">
        <v>0</v>
      </c>
      <c r="M1085" s="26">
        <v>684</v>
      </c>
      <c r="N1085" s="26">
        <v>0</v>
      </c>
    </row>
    <row r="1086" spans="1:14" ht="14.4" x14ac:dyDescent="0.3">
      <c r="A1086" s="38" t="s">
        <v>2019</v>
      </c>
      <c r="B1086" s="25" t="s">
        <v>2020</v>
      </c>
      <c r="C1086" s="26" t="s">
        <v>87</v>
      </c>
      <c r="D1086" s="27">
        <v>8</v>
      </c>
      <c r="E1086" s="27">
        <v>57</v>
      </c>
      <c r="F1086" s="27">
        <v>0</v>
      </c>
      <c r="G1086" s="27">
        <v>0</v>
      </c>
      <c r="H1086" s="27">
        <v>57</v>
      </c>
      <c r="I1086" s="27">
        <f>+IFERROR(VLOOKUP(A1086,'[1]Pending Dispatch'!$N$2:$O$651,2,0),0)</f>
        <v>0</v>
      </c>
      <c r="J1086" s="27">
        <f t="shared" si="16"/>
        <v>57</v>
      </c>
      <c r="K1086" s="28">
        <v>0.96399999999999997</v>
      </c>
      <c r="L1086" s="28">
        <v>5.4948000000000004E-2</v>
      </c>
      <c r="M1086" s="26">
        <v>2170</v>
      </c>
      <c r="N1086" s="26">
        <v>123690</v>
      </c>
    </row>
    <row r="1087" spans="1:14" ht="14.4" x14ac:dyDescent="0.3">
      <c r="A1087" s="38" t="s">
        <v>2021</v>
      </c>
      <c r="B1087" s="44" t="s">
        <v>1705</v>
      </c>
      <c r="C1087" s="26" t="s">
        <v>1647</v>
      </c>
      <c r="D1087" s="27">
        <v>1</v>
      </c>
      <c r="E1087" s="27">
        <v>2705</v>
      </c>
      <c r="F1087" s="27">
        <v>0</v>
      </c>
      <c r="G1087" s="27">
        <v>40</v>
      </c>
      <c r="H1087" s="27">
        <v>2665</v>
      </c>
      <c r="I1087" s="27">
        <f>+IFERROR(VLOOKUP(A1087,'[1]Pending Dispatch'!$N$2:$O$651,2,0),0)</f>
        <v>360</v>
      </c>
      <c r="J1087" s="27">
        <f t="shared" si="16"/>
        <v>2305</v>
      </c>
      <c r="K1087" s="28">
        <v>1.64</v>
      </c>
      <c r="L1087" s="28">
        <v>5.4119999999999999</v>
      </c>
      <c r="M1087" s="26">
        <v>448</v>
      </c>
      <c r="N1087" s="26">
        <v>1032640</v>
      </c>
    </row>
    <row r="1088" spans="1:14" ht="14.4" x14ac:dyDescent="0.3">
      <c r="A1088" s="38" t="s">
        <v>2022</v>
      </c>
      <c r="B1088" s="44" t="s">
        <v>1703</v>
      </c>
      <c r="C1088" s="26" t="s">
        <v>1647</v>
      </c>
      <c r="D1088" s="27">
        <v>1</v>
      </c>
      <c r="E1088" s="27">
        <v>92</v>
      </c>
      <c r="F1088" s="27">
        <v>0</v>
      </c>
      <c r="G1088" s="27">
        <v>0</v>
      </c>
      <c r="H1088" s="27">
        <v>92</v>
      </c>
      <c r="I1088" s="27">
        <f>+IFERROR(VLOOKUP(A1088,'[1]Pending Dispatch'!$N$2:$O$651,2,0),0)</f>
        <v>0</v>
      </c>
      <c r="J1088" s="27">
        <f t="shared" si="16"/>
        <v>92</v>
      </c>
      <c r="K1088" s="28">
        <v>1.01</v>
      </c>
      <c r="L1088" s="28">
        <v>0.29492000000000002</v>
      </c>
      <c r="M1088" s="26">
        <v>284</v>
      </c>
      <c r="N1088" s="26">
        <v>26128</v>
      </c>
    </row>
    <row r="1089" spans="1:14" ht="14.4" x14ac:dyDescent="0.3">
      <c r="A1089" s="38" t="s">
        <v>2023</v>
      </c>
      <c r="B1089" s="44" t="s">
        <v>1095</v>
      </c>
      <c r="C1089" s="26" t="s">
        <v>87</v>
      </c>
      <c r="D1089" s="27">
        <v>4</v>
      </c>
      <c r="E1089" s="27">
        <v>110</v>
      </c>
      <c r="F1089" s="27">
        <v>0</v>
      </c>
      <c r="G1089" s="27">
        <v>0</v>
      </c>
      <c r="H1089" s="27">
        <v>110</v>
      </c>
      <c r="I1089" s="27">
        <f>+IFERROR(VLOOKUP(A1089,'[1]Pending Dispatch'!$N$2:$O$651,2,0),0)</f>
        <v>0</v>
      </c>
      <c r="J1089" s="27">
        <f t="shared" si="16"/>
        <v>110</v>
      </c>
      <c r="K1089" s="28">
        <v>0</v>
      </c>
      <c r="L1089" s="28">
        <v>0</v>
      </c>
      <c r="M1089" s="26">
        <v>1898</v>
      </c>
      <c r="N1089" s="26">
        <v>208780</v>
      </c>
    </row>
    <row r="1090" spans="1:14" ht="14.4" x14ac:dyDescent="0.3">
      <c r="A1090" s="38" t="s">
        <v>2024</v>
      </c>
      <c r="B1090" s="44" t="s">
        <v>2025</v>
      </c>
      <c r="C1090" s="26" t="s">
        <v>1647</v>
      </c>
      <c r="D1090" s="27">
        <v>1</v>
      </c>
      <c r="E1090" s="27">
        <v>0</v>
      </c>
      <c r="F1090" s="27">
        <v>0</v>
      </c>
      <c r="G1090" s="27">
        <v>0</v>
      </c>
      <c r="H1090" s="27">
        <v>0</v>
      </c>
      <c r="I1090" s="27">
        <f>+IFERROR(VLOOKUP(A1090,'[1]Pending Dispatch'!$N$2:$O$651,2,0),0)</f>
        <v>0</v>
      </c>
      <c r="J1090" s="27">
        <f t="shared" si="16"/>
        <v>0</v>
      </c>
      <c r="K1090" s="28">
        <v>0.62</v>
      </c>
      <c r="L1090" s="28">
        <v>0</v>
      </c>
      <c r="M1090" s="26">
        <v>222</v>
      </c>
      <c r="N1090" s="26">
        <v>0</v>
      </c>
    </row>
    <row r="1091" spans="1:14" ht="14.4" x14ac:dyDescent="0.3">
      <c r="A1091" s="38" t="s">
        <v>2026</v>
      </c>
      <c r="B1091" s="44" t="s">
        <v>2027</v>
      </c>
      <c r="C1091" s="26" t="s">
        <v>1647</v>
      </c>
      <c r="D1091" s="27">
        <v>1</v>
      </c>
      <c r="E1091" s="27">
        <v>0</v>
      </c>
      <c r="F1091" s="27">
        <v>0</v>
      </c>
      <c r="G1091" s="27">
        <v>0</v>
      </c>
      <c r="H1091" s="27">
        <v>0</v>
      </c>
      <c r="I1091" s="27">
        <f>+IFERROR(VLOOKUP(A1091,'[1]Pending Dispatch'!$N$2:$O$651,2,0),0)</f>
        <v>0</v>
      </c>
      <c r="J1091" s="27">
        <f t="shared" si="16"/>
        <v>0</v>
      </c>
      <c r="K1091" s="28">
        <v>0</v>
      </c>
      <c r="L1091" s="28">
        <v>0</v>
      </c>
      <c r="M1091" s="26">
        <v>2445</v>
      </c>
      <c r="N1091" s="26">
        <v>0</v>
      </c>
    </row>
    <row r="1092" spans="1:14" ht="14.4" x14ac:dyDescent="0.3">
      <c r="A1092" s="38" t="s">
        <v>2028</v>
      </c>
      <c r="B1092" s="44" t="s">
        <v>2029</v>
      </c>
      <c r="C1092" s="26" t="s">
        <v>1726</v>
      </c>
      <c r="D1092" s="27">
        <v>75</v>
      </c>
      <c r="E1092" s="27">
        <v>608</v>
      </c>
      <c r="F1092" s="27">
        <v>0</v>
      </c>
      <c r="G1092" s="27">
        <v>155</v>
      </c>
      <c r="H1092" s="27">
        <v>453</v>
      </c>
      <c r="I1092" s="27">
        <f>+IFERROR(VLOOKUP(A1092,'[1]Pending Dispatch'!$N$2:$O$651,2,0),0)</f>
        <v>825</v>
      </c>
      <c r="J1092" s="27">
        <f t="shared" si="16"/>
        <v>-372</v>
      </c>
      <c r="K1092" s="28">
        <v>0.12</v>
      </c>
      <c r="L1092" s="28">
        <v>0.12996000000000002</v>
      </c>
      <c r="M1092" s="26">
        <v>0</v>
      </c>
      <c r="N1092" s="26">
        <v>0</v>
      </c>
    </row>
    <row r="1093" spans="1:14" ht="14.4" x14ac:dyDescent="0.3">
      <c r="A1093" s="44" t="s">
        <v>2030</v>
      </c>
      <c r="B1093" s="44" t="s">
        <v>2031</v>
      </c>
      <c r="C1093" s="26" t="s">
        <v>1726</v>
      </c>
      <c r="D1093" s="27">
        <v>150</v>
      </c>
      <c r="E1093" s="27">
        <v>781</v>
      </c>
      <c r="F1093" s="27">
        <v>750</v>
      </c>
      <c r="G1093" s="27">
        <v>1200</v>
      </c>
      <c r="H1093" s="27">
        <v>331</v>
      </c>
      <c r="I1093" s="27">
        <f>+IFERROR(VLOOKUP(A1093,'[1]Pending Dispatch'!$N$2:$O$651,2,0),0)</f>
        <v>2250</v>
      </c>
      <c r="J1093" s="27">
        <f t="shared" si="16"/>
        <v>-1919</v>
      </c>
      <c r="K1093" s="28">
        <v>7.0000000000000007E-2</v>
      </c>
      <c r="L1093" s="28">
        <v>3.227E-2</v>
      </c>
      <c r="M1093" s="26">
        <v>0</v>
      </c>
      <c r="N1093" s="26">
        <v>0</v>
      </c>
    </row>
    <row r="1094" spans="1:14" ht="14.4" x14ac:dyDescent="0.3">
      <c r="A1094" s="44" t="s">
        <v>2032</v>
      </c>
      <c r="B1094" s="44" t="s">
        <v>2033</v>
      </c>
      <c r="C1094" s="26" t="s">
        <v>1726</v>
      </c>
      <c r="D1094" s="27">
        <v>50</v>
      </c>
      <c r="E1094" s="27">
        <v>541</v>
      </c>
      <c r="F1094" s="27">
        <v>0</v>
      </c>
      <c r="G1094" s="27">
        <v>10</v>
      </c>
      <c r="H1094" s="27">
        <v>531</v>
      </c>
      <c r="I1094" s="27">
        <f>+IFERROR(VLOOKUP(A1094,'[1]Pending Dispatch'!$N$2:$O$651,2,0),0)</f>
        <v>0</v>
      </c>
      <c r="J1094" s="27">
        <f t="shared" ref="J1094:J1157" si="17">+H1094-I1094</f>
        <v>531</v>
      </c>
      <c r="K1094" s="28">
        <v>0.17299999999999999</v>
      </c>
      <c r="L1094" s="28">
        <v>0.17144299999999998</v>
      </c>
      <c r="M1094" s="26">
        <v>0</v>
      </c>
      <c r="N1094" s="26">
        <v>0</v>
      </c>
    </row>
    <row r="1095" spans="1:14" ht="14.4" x14ac:dyDescent="0.3">
      <c r="A1095" s="38" t="s">
        <v>2034</v>
      </c>
      <c r="B1095" s="44" t="s">
        <v>2035</v>
      </c>
      <c r="C1095" s="26" t="s">
        <v>666</v>
      </c>
      <c r="D1095" s="27">
        <v>100</v>
      </c>
      <c r="E1095" s="27">
        <v>0</v>
      </c>
      <c r="F1095" s="27">
        <v>0</v>
      </c>
      <c r="G1095" s="27">
        <v>0</v>
      </c>
      <c r="H1095" s="27">
        <v>0</v>
      </c>
      <c r="I1095" s="27">
        <f>+IFERROR(VLOOKUP(A1095,'[1]Pending Dispatch'!$N$2:$O$651,2,0),0)</f>
        <v>200</v>
      </c>
      <c r="J1095" s="27">
        <f t="shared" si="17"/>
        <v>-200</v>
      </c>
      <c r="K1095" s="28">
        <v>0.14705000000000001</v>
      </c>
      <c r="L1095" s="28">
        <v>0</v>
      </c>
      <c r="M1095" s="26">
        <v>80.599999999999994</v>
      </c>
      <c r="N1095" s="26">
        <v>-16119.999999999998</v>
      </c>
    </row>
    <row r="1096" spans="1:14" ht="14.4" x14ac:dyDescent="0.3">
      <c r="A1096" s="38" t="s">
        <v>2036</v>
      </c>
      <c r="B1096" s="44" t="s">
        <v>2037</v>
      </c>
      <c r="C1096" s="26" t="s">
        <v>1726</v>
      </c>
      <c r="D1096" s="27">
        <v>125</v>
      </c>
      <c r="E1096" s="27">
        <v>1671</v>
      </c>
      <c r="F1096" s="27">
        <v>0</v>
      </c>
      <c r="G1096" s="27">
        <v>250</v>
      </c>
      <c r="H1096" s="27">
        <v>1421</v>
      </c>
      <c r="I1096" s="27">
        <f>+IFERROR(VLOOKUP(A1096,'[1]Pending Dispatch'!$N$2:$O$651,2,0),0)</f>
        <v>250</v>
      </c>
      <c r="J1096" s="27">
        <f t="shared" si="17"/>
        <v>1171</v>
      </c>
      <c r="K1096" s="28">
        <v>7.0000000000000007E-2</v>
      </c>
      <c r="L1096" s="28">
        <v>1.3720000000000001E-2</v>
      </c>
      <c r="M1096" s="26">
        <v>38.4</v>
      </c>
      <c r="N1096" s="26">
        <v>44966.400000000001</v>
      </c>
    </row>
    <row r="1097" spans="1:14" ht="14.4" x14ac:dyDescent="0.3">
      <c r="A1097" s="38" t="s">
        <v>2038</v>
      </c>
      <c r="B1097" s="44" t="s">
        <v>2039</v>
      </c>
      <c r="C1097" s="26" t="s">
        <v>1726</v>
      </c>
      <c r="D1097" s="27">
        <v>50</v>
      </c>
      <c r="E1097" s="27">
        <v>649</v>
      </c>
      <c r="F1097" s="27">
        <v>0</v>
      </c>
      <c r="G1097" s="27">
        <v>350</v>
      </c>
      <c r="H1097" s="27">
        <v>299</v>
      </c>
      <c r="I1097" s="27">
        <f>+IFERROR(VLOOKUP(A1097,'[1]Pending Dispatch'!$N$2:$O$651,2,0),0)</f>
        <v>350</v>
      </c>
      <c r="J1097" s="27">
        <f t="shared" si="17"/>
        <v>-51</v>
      </c>
      <c r="K1097" s="28">
        <v>0.13</v>
      </c>
      <c r="L1097" s="28">
        <v>0.31356000000000001</v>
      </c>
      <c r="M1097" s="26">
        <v>71.400000000000006</v>
      </c>
      <c r="N1097" s="26">
        <v>-3641.4</v>
      </c>
    </row>
    <row r="1098" spans="1:14" ht="14.4" x14ac:dyDescent="0.3">
      <c r="A1098" s="38" t="s">
        <v>2040</v>
      </c>
      <c r="B1098" s="44" t="s">
        <v>2041</v>
      </c>
      <c r="C1098" s="26" t="s">
        <v>1726</v>
      </c>
      <c r="D1098" s="27">
        <v>35</v>
      </c>
      <c r="E1098" s="27">
        <v>1102</v>
      </c>
      <c r="F1098" s="27">
        <v>0</v>
      </c>
      <c r="G1098" s="27">
        <v>210</v>
      </c>
      <c r="H1098" s="27">
        <v>892</v>
      </c>
      <c r="I1098" s="27">
        <f>+IFERROR(VLOOKUP(A1098,'[1]Pending Dispatch'!$N$2:$O$651,2,0),0)</f>
        <v>140</v>
      </c>
      <c r="J1098" s="27">
        <f t="shared" si="17"/>
        <v>752</v>
      </c>
      <c r="K1098" s="28">
        <v>0.17699999999999999</v>
      </c>
      <c r="L1098" s="28">
        <v>7.7348999999999987E-2</v>
      </c>
      <c r="M1098" s="26">
        <v>96.2</v>
      </c>
      <c r="N1098" s="26">
        <v>72342.400000000009</v>
      </c>
    </row>
    <row r="1099" spans="1:14" ht="14.4" x14ac:dyDescent="0.3">
      <c r="A1099" s="38" t="s">
        <v>2042</v>
      </c>
      <c r="B1099" s="44" t="s">
        <v>2043</v>
      </c>
      <c r="C1099" s="26" t="s">
        <v>1726</v>
      </c>
      <c r="D1099" s="27">
        <v>55</v>
      </c>
      <c r="E1099" s="27">
        <v>1114</v>
      </c>
      <c r="F1099" s="27">
        <v>0</v>
      </c>
      <c r="G1099" s="27">
        <v>776</v>
      </c>
      <c r="H1099" s="27">
        <v>338</v>
      </c>
      <c r="I1099" s="27">
        <f>+IFERROR(VLOOKUP(A1099,'[1]Pending Dispatch'!$N$2:$O$651,2,0),0)</f>
        <v>165</v>
      </c>
      <c r="J1099" s="27">
        <f t="shared" si="17"/>
        <v>173</v>
      </c>
      <c r="K1099" s="28">
        <v>0.122</v>
      </c>
      <c r="L1099" s="28">
        <v>5.1118000000000004E-2</v>
      </c>
      <c r="M1099" s="26">
        <v>66</v>
      </c>
      <c r="N1099" s="26">
        <v>11418</v>
      </c>
    </row>
    <row r="1100" spans="1:14" ht="14.4" x14ac:dyDescent="0.3">
      <c r="A1100" s="38" t="s">
        <v>2044</v>
      </c>
      <c r="B1100" s="44" t="s">
        <v>2045</v>
      </c>
      <c r="C1100" s="26" t="s">
        <v>1726</v>
      </c>
      <c r="D1100" s="27">
        <v>60</v>
      </c>
      <c r="E1100" s="27">
        <v>353</v>
      </c>
      <c r="F1100" s="27">
        <v>0</v>
      </c>
      <c r="G1100" s="27">
        <v>2</v>
      </c>
      <c r="H1100" s="27">
        <v>351</v>
      </c>
      <c r="I1100" s="27">
        <f>+IFERROR(VLOOKUP(A1100,'[1]Pending Dispatch'!$N$2:$O$651,2,0),0)</f>
        <v>120</v>
      </c>
      <c r="J1100" s="27">
        <f t="shared" si="17"/>
        <v>231</v>
      </c>
      <c r="K1100" s="28">
        <v>0.11</v>
      </c>
      <c r="L1100" s="28">
        <v>0.17083000000000001</v>
      </c>
      <c r="M1100" s="26">
        <v>63.2</v>
      </c>
      <c r="N1100" s="26">
        <v>14599.2</v>
      </c>
    </row>
    <row r="1101" spans="1:14" ht="14.4" x14ac:dyDescent="0.3">
      <c r="A1101" s="38" t="s">
        <v>2046</v>
      </c>
      <c r="B1101" s="44" t="s">
        <v>2047</v>
      </c>
      <c r="C1101" s="26" t="s">
        <v>1726</v>
      </c>
      <c r="D1101" s="27">
        <v>200</v>
      </c>
      <c r="E1101" s="27">
        <v>606</v>
      </c>
      <c r="F1101" s="27">
        <v>0</v>
      </c>
      <c r="G1101" s="27">
        <v>202</v>
      </c>
      <c r="H1101" s="27">
        <v>404</v>
      </c>
      <c r="I1101" s="27">
        <f>+IFERROR(VLOOKUP(A1101,'[1]Pending Dispatch'!$N$2:$O$651,2,0),0)</f>
        <v>0</v>
      </c>
      <c r="J1101" s="27">
        <f t="shared" si="17"/>
        <v>404</v>
      </c>
      <c r="K1101" s="28">
        <v>4.7E-2</v>
      </c>
      <c r="L1101" s="28">
        <v>2.8482E-2</v>
      </c>
      <c r="M1101" s="26">
        <v>27.4</v>
      </c>
      <c r="N1101" s="26">
        <v>11069.599999999999</v>
      </c>
    </row>
    <row r="1102" spans="1:14" ht="14.4" x14ac:dyDescent="0.3">
      <c r="A1102" s="38" t="s">
        <v>2048</v>
      </c>
      <c r="B1102" s="44" t="s">
        <v>2049</v>
      </c>
      <c r="C1102" s="26" t="s">
        <v>1726</v>
      </c>
      <c r="D1102" s="27">
        <v>100</v>
      </c>
      <c r="E1102" s="27">
        <v>1957</v>
      </c>
      <c r="F1102" s="27">
        <v>0</v>
      </c>
      <c r="G1102" s="27">
        <v>2</v>
      </c>
      <c r="H1102" s="27">
        <v>1955</v>
      </c>
      <c r="I1102" s="27">
        <f>+IFERROR(VLOOKUP(A1102,'[1]Pending Dispatch'!$N$2:$O$651,2,0),0)</f>
        <v>400</v>
      </c>
      <c r="J1102" s="27">
        <f t="shared" si="17"/>
        <v>1555</v>
      </c>
      <c r="K1102" s="28">
        <v>8.3000000000000004E-2</v>
      </c>
      <c r="L1102" s="28">
        <v>0.203931</v>
      </c>
      <c r="M1102" s="26">
        <v>46.6</v>
      </c>
      <c r="N1102" s="26">
        <v>72463</v>
      </c>
    </row>
    <row r="1103" spans="1:14" ht="14.4" x14ac:dyDescent="0.3">
      <c r="A1103" s="38" t="s">
        <v>2050</v>
      </c>
      <c r="B1103" s="44" t="s">
        <v>2051</v>
      </c>
      <c r="C1103" s="26" t="s">
        <v>1726</v>
      </c>
      <c r="D1103" s="27">
        <v>120</v>
      </c>
      <c r="E1103" s="27">
        <v>5488</v>
      </c>
      <c r="F1103" s="27">
        <v>0</v>
      </c>
      <c r="G1103" s="27">
        <v>420</v>
      </c>
      <c r="H1103" s="27">
        <v>5068</v>
      </c>
      <c r="I1103" s="27">
        <f>+IFERROR(VLOOKUP(A1103,'[1]Pending Dispatch'!$N$2:$O$651,2,0),0)</f>
        <v>240</v>
      </c>
      <c r="J1103" s="27">
        <f t="shared" si="17"/>
        <v>4828</v>
      </c>
      <c r="K1103" s="28">
        <v>3.4000000000000002E-2</v>
      </c>
      <c r="L1103" s="28">
        <v>3.7162000000000008E-2</v>
      </c>
      <c r="M1103" s="26">
        <v>19.2</v>
      </c>
      <c r="N1103" s="26">
        <v>92697.599999999991</v>
      </c>
    </row>
    <row r="1104" spans="1:14" ht="14.4" x14ac:dyDescent="0.3">
      <c r="A1104" s="46" t="s">
        <v>2052</v>
      </c>
      <c r="B1104" s="47" t="s">
        <v>2053</v>
      </c>
      <c r="C1104" s="34" t="s">
        <v>1726</v>
      </c>
      <c r="D1104" s="35">
        <v>50</v>
      </c>
      <c r="E1104" s="35">
        <v>183</v>
      </c>
      <c r="F1104" s="35">
        <v>1364</v>
      </c>
      <c r="G1104" s="35">
        <v>200</v>
      </c>
      <c r="H1104" s="35">
        <v>1347</v>
      </c>
      <c r="I1104" s="27">
        <f>+IFERROR(VLOOKUP(A1104,'[1]Pending Dispatch'!$N$2:$O$651,2,0),0)</f>
        <v>0</v>
      </c>
      <c r="J1104" s="27">
        <f t="shared" si="17"/>
        <v>1347</v>
      </c>
      <c r="K1104" s="36">
        <v>0.23300000000000001</v>
      </c>
      <c r="L1104" s="36">
        <v>1.1184000000000001E-2</v>
      </c>
      <c r="M1104" s="34">
        <v>129.19999999999999</v>
      </c>
      <c r="N1104" s="34">
        <v>174032.4</v>
      </c>
    </row>
    <row r="1105" spans="1:14" ht="14.4" x14ac:dyDescent="0.3">
      <c r="A1105" s="38" t="s">
        <v>2054</v>
      </c>
      <c r="B1105" s="44" t="s">
        <v>2055</v>
      </c>
      <c r="C1105" s="26" t="s">
        <v>1726</v>
      </c>
      <c r="D1105" s="27">
        <v>100</v>
      </c>
      <c r="E1105" s="27">
        <v>362</v>
      </c>
      <c r="F1105" s="27">
        <v>0</v>
      </c>
      <c r="G1105" s="27">
        <v>300</v>
      </c>
      <c r="H1105" s="27">
        <v>62</v>
      </c>
      <c r="I1105" s="27">
        <f>+IFERROR(VLOOKUP(A1105,'[1]Pending Dispatch'!$N$2:$O$651,2,0),0)</f>
        <v>100</v>
      </c>
      <c r="J1105" s="27">
        <f t="shared" si="17"/>
        <v>-38</v>
      </c>
      <c r="K1105" s="28">
        <v>7.3999999999999996E-2</v>
      </c>
      <c r="L1105" s="28">
        <v>7.6367999999999991E-2</v>
      </c>
      <c r="M1105" s="26">
        <v>41.2</v>
      </c>
      <c r="N1105" s="26">
        <v>10794.400000000001</v>
      </c>
    </row>
    <row r="1106" spans="1:14" ht="14.4" x14ac:dyDescent="0.3">
      <c r="A1106" s="38" t="s">
        <v>2056</v>
      </c>
      <c r="B1106" s="44" t="s">
        <v>2057</v>
      </c>
      <c r="C1106" s="26" t="s">
        <v>1726</v>
      </c>
      <c r="D1106" s="27">
        <v>18</v>
      </c>
      <c r="E1106" s="27">
        <v>2811</v>
      </c>
      <c r="F1106" s="27">
        <v>0</v>
      </c>
      <c r="G1106" s="27">
        <v>199</v>
      </c>
      <c r="H1106" s="27">
        <v>2612</v>
      </c>
      <c r="I1106" s="27">
        <f>+IFERROR(VLOOKUP(A1106,'[1]Pending Dispatch'!$N$2:$O$651,2,0),0)</f>
        <v>144</v>
      </c>
      <c r="J1106" s="27">
        <f t="shared" si="17"/>
        <v>2468</v>
      </c>
      <c r="K1106" s="28">
        <v>0.28899999999999998</v>
      </c>
      <c r="L1106" s="28">
        <v>0.16906499999999999</v>
      </c>
      <c r="M1106" s="26">
        <v>165</v>
      </c>
      <c r="N1106" s="26">
        <v>407220</v>
      </c>
    </row>
    <row r="1107" spans="1:14" ht="14.4" x14ac:dyDescent="0.3">
      <c r="A1107" s="38" t="s">
        <v>2058</v>
      </c>
      <c r="B1107" s="44" t="s">
        <v>2059</v>
      </c>
      <c r="C1107" s="26" t="s">
        <v>87</v>
      </c>
      <c r="D1107" s="27">
        <v>32</v>
      </c>
      <c r="E1107" s="27">
        <v>64</v>
      </c>
      <c r="F1107" s="27">
        <v>96</v>
      </c>
      <c r="G1107" s="27">
        <v>160</v>
      </c>
      <c r="H1107" s="27">
        <v>0</v>
      </c>
      <c r="I1107" s="27">
        <f>+IFERROR(VLOOKUP(A1107,'[1]Pending Dispatch'!$N$2:$O$651,2,0),0)</f>
        <v>0</v>
      </c>
      <c r="J1107" s="27">
        <f t="shared" si="17"/>
        <v>0</v>
      </c>
      <c r="K1107" s="28">
        <v>0</v>
      </c>
      <c r="L1107" s="28">
        <v>0</v>
      </c>
      <c r="M1107" s="26">
        <v>0</v>
      </c>
      <c r="N1107" s="26">
        <v>0</v>
      </c>
    </row>
    <row r="1108" spans="1:14" ht="14.4" x14ac:dyDescent="0.3">
      <c r="A1108" s="38" t="s">
        <v>2060</v>
      </c>
      <c r="B1108" s="44" t="s">
        <v>2061</v>
      </c>
      <c r="C1108" s="26" t="s">
        <v>87</v>
      </c>
      <c r="D1108" s="27">
        <v>32</v>
      </c>
      <c r="E1108" s="27">
        <v>14</v>
      </c>
      <c r="F1108" s="27">
        <v>160</v>
      </c>
      <c r="G1108" s="27">
        <v>160</v>
      </c>
      <c r="H1108" s="27">
        <v>14</v>
      </c>
      <c r="I1108" s="27">
        <f>+IFERROR(VLOOKUP(A1108,'[1]Pending Dispatch'!$N$2:$O$651,2,0),0)</f>
        <v>0</v>
      </c>
      <c r="J1108" s="27">
        <f t="shared" si="17"/>
        <v>14</v>
      </c>
      <c r="K1108" s="28">
        <v>0</v>
      </c>
      <c r="L1108" s="28">
        <v>0</v>
      </c>
      <c r="M1108" s="26">
        <v>0</v>
      </c>
      <c r="N1108" s="26">
        <v>0</v>
      </c>
    </row>
    <row r="1109" spans="1:14" ht="14.4" x14ac:dyDescent="0.3">
      <c r="A1109" s="38" t="s">
        <v>2062</v>
      </c>
      <c r="B1109" s="44" t="s">
        <v>2063</v>
      </c>
      <c r="C1109" s="26" t="s">
        <v>1726</v>
      </c>
      <c r="D1109" s="27">
        <v>25</v>
      </c>
      <c r="E1109" s="27">
        <v>2640</v>
      </c>
      <c r="F1109" s="27">
        <v>0</v>
      </c>
      <c r="G1109" s="27">
        <v>551</v>
      </c>
      <c r="H1109" s="27">
        <v>2089</v>
      </c>
      <c r="I1109" s="27">
        <f>+IFERROR(VLOOKUP(A1109,'[1]Pending Dispatch'!$N$2:$O$651,2,0),0)</f>
        <v>325</v>
      </c>
      <c r="J1109" s="27">
        <f t="shared" si="17"/>
        <v>1764</v>
      </c>
      <c r="K1109" s="28">
        <v>0.21099999999999999</v>
      </c>
      <c r="L1109" s="28">
        <v>9.2840000000000006E-2</v>
      </c>
      <c r="M1109" s="26">
        <v>115.4</v>
      </c>
      <c r="N1109" s="26">
        <v>203565.6</v>
      </c>
    </row>
    <row r="1110" spans="1:14" ht="14.4" x14ac:dyDescent="0.3">
      <c r="A1110" s="38" t="s">
        <v>2064</v>
      </c>
      <c r="B1110" s="44" t="s">
        <v>2065</v>
      </c>
      <c r="C1110" s="26" t="s">
        <v>87</v>
      </c>
      <c r="D1110" s="27">
        <v>32</v>
      </c>
      <c r="E1110" s="27">
        <v>41</v>
      </c>
      <c r="F1110" s="27">
        <v>96</v>
      </c>
      <c r="G1110" s="27">
        <v>128</v>
      </c>
      <c r="H1110" s="27">
        <v>9</v>
      </c>
      <c r="I1110" s="27">
        <f>+IFERROR(VLOOKUP(A1110,'[1]Pending Dispatch'!$N$2:$O$651,2,0),0)</f>
        <v>32</v>
      </c>
      <c r="J1110" s="27">
        <f t="shared" si="17"/>
        <v>-23</v>
      </c>
      <c r="K1110" s="28">
        <v>0</v>
      </c>
      <c r="L1110" s="28">
        <v>0</v>
      </c>
      <c r="M1110" s="26">
        <v>0</v>
      </c>
      <c r="N1110" s="26">
        <v>0</v>
      </c>
    </row>
    <row r="1111" spans="1:14" ht="14.4" x14ac:dyDescent="0.3">
      <c r="A1111" s="38" t="s">
        <v>2066</v>
      </c>
      <c r="B1111" s="44" t="s">
        <v>2067</v>
      </c>
      <c r="C1111" s="26" t="s">
        <v>87</v>
      </c>
      <c r="D1111" s="27">
        <v>32</v>
      </c>
      <c r="E1111" s="27">
        <v>0</v>
      </c>
      <c r="F1111" s="27">
        <v>160</v>
      </c>
      <c r="G1111" s="27">
        <v>160</v>
      </c>
      <c r="H1111" s="27">
        <v>0</v>
      </c>
      <c r="I1111" s="27">
        <f>+IFERROR(VLOOKUP(A1111,'[1]Pending Dispatch'!$N$2:$O$651,2,0),0)</f>
        <v>32</v>
      </c>
      <c r="J1111" s="27">
        <f t="shared" si="17"/>
        <v>-32</v>
      </c>
      <c r="K1111" s="28">
        <v>0</v>
      </c>
      <c r="L1111" s="28">
        <v>0</v>
      </c>
      <c r="M1111" s="26">
        <v>0</v>
      </c>
      <c r="N1111" s="26">
        <v>0</v>
      </c>
    </row>
    <row r="1112" spans="1:14" ht="14.4" x14ac:dyDescent="0.3">
      <c r="A1112" s="38" t="s">
        <v>2068</v>
      </c>
      <c r="B1112" s="44" t="s">
        <v>2069</v>
      </c>
      <c r="C1112" s="44" t="s">
        <v>2070</v>
      </c>
      <c r="D1112" s="27">
        <v>1</v>
      </c>
      <c r="E1112" s="27">
        <v>2</v>
      </c>
      <c r="F1112" s="27">
        <v>0</v>
      </c>
      <c r="G1112" s="27">
        <v>0</v>
      </c>
      <c r="H1112" s="27">
        <v>2</v>
      </c>
      <c r="I1112" s="27">
        <f>+IFERROR(VLOOKUP(A1112,'[1]Pending Dispatch'!$N$2:$O$651,2,0),0)</f>
        <v>0</v>
      </c>
      <c r="J1112" s="27">
        <f t="shared" si="17"/>
        <v>2</v>
      </c>
      <c r="K1112" s="28">
        <v>47.5</v>
      </c>
      <c r="L1112" s="28">
        <v>9.5000000000000001E-2</v>
      </c>
      <c r="M1112" s="26">
        <v>51990</v>
      </c>
      <c r="N1112" s="26">
        <v>103980</v>
      </c>
    </row>
    <row r="1113" spans="1:14" ht="14.4" x14ac:dyDescent="0.3">
      <c r="A1113" s="44" t="s">
        <v>2071</v>
      </c>
      <c r="B1113" s="44" t="s">
        <v>2072</v>
      </c>
      <c r="C1113" s="26" t="s">
        <v>1726</v>
      </c>
      <c r="D1113" s="27">
        <v>18</v>
      </c>
      <c r="E1113" s="27">
        <v>1624</v>
      </c>
      <c r="F1113" s="27">
        <v>0</v>
      </c>
      <c r="G1113" s="27">
        <v>262</v>
      </c>
      <c r="H1113" s="27">
        <v>1362</v>
      </c>
      <c r="I1113" s="27">
        <f>+IFERROR(VLOOKUP(A1113,'[1]Pending Dispatch'!$N$2:$O$651,2,0),0)</f>
        <v>234</v>
      </c>
      <c r="J1113" s="27">
        <f t="shared" si="17"/>
        <v>1128</v>
      </c>
      <c r="K1113" s="28">
        <v>0.28899999999999998</v>
      </c>
      <c r="L1113" s="28">
        <v>6.5313999999999997E-2</v>
      </c>
      <c r="M1113" s="26">
        <v>168.4</v>
      </c>
      <c r="N1113" s="26">
        <v>189113.2</v>
      </c>
    </row>
    <row r="1114" spans="1:14" ht="14.4" x14ac:dyDescent="0.3">
      <c r="A1114" s="44" t="s">
        <v>2073</v>
      </c>
      <c r="B1114" s="44" t="s">
        <v>2074</v>
      </c>
      <c r="C1114" s="26" t="s">
        <v>1726</v>
      </c>
      <c r="D1114" s="27">
        <v>25</v>
      </c>
      <c r="E1114" s="27">
        <v>1541</v>
      </c>
      <c r="F1114" s="27">
        <v>0</v>
      </c>
      <c r="G1114" s="27">
        <v>700</v>
      </c>
      <c r="H1114" s="27">
        <v>841</v>
      </c>
      <c r="I1114" s="27">
        <f>+IFERROR(VLOOKUP(A1114,'[1]Pending Dispatch'!$N$2:$O$651,2,0),0)</f>
        <v>275</v>
      </c>
      <c r="J1114" s="27">
        <f t="shared" si="17"/>
        <v>566</v>
      </c>
      <c r="K1114" s="28">
        <v>0.21099999999999999</v>
      </c>
      <c r="L1114" s="28">
        <v>7.6803999999999997E-2</v>
      </c>
      <c r="M1114" s="26">
        <v>117.4</v>
      </c>
      <c r="N1114" s="26">
        <v>65861.400000000009</v>
      </c>
    </row>
    <row r="1115" spans="1:14" ht="14.4" x14ac:dyDescent="0.3">
      <c r="A1115" s="38" t="s">
        <v>2075</v>
      </c>
      <c r="B1115" s="44" t="s">
        <v>2076</v>
      </c>
      <c r="C1115" s="26" t="s">
        <v>1726</v>
      </c>
      <c r="D1115" s="27">
        <v>35</v>
      </c>
      <c r="E1115" s="27">
        <v>554</v>
      </c>
      <c r="F1115" s="27">
        <v>0</v>
      </c>
      <c r="G1115" s="27">
        <v>35</v>
      </c>
      <c r="H1115" s="27">
        <v>519</v>
      </c>
      <c r="I1115" s="27">
        <f>+IFERROR(VLOOKUP(A1115,'[1]Pending Dispatch'!$N$2:$O$651,2,0),0)</f>
        <v>70</v>
      </c>
      <c r="J1115" s="27">
        <f t="shared" si="17"/>
        <v>449</v>
      </c>
      <c r="K1115" s="28">
        <v>0.17699999999999999</v>
      </c>
      <c r="L1115" s="28">
        <v>0.10602299999999999</v>
      </c>
      <c r="M1115" s="26">
        <v>98.2</v>
      </c>
      <c r="N1115" s="26">
        <v>44091.8</v>
      </c>
    </row>
    <row r="1116" spans="1:14" ht="14.4" x14ac:dyDescent="0.3">
      <c r="A1116" s="38" t="s">
        <v>2077</v>
      </c>
      <c r="B1116" s="48" t="s">
        <v>2078</v>
      </c>
      <c r="C1116" s="26" t="s">
        <v>1726</v>
      </c>
      <c r="D1116" s="27">
        <v>50</v>
      </c>
      <c r="E1116" s="27">
        <v>334</v>
      </c>
      <c r="F1116" s="27">
        <v>0</v>
      </c>
      <c r="G1116" s="27">
        <v>50</v>
      </c>
      <c r="H1116" s="27">
        <v>284</v>
      </c>
      <c r="I1116" s="27">
        <f>+IFERROR(VLOOKUP(A1116,'[1]Pending Dispatch'!$N$2:$O$651,2,0),0)</f>
        <v>350</v>
      </c>
      <c r="J1116" s="27">
        <f t="shared" si="17"/>
        <v>-66</v>
      </c>
      <c r="K1116" s="28">
        <v>0.13</v>
      </c>
      <c r="L1116" s="28">
        <v>5.382E-2</v>
      </c>
      <c r="M1116" s="26">
        <v>72.8</v>
      </c>
      <c r="N1116" s="26">
        <v>-4804.8</v>
      </c>
    </row>
    <row r="1117" spans="1:14" ht="14.4" x14ac:dyDescent="0.3">
      <c r="A1117" s="38" t="s">
        <v>2079</v>
      </c>
      <c r="B1117" s="44" t="s">
        <v>2080</v>
      </c>
      <c r="C1117" s="26" t="s">
        <v>1726</v>
      </c>
      <c r="D1117" s="27">
        <v>55</v>
      </c>
      <c r="E1117" s="27">
        <v>987</v>
      </c>
      <c r="F1117" s="27">
        <v>0</v>
      </c>
      <c r="G1117" s="27">
        <v>210</v>
      </c>
      <c r="H1117" s="27">
        <v>777</v>
      </c>
      <c r="I1117" s="27">
        <f>+IFERROR(VLOOKUP(A1117,'[1]Pending Dispatch'!$N$2:$O$651,2,0),0)</f>
        <v>330</v>
      </c>
      <c r="J1117" s="27">
        <f t="shared" si="17"/>
        <v>447</v>
      </c>
      <c r="K1117" s="28">
        <v>0.28899999999999998</v>
      </c>
      <c r="L1117" s="28">
        <v>7.282799999999999E-2</v>
      </c>
      <c r="M1117" s="26">
        <v>68</v>
      </c>
      <c r="N1117" s="26">
        <v>30396</v>
      </c>
    </row>
    <row r="1118" spans="1:14" ht="14.4" x14ac:dyDescent="0.3">
      <c r="A1118" s="38" t="s">
        <v>2081</v>
      </c>
      <c r="B1118" s="44" t="s">
        <v>2082</v>
      </c>
      <c r="C1118" s="26" t="s">
        <v>1726</v>
      </c>
      <c r="D1118" s="27">
        <v>60</v>
      </c>
      <c r="E1118" s="27">
        <v>2271</v>
      </c>
      <c r="F1118" s="27">
        <v>0</v>
      </c>
      <c r="G1118" s="27">
        <v>60</v>
      </c>
      <c r="H1118" s="27">
        <v>2211</v>
      </c>
      <c r="I1118" s="27">
        <f>+IFERROR(VLOOKUP(A1118,'[1]Pending Dispatch'!$N$2:$O$651,2,0),0)</f>
        <v>120</v>
      </c>
      <c r="J1118" s="27">
        <f t="shared" si="17"/>
        <v>2091</v>
      </c>
      <c r="K1118" s="28">
        <v>0.11</v>
      </c>
      <c r="L1118" s="28">
        <v>0.32075999999999999</v>
      </c>
      <c r="M1118" s="26">
        <v>64.400000000000006</v>
      </c>
      <c r="N1118" s="26">
        <v>134660.40000000002</v>
      </c>
    </row>
    <row r="1119" spans="1:14" ht="14.4" x14ac:dyDescent="0.3">
      <c r="A1119" s="46">
        <v>5792</v>
      </c>
      <c r="B1119" s="47" t="s">
        <v>2083</v>
      </c>
      <c r="C1119" s="34" t="s">
        <v>1476</v>
      </c>
      <c r="D1119" s="35">
        <v>25</v>
      </c>
      <c r="E1119" s="35">
        <v>365</v>
      </c>
      <c r="F1119" s="35">
        <v>525</v>
      </c>
      <c r="G1119" s="35">
        <v>881</v>
      </c>
      <c r="H1119" s="35">
        <v>9</v>
      </c>
      <c r="I1119" s="27">
        <f>+IFERROR(VLOOKUP(A1119,'[1]Pending Dispatch'!$N$2:$O$651,2,0),0)</f>
        <v>425</v>
      </c>
      <c r="J1119" s="27">
        <f t="shared" si="17"/>
        <v>-416</v>
      </c>
      <c r="K1119" s="36">
        <v>0.47299999999999998</v>
      </c>
      <c r="L1119" s="36">
        <v>0.40772599999999998</v>
      </c>
      <c r="M1119" s="34">
        <v>0</v>
      </c>
      <c r="N1119" s="34">
        <v>0</v>
      </c>
    </row>
    <row r="1120" spans="1:14" ht="14.4" x14ac:dyDescent="0.3">
      <c r="A1120" s="38" t="s">
        <v>2084</v>
      </c>
      <c r="B1120" s="38" t="s">
        <v>2085</v>
      </c>
      <c r="C1120" s="44" t="s">
        <v>1172</v>
      </c>
      <c r="D1120" s="27">
        <v>1</v>
      </c>
      <c r="E1120" s="27">
        <v>0</v>
      </c>
      <c r="F1120" s="27">
        <v>100</v>
      </c>
      <c r="G1120" s="27">
        <v>100</v>
      </c>
      <c r="H1120" s="27">
        <v>0</v>
      </c>
      <c r="I1120" s="27">
        <f>+IFERROR(VLOOKUP(A1120,'[1]Pending Dispatch'!$N$2:$O$651,2,0),0)</f>
        <v>50</v>
      </c>
      <c r="J1120" s="27">
        <f t="shared" si="17"/>
        <v>-50</v>
      </c>
      <c r="K1120" s="28">
        <v>1.1200000000000001E-3</v>
      </c>
      <c r="L1120" s="28">
        <v>0</v>
      </c>
      <c r="M1120" s="26">
        <v>0</v>
      </c>
      <c r="N1120" s="26">
        <v>0</v>
      </c>
    </row>
    <row r="1121" spans="1:14" ht="14.4" x14ac:dyDescent="0.3">
      <c r="A1121" s="38" t="s">
        <v>2086</v>
      </c>
      <c r="B1121" s="38" t="s">
        <v>2087</v>
      </c>
      <c r="C1121" s="44" t="s">
        <v>1172</v>
      </c>
      <c r="D1121" s="27">
        <v>1</v>
      </c>
      <c r="E1121" s="27">
        <v>0</v>
      </c>
      <c r="F1121" s="27">
        <v>100</v>
      </c>
      <c r="G1121" s="27">
        <v>100</v>
      </c>
      <c r="H1121" s="27">
        <v>0</v>
      </c>
      <c r="I1121" s="27">
        <f>+IFERROR(VLOOKUP(A1121,'[1]Pending Dispatch'!$N$2:$O$651,2,0),0)</f>
        <v>100</v>
      </c>
      <c r="J1121" s="27">
        <f t="shared" si="17"/>
        <v>-100</v>
      </c>
      <c r="K1121" s="28">
        <v>1.5200000000000001E-3</v>
      </c>
      <c r="L1121" s="28">
        <v>0</v>
      </c>
      <c r="M1121" s="26">
        <v>0</v>
      </c>
      <c r="N1121" s="26">
        <v>0</v>
      </c>
    </row>
    <row r="1122" spans="1:14" ht="14.4" x14ac:dyDescent="0.3">
      <c r="A1122" s="38" t="s">
        <v>2088</v>
      </c>
      <c r="B1122" s="44" t="s">
        <v>2089</v>
      </c>
      <c r="C1122" s="26" t="s">
        <v>1726</v>
      </c>
      <c r="D1122" s="27">
        <v>200</v>
      </c>
      <c r="E1122" s="27">
        <v>3467</v>
      </c>
      <c r="F1122" s="27">
        <v>0</v>
      </c>
      <c r="G1122" s="27">
        <v>0</v>
      </c>
      <c r="H1122" s="27">
        <v>3467</v>
      </c>
      <c r="I1122" s="27">
        <f>+IFERROR(VLOOKUP(A1122,'[1]Pending Dispatch'!$N$2:$O$651,2,0),0)</f>
        <v>0</v>
      </c>
      <c r="J1122" s="27">
        <f t="shared" si="17"/>
        <v>3467</v>
      </c>
      <c r="K1122" s="28">
        <v>4.7E-2</v>
      </c>
      <c r="L1122" s="28">
        <v>0.193499</v>
      </c>
      <c r="M1122" s="26">
        <v>28.8</v>
      </c>
      <c r="N1122" s="26">
        <v>99849.600000000006</v>
      </c>
    </row>
    <row r="1123" spans="1:14" ht="14.4" x14ac:dyDescent="0.3">
      <c r="A1123" s="38" t="s">
        <v>2090</v>
      </c>
      <c r="B1123" s="44" t="s">
        <v>2091</v>
      </c>
      <c r="C1123" s="26" t="s">
        <v>87</v>
      </c>
      <c r="D1123" s="27">
        <v>75</v>
      </c>
      <c r="E1123" s="27">
        <v>395</v>
      </c>
      <c r="F1123" s="27">
        <v>0</v>
      </c>
      <c r="G1123" s="27">
        <v>76</v>
      </c>
      <c r="H1123" s="27">
        <v>319</v>
      </c>
      <c r="I1123" s="27">
        <f>+IFERROR(VLOOKUP(A1123,'[1]Pending Dispatch'!$N$2:$O$651,2,0),0)</f>
        <v>0</v>
      </c>
      <c r="J1123" s="27">
        <f t="shared" si="17"/>
        <v>319</v>
      </c>
      <c r="K1123" s="28">
        <v>0.124</v>
      </c>
      <c r="L1123" s="28">
        <v>6.8200000000000005E-3</v>
      </c>
      <c r="M1123" s="26">
        <v>368</v>
      </c>
      <c r="N1123" s="26">
        <v>110400</v>
      </c>
    </row>
    <row r="1124" spans="1:14" ht="14.4" x14ac:dyDescent="0.3">
      <c r="A1124" s="38" t="s">
        <v>2092</v>
      </c>
      <c r="B1124" s="44" t="s">
        <v>2093</v>
      </c>
      <c r="C1124" s="26" t="s">
        <v>1726</v>
      </c>
      <c r="D1124" s="27">
        <v>100</v>
      </c>
      <c r="E1124" s="27">
        <v>722</v>
      </c>
      <c r="F1124" s="27">
        <v>0</v>
      </c>
      <c r="G1124" s="27">
        <v>100</v>
      </c>
      <c r="H1124" s="27">
        <v>622</v>
      </c>
      <c r="I1124" s="27">
        <f>+IFERROR(VLOOKUP(A1124,'[1]Pending Dispatch'!$N$2:$O$651,2,0),0)</f>
        <v>0</v>
      </c>
      <c r="J1124" s="27">
        <f t="shared" si="17"/>
        <v>622</v>
      </c>
      <c r="K1124" s="28">
        <v>8.3000000000000004E-2</v>
      </c>
      <c r="L1124" s="28">
        <v>6.9055999999999992E-2</v>
      </c>
      <c r="M1124" s="26">
        <v>48.2</v>
      </c>
      <c r="N1124" s="26">
        <v>29980.400000000001</v>
      </c>
    </row>
    <row r="1125" spans="1:14" ht="14.4" x14ac:dyDescent="0.3">
      <c r="A1125" s="38" t="s">
        <v>2094</v>
      </c>
      <c r="B1125" s="44" t="s">
        <v>2095</v>
      </c>
      <c r="C1125" s="26" t="s">
        <v>1726</v>
      </c>
      <c r="D1125" s="27">
        <v>125</v>
      </c>
      <c r="E1125" s="27">
        <v>711</v>
      </c>
      <c r="F1125" s="27">
        <v>0</v>
      </c>
      <c r="G1125" s="27">
        <v>0</v>
      </c>
      <c r="H1125" s="27">
        <v>711</v>
      </c>
      <c r="I1125" s="27">
        <f>+IFERROR(VLOOKUP(A1125,'[1]Pending Dispatch'!$N$2:$O$651,2,0),0)</f>
        <v>125</v>
      </c>
      <c r="J1125" s="27">
        <f t="shared" si="17"/>
        <v>586</v>
      </c>
      <c r="K1125" s="28">
        <v>7.0000000000000007E-2</v>
      </c>
      <c r="L1125" s="28">
        <v>6.0200000000000002E-3</v>
      </c>
      <c r="M1125" s="26">
        <v>40.200000000000003</v>
      </c>
      <c r="N1125" s="26">
        <v>23557.200000000001</v>
      </c>
    </row>
    <row r="1126" spans="1:14" ht="14.4" x14ac:dyDescent="0.3">
      <c r="A1126" s="38" t="s">
        <v>2096</v>
      </c>
      <c r="B1126" s="44" t="s">
        <v>2097</v>
      </c>
      <c r="C1126" s="26" t="s">
        <v>1647</v>
      </c>
      <c r="D1126" s="27">
        <v>0</v>
      </c>
      <c r="E1126" s="27">
        <v>141</v>
      </c>
      <c r="F1126" s="27">
        <v>0</v>
      </c>
      <c r="G1126" s="27">
        <v>0</v>
      </c>
      <c r="H1126" s="27">
        <v>141</v>
      </c>
      <c r="I1126" s="27">
        <f>+IFERROR(VLOOKUP(A1126,'[1]Pending Dispatch'!$N$2:$O$651,2,0),0)</f>
        <v>0</v>
      </c>
      <c r="J1126" s="27">
        <f t="shared" si="17"/>
        <v>141</v>
      </c>
      <c r="K1126" s="28">
        <v>0</v>
      </c>
      <c r="L1126" s="28">
        <v>0</v>
      </c>
      <c r="M1126" s="26">
        <v>5244</v>
      </c>
      <c r="N1126" s="26">
        <v>739404</v>
      </c>
    </row>
    <row r="1127" spans="1:14" ht="14.4" x14ac:dyDescent="0.3">
      <c r="A1127" s="38" t="s">
        <v>2098</v>
      </c>
      <c r="B1127" s="44" t="s">
        <v>2099</v>
      </c>
      <c r="C1127" s="26" t="s">
        <v>87</v>
      </c>
      <c r="D1127" s="27">
        <v>32</v>
      </c>
      <c r="E1127" s="27">
        <v>64</v>
      </c>
      <c r="F1127" s="27">
        <v>0</v>
      </c>
      <c r="G1127" s="27">
        <v>64</v>
      </c>
      <c r="H1127" s="27">
        <v>0</v>
      </c>
      <c r="I1127" s="27">
        <f>+IFERROR(VLOOKUP(A1127,'[1]Pending Dispatch'!$N$2:$O$651,2,0),0)</f>
        <v>0</v>
      </c>
      <c r="J1127" s="27">
        <f t="shared" si="17"/>
        <v>0</v>
      </c>
      <c r="K1127" s="28">
        <v>0</v>
      </c>
      <c r="L1127" s="28">
        <v>0</v>
      </c>
      <c r="M1127" s="26">
        <v>0</v>
      </c>
      <c r="N1127" s="26">
        <v>0</v>
      </c>
    </row>
    <row r="1128" spans="1:14" ht="14.4" x14ac:dyDescent="0.3">
      <c r="A1128" s="38" t="s">
        <v>2100</v>
      </c>
      <c r="B1128" s="44" t="s">
        <v>2101</v>
      </c>
      <c r="C1128" s="26" t="s">
        <v>87</v>
      </c>
      <c r="D1128" s="27">
        <v>32</v>
      </c>
      <c r="E1128" s="27">
        <v>32</v>
      </c>
      <c r="F1128" s="27">
        <v>160</v>
      </c>
      <c r="G1128" s="27">
        <v>160</v>
      </c>
      <c r="H1128" s="27">
        <v>32</v>
      </c>
      <c r="I1128" s="27">
        <f>+IFERROR(VLOOKUP(A1128,'[1]Pending Dispatch'!$N$2:$O$651,2,0),0)</f>
        <v>192</v>
      </c>
      <c r="J1128" s="27">
        <f t="shared" si="17"/>
        <v>-160</v>
      </c>
      <c r="K1128" s="28">
        <v>6.8900000000000003E-2</v>
      </c>
      <c r="L1128" s="28">
        <v>4.4096000000000005E-3</v>
      </c>
      <c r="M1128" s="26">
        <v>0</v>
      </c>
      <c r="N1128" s="26">
        <v>0</v>
      </c>
    </row>
    <row r="1129" spans="1:14" ht="14.4" x14ac:dyDescent="0.3">
      <c r="A1129" s="38" t="s">
        <v>2102</v>
      </c>
      <c r="B1129" s="48" t="s">
        <v>2103</v>
      </c>
      <c r="C1129" s="26" t="s">
        <v>87</v>
      </c>
      <c r="D1129" s="27">
        <v>64</v>
      </c>
      <c r="E1129" s="27">
        <v>0</v>
      </c>
      <c r="F1129" s="27">
        <v>0</v>
      </c>
      <c r="G1129" s="27">
        <v>0</v>
      </c>
      <c r="H1129" s="27">
        <v>0</v>
      </c>
      <c r="I1129" s="27">
        <f>+IFERROR(VLOOKUP(A1129,'[1]Pending Dispatch'!$N$2:$O$651,2,0),0)</f>
        <v>0</v>
      </c>
      <c r="J1129" s="27">
        <f t="shared" si="17"/>
        <v>0</v>
      </c>
      <c r="K1129" s="28">
        <v>0.18</v>
      </c>
      <c r="L1129" s="28">
        <v>0</v>
      </c>
      <c r="M1129" s="26">
        <v>0</v>
      </c>
      <c r="N1129" s="26">
        <v>0</v>
      </c>
    </row>
    <row r="1130" spans="1:14" ht="14.4" x14ac:dyDescent="0.3">
      <c r="A1130" s="38" t="s">
        <v>2104</v>
      </c>
      <c r="B1130" s="44" t="s">
        <v>2105</v>
      </c>
      <c r="C1130" s="26" t="s">
        <v>1647</v>
      </c>
      <c r="D1130" s="27">
        <v>0</v>
      </c>
      <c r="E1130" s="27">
        <v>0</v>
      </c>
      <c r="F1130" s="27">
        <v>0</v>
      </c>
      <c r="G1130" s="27">
        <v>0</v>
      </c>
      <c r="H1130" s="27">
        <v>0</v>
      </c>
      <c r="I1130" s="27">
        <f>+IFERROR(VLOOKUP(A1130,'[1]Pending Dispatch'!$N$2:$O$651,2,0),0)</f>
        <v>0</v>
      </c>
      <c r="J1130" s="27">
        <f t="shared" si="17"/>
        <v>0</v>
      </c>
      <c r="K1130" s="28">
        <v>0</v>
      </c>
      <c r="L1130" s="28">
        <v>0</v>
      </c>
      <c r="M1130" s="26">
        <v>3040</v>
      </c>
      <c r="N1130" s="26">
        <v>0</v>
      </c>
    </row>
    <row r="1131" spans="1:14" ht="14.4" x14ac:dyDescent="0.3">
      <c r="A1131" s="38" t="s">
        <v>2106</v>
      </c>
      <c r="B1131" s="44" t="s">
        <v>2107</v>
      </c>
      <c r="C1131" s="26" t="s">
        <v>1647</v>
      </c>
      <c r="D1131" s="27">
        <v>0</v>
      </c>
      <c r="E1131" s="27">
        <v>0</v>
      </c>
      <c r="F1131" s="27">
        <v>0</v>
      </c>
      <c r="G1131" s="27">
        <v>0</v>
      </c>
      <c r="H1131" s="27">
        <v>0</v>
      </c>
      <c r="I1131" s="27">
        <f>+IFERROR(VLOOKUP(A1131,'[1]Pending Dispatch'!$N$2:$O$651,2,0),0)</f>
        <v>0</v>
      </c>
      <c r="J1131" s="27">
        <f t="shared" si="17"/>
        <v>0</v>
      </c>
      <c r="K1131" s="28">
        <v>0</v>
      </c>
      <c r="L1131" s="28">
        <v>0</v>
      </c>
      <c r="M1131" s="26">
        <v>825</v>
      </c>
      <c r="N1131" s="26">
        <v>0</v>
      </c>
    </row>
    <row r="1132" spans="1:14" ht="14.4" x14ac:dyDescent="0.3">
      <c r="A1132" s="38" t="s">
        <v>2108</v>
      </c>
      <c r="B1132" s="44" t="s">
        <v>2109</v>
      </c>
      <c r="C1132" s="26" t="s">
        <v>1647</v>
      </c>
      <c r="D1132" s="27">
        <v>1</v>
      </c>
      <c r="E1132" s="27">
        <v>130</v>
      </c>
      <c r="F1132" s="27">
        <v>0</v>
      </c>
      <c r="G1132" s="27">
        <v>0</v>
      </c>
      <c r="H1132" s="27">
        <v>130</v>
      </c>
      <c r="I1132" s="27">
        <f>+IFERROR(VLOOKUP(A1132,'[1]Pending Dispatch'!$N$2:$O$651,2,0),0)</f>
        <v>0</v>
      </c>
      <c r="J1132" s="27">
        <f t="shared" si="17"/>
        <v>130</v>
      </c>
      <c r="K1132" s="28">
        <v>0</v>
      </c>
      <c r="L1132" s="28">
        <v>0</v>
      </c>
      <c r="M1132" s="26">
        <v>0</v>
      </c>
      <c r="N1132" s="26">
        <v>0</v>
      </c>
    </row>
    <row r="1133" spans="1:14" ht="14.4" x14ac:dyDescent="0.3">
      <c r="A1133" s="38" t="s">
        <v>2110</v>
      </c>
      <c r="B1133" s="48" t="s">
        <v>2111</v>
      </c>
      <c r="C1133" s="26" t="s">
        <v>579</v>
      </c>
      <c r="D1133" s="27">
        <v>15</v>
      </c>
      <c r="E1133" s="27">
        <v>570</v>
      </c>
      <c r="F1133" s="27">
        <v>0</v>
      </c>
      <c r="G1133" s="27">
        <v>225</v>
      </c>
      <c r="H1133" s="27">
        <v>345</v>
      </c>
      <c r="I1133" s="27">
        <f>+IFERROR(VLOOKUP(A1133,'[1]Pending Dispatch'!$N$2:$O$651,2,0),0)</f>
        <v>0</v>
      </c>
      <c r="J1133" s="27">
        <f t="shared" si="17"/>
        <v>345</v>
      </c>
      <c r="K1133" s="28">
        <v>2.25</v>
      </c>
      <c r="L1133" s="28">
        <v>0</v>
      </c>
      <c r="M1133" s="26">
        <v>0</v>
      </c>
      <c r="N1133" s="26">
        <v>0</v>
      </c>
    </row>
    <row r="1134" spans="1:14" ht="14.4" x14ac:dyDescent="0.3">
      <c r="A1134" s="38" t="s">
        <v>2112</v>
      </c>
      <c r="B1134" s="44" t="s">
        <v>2113</v>
      </c>
      <c r="C1134" s="26" t="s">
        <v>1726</v>
      </c>
      <c r="D1134" s="27">
        <v>25</v>
      </c>
      <c r="E1134" s="27">
        <v>199</v>
      </c>
      <c r="F1134" s="27">
        <v>950</v>
      </c>
      <c r="G1134" s="27">
        <v>875</v>
      </c>
      <c r="H1134" s="27">
        <v>274</v>
      </c>
      <c r="I1134" s="27">
        <f>+IFERROR(VLOOKUP(A1134,'[1]Pending Dispatch'!$N$2:$O$651,2,0),0)</f>
        <v>225</v>
      </c>
      <c r="J1134" s="27">
        <f t="shared" si="17"/>
        <v>49</v>
      </c>
      <c r="K1134" s="28">
        <v>0.46300000000000002</v>
      </c>
      <c r="L1134" s="28">
        <v>6.8987000000000007E-2</v>
      </c>
      <c r="M1134" s="26">
        <v>242.8</v>
      </c>
      <c r="N1134" s="26">
        <v>11897.2</v>
      </c>
    </row>
    <row r="1135" spans="1:14" ht="14.4" x14ac:dyDescent="0.3">
      <c r="A1135" s="38" t="s">
        <v>2114</v>
      </c>
      <c r="B1135" s="44" t="s">
        <v>2115</v>
      </c>
      <c r="C1135" s="26" t="s">
        <v>1726</v>
      </c>
      <c r="D1135" s="27">
        <v>120</v>
      </c>
      <c r="E1135" s="27">
        <v>240</v>
      </c>
      <c r="F1135" s="27">
        <v>0</v>
      </c>
      <c r="G1135" s="27">
        <v>180</v>
      </c>
      <c r="H1135" s="27">
        <v>60</v>
      </c>
      <c r="I1135" s="27">
        <f>+IFERROR(VLOOKUP(A1135,'[1]Pending Dispatch'!$N$2:$O$651,2,0),0)</f>
        <v>120</v>
      </c>
      <c r="J1135" s="27">
        <f t="shared" si="17"/>
        <v>-60</v>
      </c>
      <c r="K1135" s="28">
        <v>0.1285</v>
      </c>
      <c r="L1135" s="28">
        <v>0.12336</v>
      </c>
      <c r="M1135" s="26">
        <v>67.400000000000006</v>
      </c>
      <c r="N1135" s="26">
        <v>4044.0000000000005</v>
      </c>
    </row>
    <row r="1136" spans="1:14" ht="14.4" x14ac:dyDescent="0.3">
      <c r="A1136" s="38" t="s">
        <v>2116</v>
      </c>
      <c r="B1136" s="44" t="s">
        <v>2117</v>
      </c>
      <c r="C1136" s="26" t="s">
        <v>1726</v>
      </c>
      <c r="D1136" s="27">
        <v>40</v>
      </c>
      <c r="E1136" s="27">
        <v>335</v>
      </c>
      <c r="F1136" s="27">
        <v>1080</v>
      </c>
      <c r="G1136" s="27">
        <v>810</v>
      </c>
      <c r="H1136" s="27">
        <v>605</v>
      </c>
      <c r="I1136" s="27">
        <f>+IFERROR(VLOOKUP(A1136,'[1]Pending Dispatch'!$N$2:$O$651,2,0),0)</f>
        <v>45</v>
      </c>
      <c r="J1136" s="27">
        <f t="shared" si="17"/>
        <v>560</v>
      </c>
      <c r="K1136" s="28">
        <v>0.28599999999999998</v>
      </c>
      <c r="L1136" s="28">
        <v>0.1716</v>
      </c>
      <c r="M1136" s="26">
        <v>148.80000000000001</v>
      </c>
      <c r="N1136" s="26">
        <v>83328</v>
      </c>
    </row>
    <row r="1137" spans="1:14" ht="14.4" x14ac:dyDescent="0.3">
      <c r="A1137" s="38" t="s">
        <v>2118</v>
      </c>
      <c r="B1137" s="44" t="s">
        <v>2119</v>
      </c>
      <c r="C1137" s="26" t="s">
        <v>1726</v>
      </c>
      <c r="D1137" s="27">
        <v>70</v>
      </c>
      <c r="E1137" s="27">
        <v>1116</v>
      </c>
      <c r="F1137" s="27">
        <v>0</v>
      </c>
      <c r="G1137" s="27">
        <v>70</v>
      </c>
      <c r="H1137" s="27">
        <v>1046</v>
      </c>
      <c r="I1137" s="27">
        <f>+IFERROR(VLOOKUP(A1137,'[1]Pending Dispatch'!$N$2:$O$651,2,0),0)</f>
        <v>0</v>
      </c>
      <c r="J1137" s="27">
        <f t="shared" si="17"/>
        <v>1046</v>
      </c>
      <c r="K1137" s="28">
        <v>0.192</v>
      </c>
      <c r="L1137" s="28">
        <v>0.12096000000000001</v>
      </c>
      <c r="M1137" s="26">
        <v>99.8</v>
      </c>
      <c r="N1137" s="26">
        <v>104390.8</v>
      </c>
    </row>
    <row r="1138" spans="1:14" x14ac:dyDescent="0.3">
      <c r="A1138" s="25" t="s">
        <v>2120</v>
      </c>
      <c r="B1138" s="26" t="s">
        <v>2121</v>
      </c>
      <c r="C1138" s="26" t="s">
        <v>1726</v>
      </c>
      <c r="D1138" s="27">
        <v>75</v>
      </c>
      <c r="E1138" s="27">
        <v>675</v>
      </c>
      <c r="F1138" s="27">
        <v>0</v>
      </c>
      <c r="G1138" s="27">
        <v>75</v>
      </c>
      <c r="H1138" s="27">
        <v>600</v>
      </c>
      <c r="I1138" s="27">
        <f>+IFERROR(VLOOKUP(A1138,'[1]Pending Dispatch'!$N$2:$O$651,2,0),0)</f>
        <v>75</v>
      </c>
      <c r="J1138" s="27">
        <f t="shared" si="17"/>
        <v>525</v>
      </c>
      <c r="K1138" s="28">
        <v>0.18099999999999999</v>
      </c>
      <c r="L1138" s="28">
        <v>0</v>
      </c>
      <c r="M1138" s="26">
        <v>93.4</v>
      </c>
      <c r="N1138" s="26">
        <v>49035</v>
      </c>
    </row>
    <row r="1139" spans="1:14" x14ac:dyDescent="0.3">
      <c r="A1139" s="33" t="s">
        <v>2122</v>
      </c>
      <c r="B1139" s="34" t="s">
        <v>2072</v>
      </c>
      <c r="C1139" s="34" t="s">
        <v>1726</v>
      </c>
      <c r="D1139" s="35">
        <v>15</v>
      </c>
      <c r="E1139" s="35">
        <v>162</v>
      </c>
      <c r="F1139" s="35">
        <v>540</v>
      </c>
      <c r="G1139" s="35">
        <v>285</v>
      </c>
      <c r="H1139" s="35">
        <v>417</v>
      </c>
      <c r="I1139" s="27">
        <f>+IFERROR(VLOOKUP(A1139,'[1]Pending Dispatch'!$N$2:$O$651,2,0),0)</f>
        <v>120</v>
      </c>
      <c r="J1139" s="27">
        <f t="shared" si="17"/>
        <v>297</v>
      </c>
      <c r="K1139" s="36">
        <v>0.62350000000000005</v>
      </c>
      <c r="L1139" s="36">
        <v>0.2899275</v>
      </c>
      <c r="M1139" s="34">
        <v>324.39999999999998</v>
      </c>
      <c r="N1139" s="34">
        <v>115810.79999999999</v>
      </c>
    </row>
    <row r="1140" spans="1:14" x14ac:dyDescent="0.3">
      <c r="A1140" s="25" t="s">
        <v>2123</v>
      </c>
      <c r="B1140" s="26" t="s">
        <v>2072</v>
      </c>
      <c r="C1140" s="26" t="s">
        <v>1726</v>
      </c>
      <c r="D1140" s="27">
        <v>45</v>
      </c>
      <c r="E1140" s="27">
        <v>1485</v>
      </c>
      <c r="F1140" s="27">
        <v>0</v>
      </c>
      <c r="G1140" s="27">
        <v>45</v>
      </c>
      <c r="H1140" s="27">
        <v>1440</v>
      </c>
      <c r="I1140" s="27">
        <f>+IFERROR(VLOOKUP(A1140,'[1]Pending Dispatch'!$N$2:$O$651,2,0),0)</f>
        <v>0</v>
      </c>
      <c r="J1140" s="27">
        <f t="shared" si="17"/>
        <v>1440</v>
      </c>
      <c r="K1140" s="28">
        <v>0.26739999999999997</v>
      </c>
      <c r="L1140" s="28">
        <v>2.4066000000000001E-2</v>
      </c>
      <c r="M1140" s="26">
        <v>138.4</v>
      </c>
      <c r="N1140" s="26">
        <v>199296</v>
      </c>
    </row>
    <row r="1141" spans="1:14" x14ac:dyDescent="0.3">
      <c r="A1141" s="48" t="s">
        <v>2124</v>
      </c>
      <c r="B1141" s="48" t="s">
        <v>2125</v>
      </c>
      <c r="C1141" s="26" t="s">
        <v>579</v>
      </c>
      <c r="D1141" s="27">
        <v>10</v>
      </c>
      <c r="E1141" s="27">
        <v>10</v>
      </c>
      <c r="F1141" s="27">
        <v>0</v>
      </c>
      <c r="G1141" s="27">
        <v>0</v>
      </c>
      <c r="H1141" s="27">
        <v>10</v>
      </c>
      <c r="I1141" s="27">
        <f>+IFERROR(VLOOKUP(A1141,'[1]Pending Dispatch'!$N$2:$O$651,2,0),0)</f>
        <v>0</v>
      </c>
      <c r="J1141" s="27">
        <f t="shared" si="17"/>
        <v>10</v>
      </c>
      <c r="K1141" s="28">
        <v>3.45</v>
      </c>
      <c r="L1141" s="28">
        <v>3.4500000000000003E-2</v>
      </c>
      <c r="M1141" s="26">
        <v>0</v>
      </c>
      <c r="N1141" s="26">
        <v>0</v>
      </c>
    </row>
    <row r="1142" spans="1:14" x14ac:dyDescent="0.3">
      <c r="A1142" s="49" t="s">
        <v>2126</v>
      </c>
      <c r="B1142" s="48" t="s">
        <v>2127</v>
      </c>
      <c r="C1142" s="26" t="s">
        <v>87</v>
      </c>
      <c r="D1142" s="27">
        <v>32</v>
      </c>
      <c r="E1142" s="27">
        <v>32</v>
      </c>
      <c r="F1142" s="27">
        <v>0</v>
      </c>
      <c r="G1142" s="27">
        <v>32</v>
      </c>
      <c r="H1142" s="27">
        <v>0</v>
      </c>
      <c r="I1142" s="27">
        <f>+IFERROR(VLOOKUP(A1142,'[1]Pending Dispatch'!$N$2:$O$651,2,0),0)</f>
        <v>0</v>
      </c>
      <c r="J1142" s="27">
        <f t="shared" si="17"/>
        <v>0</v>
      </c>
      <c r="K1142" s="28">
        <v>0</v>
      </c>
      <c r="L1142" s="28">
        <v>0</v>
      </c>
      <c r="M1142" s="26">
        <v>0</v>
      </c>
      <c r="N1142" s="26">
        <v>0</v>
      </c>
    </row>
    <row r="1143" spans="1:14" x14ac:dyDescent="0.3">
      <c r="A1143" s="49" t="s">
        <v>2128</v>
      </c>
      <c r="B1143" s="48" t="s">
        <v>2129</v>
      </c>
      <c r="C1143" s="26" t="s">
        <v>87</v>
      </c>
      <c r="D1143" s="27">
        <v>32</v>
      </c>
      <c r="E1143" s="27">
        <v>32</v>
      </c>
      <c r="F1143" s="27">
        <v>128</v>
      </c>
      <c r="G1143" s="27">
        <v>160</v>
      </c>
      <c r="H1143" s="27">
        <v>0</v>
      </c>
      <c r="I1143" s="27">
        <f>+IFERROR(VLOOKUP(A1143,'[1]Pending Dispatch'!$N$2:$O$651,2,0),0)</f>
        <v>0</v>
      </c>
      <c r="J1143" s="27">
        <f t="shared" si="17"/>
        <v>0</v>
      </c>
      <c r="K1143" s="28">
        <v>0</v>
      </c>
      <c r="L1143" s="28">
        <v>0</v>
      </c>
      <c r="M1143" s="26">
        <v>0</v>
      </c>
      <c r="N1143" s="26">
        <v>0</v>
      </c>
    </row>
    <row r="1144" spans="1:14" ht="14.4" x14ac:dyDescent="0.3">
      <c r="A1144" s="50" t="s">
        <v>2130</v>
      </c>
      <c r="B1144" s="51" t="s">
        <v>1734</v>
      </c>
      <c r="C1144" s="26" t="s">
        <v>1726</v>
      </c>
      <c r="D1144" s="27">
        <v>50</v>
      </c>
      <c r="E1144" s="27">
        <v>698</v>
      </c>
      <c r="F1144" s="27">
        <v>0</v>
      </c>
      <c r="G1144" s="27">
        <v>250</v>
      </c>
      <c r="H1144" s="27">
        <v>448</v>
      </c>
      <c r="I1144" s="27">
        <f>+IFERROR(VLOOKUP(A1144,'[1]Pending Dispatch'!$N$2:$O$651,2,0),0)</f>
        <v>50</v>
      </c>
      <c r="J1144" s="27">
        <f t="shared" si="17"/>
        <v>398</v>
      </c>
      <c r="K1144" s="28">
        <v>0.24199999999999999</v>
      </c>
      <c r="L1144" s="28">
        <v>6.0016E-2</v>
      </c>
      <c r="M1144" s="26">
        <v>124.8</v>
      </c>
      <c r="N1144" s="26">
        <v>49670.400000000001</v>
      </c>
    </row>
    <row r="1145" spans="1:14" x14ac:dyDescent="0.3">
      <c r="A1145" s="49" t="s">
        <v>2131</v>
      </c>
      <c r="B1145" s="48" t="s">
        <v>2132</v>
      </c>
      <c r="C1145" s="26" t="s">
        <v>1726</v>
      </c>
      <c r="D1145" s="27">
        <v>32</v>
      </c>
      <c r="E1145" s="27">
        <v>192</v>
      </c>
      <c r="F1145" s="27">
        <v>0</v>
      </c>
      <c r="G1145" s="27">
        <v>192</v>
      </c>
      <c r="H1145" s="27">
        <v>0</v>
      </c>
      <c r="I1145" s="27">
        <f>+IFERROR(VLOOKUP(A1145,'[1]Pending Dispatch'!$N$2:$O$651,2,0),0)</f>
        <v>256</v>
      </c>
      <c r="J1145" s="27">
        <f t="shared" si="17"/>
        <v>-256</v>
      </c>
      <c r="K1145" s="28">
        <v>0.39700000000000002</v>
      </c>
      <c r="L1145" s="28">
        <v>0</v>
      </c>
      <c r="M1145" s="26">
        <v>204.4</v>
      </c>
      <c r="N1145" s="26">
        <v>-26163.200000000001</v>
      </c>
    </row>
    <row r="1146" spans="1:14" ht="14.4" x14ac:dyDescent="0.3">
      <c r="A1146" s="44" t="s">
        <v>2133</v>
      </c>
      <c r="B1146" s="44" t="s">
        <v>2134</v>
      </c>
      <c r="C1146" s="44" t="s">
        <v>2135</v>
      </c>
      <c r="D1146" s="27">
        <v>1</v>
      </c>
      <c r="E1146" s="27">
        <v>91</v>
      </c>
      <c r="F1146" s="27">
        <v>0</v>
      </c>
      <c r="G1146" s="27">
        <v>5</v>
      </c>
      <c r="H1146" s="27">
        <v>86</v>
      </c>
      <c r="I1146" s="27">
        <f>+IFERROR(VLOOKUP(A1146,'[1]Pending Dispatch'!$N$2:$O$651,2,0),0)</f>
        <v>0</v>
      </c>
      <c r="J1146" s="27">
        <f t="shared" si="17"/>
        <v>86</v>
      </c>
      <c r="K1146" s="28">
        <v>31</v>
      </c>
      <c r="L1146" s="28">
        <v>3.286</v>
      </c>
      <c r="M1146" s="26">
        <v>0</v>
      </c>
      <c r="N1146" s="26">
        <v>0</v>
      </c>
    </row>
    <row r="1147" spans="1:14" ht="14.4" x14ac:dyDescent="0.3">
      <c r="A1147" s="44" t="s">
        <v>2136</v>
      </c>
      <c r="B1147" s="44" t="s">
        <v>2137</v>
      </c>
      <c r="C1147" s="44" t="s">
        <v>2135</v>
      </c>
      <c r="D1147" s="27">
        <v>1</v>
      </c>
      <c r="E1147" s="27">
        <v>80</v>
      </c>
      <c r="F1147" s="27">
        <v>202</v>
      </c>
      <c r="G1147" s="27">
        <v>32</v>
      </c>
      <c r="H1147" s="27">
        <v>250</v>
      </c>
      <c r="I1147" s="27">
        <f>+IFERROR(VLOOKUP(A1147,'[1]Pending Dispatch'!$N$2:$O$651,2,0),0)</f>
        <v>0</v>
      </c>
      <c r="J1147" s="27">
        <f t="shared" si="17"/>
        <v>250</v>
      </c>
      <c r="K1147" s="28">
        <v>25</v>
      </c>
      <c r="L1147" s="28">
        <v>2.15</v>
      </c>
      <c r="M1147" s="26">
        <v>0</v>
      </c>
      <c r="N1147" s="26">
        <v>0</v>
      </c>
    </row>
    <row r="1148" spans="1:14" ht="14.4" x14ac:dyDescent="0.3">
      <c r="A1148" s="44" t="s">
        <v>2138</v>
      </c>
      <c r="B1148" s="44" t="s">
        <v>2139</v>
      </c>
      <c r="C1148" s="44" t="s">
        <v>2135</v>
      </c>
      <c r="D1148" s="27">
        <v>2</v>
      </c>
      <c r="E1148" s="27">
        <v>0</v>
      </c>
      <c r="F1148" s="27">
        <v>143</v>
      </c>
      <c r="G1148" s="27">
        <v>142</v>
      </c>
      <c r="H1148" s="27">
        <v>1</v>
      </c>
      <c r="I1148" s="27">
        <f>+IFERROR(VLOOKUP(A1148,'[1]Pending Dispatch'!$N$2:$O$651,2,0),0)</f>
        <v>44</v>
      </c>
      <c r="J1148" s="27">
        <f t="shared" si="17"/>
        <v>-43</v>
      </c>
      <c r="K1148" s="28">
        <v>14.6</v>
      </c>
      <c r="L1148" s="28">
        <v>0.73</v>
      </c>
      <c r="M1148" s="26">
        <v>0</v>
      </c>
      <c r="N1148" s="26">
        <v>0</v>
      </c>
    </row>
    <row r="1149" spans="1:14" ht="14.4" x14ac:dyDescent="0.3">
      <c r="A1149" s="44" t="s">
        <v>2140</v>
      </c>
      <c r="B1149" s="44" t="s">
        <v>2141</v>
      </c>
      <c r="C1149" s="44" t="s">
        <v>2135</v>
      </c>
      <c r="D1149" s="27">
        <v>3</v>
      </c>
      <c r="E1149" s="27">
        <v>73</v>
      </c>
      <c r="F1149" s="27">
        <v>199</v>
      </c>
      <c r="G1149" s="27">
        <v>54</v>
      </c>
      <c r="H1149" s="27">
        <v>218</v>
      </c>
      <c r="I1149" s="27">
        <f>+IFERROR(VLOOKUP(A1149,'[1]Pending Dispatch'!$N$2:$O$651,2,0),0)</f>
        <v>12</v>
      </c>
      <c r="J1149" s="27">
        <f t="shared" si="17"/>
        <v>206</v>
      </c>
      <c r="K1149" s="28">
        <v>10.6</v>
      </c>
      <c r="L1149" s="28">
        <v>0.93279999999999996</v>
      </c>
      <c r="M1149" s="26">
        <v>0</v>
      </c>
      <c r="N1149" s="26">
        <v>0</v>
      </c>
    </row>
    <row r="1150" spans="1:14" ht="14.4" x14ac:dyDescent="0.3">
      <c r="A1150" s="44" t="s">
        <v>2142</v>
      </c>
      <c r="B1150" s="44" t="s">
        <v>2143</v>
      </c>
      <c r="C1150" s="44" t="s">
        <v>2135</v>
      </c>
      <c r="D1150" s="27">
        <v>3</v>
      </c>
      <c r="E1150" s="27">
        <v>5</v>
      </c>
      <c r="F1150" s="27">
        <v>198</v>
      </c>
      <c r="G1150" s="27">
        <v>66</v>
      </c>
      <c r="H1150" s="27">
        <v>137</v>
      </c>
      <c r="I1150" s="27">
        <f>+IFERROR(VLOOKUP(A1150,'[1]Pending Dispatch'!$N$2:$O$651,2,0),0)</f>
        <v>21</v>
      </c>
      <c r="J1150" s="27">
        <f t="shared" si="17"/>
        <v>116</v>
      </c>
      <c r="K1150" s="28">
        <v>10.7</v>
      </c>
      <c r="L1150" s="28">
        <v>0.32100000000000001</v>
      </c>
      <c r="M1150" s="26">
        <v>0</v>
      </c>
      <c r="N1150" s="26">
        <v>0</v>
      </c>
    </row>
    <row r="1151" spans="1:14" ht="14.4" x14ac:dyDescent="0.3">
      <c r="A1151" s="44" t="s">
        <v>2144</v>
      </c>
      <c r="B1151" s="44" t="s">
        <v>2145</v>
      </c>
      <c r="C1151" s="44" t="s">
        <v>2135</v>
      </c>
      <c r="D1151" s="27">
        <v>4</v>
      </c>
      <c r="E1151" s="27">
        <v>71</v>
      </c>
      <c r="F1151" s="27">
        <v>250</v>
      </c>
      <c r="G1151" s="27">
        <v>156</v>
      </c>
      <c r="H1151" s="27">
        <v>165</v>
      </c>
      <c r="I1151" s="27">
        <f>+IFERROR(VLOOKUP(A1151,'[1]Pending Dispatch'!$N$2:$O$651,2,0),0)</f>
        <v>40</v>
      </c>
      <c r="J1151" s="27">
        <f t="shared" si="17"/>
        <v>125</v>
      </c>
      <c r="K1151" s="28">
        <v>7.5</v>
      </c>
      <c r="L1151" s="28">
        <v>0.9</v>
      </c>
      <c r="M1151" s="26">
        <v>0</v>
      </c>
      <c r="N1151" s="26">
        <v>0</v>
      </c>
    </row>
    <row r="1152" spans="1:14" ht="14.4" x14ac:dyDescent="0.3">
      <c r="A1152" s="44" t="s">
        <v>2146</v>
      </c>
      <c r="B1152" s="44" t="s">
        <v>2147</v>
      </c>
      <c r="C1152" s="44" t="s">
        <v>2135</v>
      </c>
      <c r="D1152" s="27">
        <v>6</v>
      </c>
      <c r="E1152" s="27">
        <v>107</v>
      </c>
      <c r="F1152" s="27">
        <v>0</v>
      </c>
      <c r="G1152" s="27">
        <v>78</v>
      </c>
      <c r="H1152" s="27">
        <v>29</v>
      </c>
      <c r="I1152" s="27">
        <f>+IFERROR(VLOOKUP(A1152,'[1]Pending Dispatch'!$N$2:$O$651,2,0),0)</f>
        <v>0</v>
      </c>
      <c r="J1152" s="27">
        <f t="shared" si="17"/>
        <v>29</v>
      </c>
      <c r="K1152" s="28">
        <v>4.75</v>
      </c>
      <c r="L1152" s="28">
        <v>0.54149999999999998</v>
      </c>
      <c r="M1152" s="26">
        <v>0</v>
      </c>
      <c r="N1152" s="26">
        <v>0</v>
      </c>
    </row>
    <row r="1153" spans="1:14" ht="14.4" x14ac:dyDescent="0.3">
      <c r="A1153" s="44" t="s">
        <v>2148</v>
      </c>
      <c r="B1153" s="44" t="s">
        <v>2149</v>
      </c>
      <c r="C1153" s="44" t="s">
        <v>2135</v>
      </c>
      <c r="D1153" s="27">
        <v>6</v>
      </c>
      <c r="E1153" s="27">
        <v>6</v>
      </c>
      <c r="F1153" s="27">
        <v>207</v>
      </c>
      <c r="G1153" s="27">
        <v>145</v>
      </c>
      <c r="H1153" s="27">
        <v>68</v>
      </c>
      <c r="I1153" s="27">
        <f>+IFERROR(VLOOKUP(A1153,'[1]Pending Dispatch'!$N$2:$O$651,2,0),0)</f>
        <v>0</v>
      </c>
      <c r="J1153" s="27">
        <f t="shared" si="17"/>
        <v>68</v>
      </c>
      <c r="K1153" s="28">
        <v>4.8</v>
      </c>
      <c r="L1153" s="28">
        <v>8.6399999999999991E-2</v>
      </c>
      <c r="M1153" s="26">
        <v>0</v>
      </c>
      <c r="N1153" s="26">
        <v>0</v>
      </c>
    </row>
    <row r="1154" spans="1:14" ht="14.4" x14ac:dyDescent="0.3">
      <c r="A1154" s="44" t="s">
        <v>2150</v>
      </c>
      <c r="B1154" s="44" t="s">
        <v>2151</v>
      </c>
      <c r="C1154" s="44" t="s">
        <v>2135</v>
      </c>
      <c r="D1154" s="27">
        <v>6</v>
      </c>
      <c r="E1154" s="27">
        <v>1</v>
      </c>
      <c r="F1154" s="27">
        <v>465</v>
      </c>
      <c r="G1154" s="27">
        <v>237</v>
      </c>
      <c r="H1154" s="27">
        <v>229</v>
      </c>
      <c r="I1154" s="27">
        <f>+IFERROR(VLOOKUP(A1154,'[1]Pending Dispatch'!$N$2:$O$651,2,0),0)</f>
        <v>42</v>
      </c>
      <c r="J1154" s="27">
        <f t="shared" si="17"/>
        <v>187</v>
      </c>
      <c r="K1154" s="28">
        <v>3.6</v>
      </c>
      <c r="L1154" s="28">
        <v>5.04E-2</v>
      </c>
      <c r="M1154" s="26">
        <v>0</v>
      </c>
      <c r="N1154" s="26">
        <v>0</v>
      </c>
    </row>
    <row r="1155" spans="1:14" ht="14.4" x14ac:dyDescent="0.3">
      <c r="A1155" s="44" t="s">
        <v>2152</v>
      </c>
      <c r="B1155" s="44" t="s">
        <v>2153</v>
      </c>
      <c r="C1155" s="44" t="s">
        <v>2135</v>
      </c>
      <c r="D1155" s="27">
        <v>10</v>
      </c>
      <c r="E1155" s="27">
        <v>20</v>
      </c>
      <c r="F1155" s="27">
        <v>0</v>
      </c>
      <c r="G1155" s="27">
        <v>20</v>
      </c>
      <c r="H1155" s="27">
        <v>0</v>
      </c>
      <c r="I1155" s="27">
        <f>+IFERROR(VLOOKUP(A1155,'[1]Pending Dispatch'!$N$2:$O$651,2,0),0)</f>
        <v>0</v>
      </c>
      <c r="J1155" s="27">
        <f t="shared" si="17"/>
        <v>0</v>
      </c>
      <c r="K1155" s="28">
        <v>2.1</v>
      </c>
      <c r="L1155" s="28">
        <v>4.2000000000000003E-2</v>
      </c>
      <c r="M1155" s="26">
        <v>0</v>
      </c>
      <c r="N1155" s="26">
        <v>0</v>
      </c>
    </row>
    <row r="1156" spans="1:14" ht="14.4" x14ac:dyDescent="0.3">
      <c r="A1156" s="38" t="s">
        <v>2154</v>
      </c>
      <c r="B1156" s="38" t="s">
        <v>1732</v>
      </c>
      <c r="C1156" s="26" t="s">
        <v>1726</v>
      </c>
      <c r="D1156" s="27">
        <v>75</v>
      </c>
      <c r="E1156" s="27">
        <v>300</v>
      </c>
      <c r="F1156" s="27">
        <v>0</v>
      </c>
      <c r="G1156" s="27">
        <v>225</v>
      </c>
      <c r="H1156" s="27">
        <v>75</v>
      </c>
      <c r="I1156" s="27">
        <f>+IFERROR(VLOOKUP(A1156,'[1]Pending Dispatch'!$N$2:$O$651,2,0),0)</f>
        <v>85</v>
      </c>
      <c r="J1156" s="27">
        <f t="shared" si="17"/>
        <v>-10</v>
      </c>
      <c r="K1156" s="28">
        <v>0.19</v>
      </c>
      <c r="L1156" s="28">
        <v>7.1249999999999994E-2</v>
      </c>
      <c r="M1156" s="26">
        <v>80.8</v>
      </c>
      <c r="N1156" s="26">
        <v>-808</v>
      </c>
    </row>
    <row r="1157" spans="1:14" x14ac:dyDescent="0.3">
      <c r="A1157" s="25" t="s">
        <v>2155</v>
      </c>
      <c r="B1157" s="26" t="s">
        <v>2156</v>
      </c>
      <c r="C1157" s="26" t="s">
        <v>2157</v>
      </c>
      <c r="D1157" s="27">
        <v>20</v>
      </c>
      <c r="E1157" s="27">
        <v>20</v>
      </c>
      <c r="F1157" s="27">
        <v>0</v>
      </c>
      <c r="G1157" s="27">
        <v>0</v>
      </c>
      <c r="H1157" s="27">
        <v>20</v>
      </c>
      <c r="I1157" s="27">
        <f>+IFERROR(VLOOKUP(A1157,'[1]Pending Dispatch'!$N$2:$O$651,2,0),0)</f>
        <v>0</v>
      </c>
      <c r="J1157" s="27">
        <f t="shared" si="17"/>
        <v>20</v>
      </c>
      <c r="K1157" s="28">
        <v>1</v>
      </c>
      <c r="L1157" s="28">
        <v>0.02</v>
      </c>
      <c r="M1157" s="26">
        <v>0</v>
      </c>
      <c r="N1157" s="26">
        <v>0</v>
      </c>
    </row>
    <row r="1158" spans="1:14" ht="14.4" x14ac:dyDescent="0.3">
      <c r="A1158" s="38" t="s">
        <v>2158</v>
      </c>
      <c r="B1158" s="44" t="s">
        <v>2159</v>
      </c>
      <c r="C1158" s="26" t="s">
        <v>2157</v>
      </c>
      <c r="D1158" s="27">
        <v>20</v>
      </c>
      <c r="E1158" s="27">
        <v>900</v>
      </c>
      <c r="F1158" s="27">
        <v>0</v>
      </c>
      <c r="G1158" s="27">
        <v>0</v>
      </c>
      <c r="H1158" s="27">
        <v>900</v>
      </c>
      <c r="I1158" s="27">
        <f>+IFERROR(VLOOKUP(A1158,'[1]Pending Dispatch'!$N$2:$O$651,2,0),0)</f>
        <v>0</v>
      </c>
      <c r="J1158" s="27">
        <f t="shared" ref="J1158:J1221" si="18">+H1158-I1158</f>
        <v>900</v>
      </c>
      <c r="K1158" s="28">
        <v>1.0900000000000001</v>
      </c>
      <c r="L1158" s="28">
        <v>1.1990000000000001</v>
      </c>
      <c r="M1158" s="26">
        <v>0</v>
      </c>
      <c r="N1158" s="26">
        <v>0</v>
      </c>
    </row>
    <row r="1159" spans="1:14" ht="14.4" x14ac:dyDescent="0.3">
      <c r="A1159" s="25" t="s">
        <v>2160</v>
      </c>
      <c r="B1159" s="44" t="s">
        <v>2161</v>
      </c>
      <c r="C1159" s="26" t="s">
        <v>2157</v>
      </c>
      <c r="D1159" s="27">
        <v>20</v>
      </c>
      <c r="E1159" s="27">
        <v>0</v>
      </c>
      <c r="F1159" s="27">
        <v>0</v>
      </c>
      <c r="G1159" s="27">
        <v>0</v>
      </c>
      <c r="H1159" s="27">
        <v>0</v>
      </c>
      <c r="I1159" s="27">
        <f>+IFERROR(VLOOKUP(A1159,'[1]Pending Dispatch'!$N$2:$O$651,2,0),0)</f>
        <v>0</v>
      </c>
      <c r="J1159" s="27">
        <f t="shared" si="18"/>
        <v>0</v>
      </c>
      <c r="K1159" s="28">
        <v>1.17</v>
      </c>
      <c r="L1159" s="28">
        <v>0</v>
      </c>
      <c r="M1159" s="26">
        <v>0</v>
      </c>
      <c r="N1159" s="26">
        <v>0</v>
      </c>
    </row>
    <row r="1160" spans="1:14" x14ac:dyDescent="0.3">
      <c r="A1160" s="25" t="s">
        <v>2162</v>
      </c>
      <c r="B1160" s="26" t="s">
        <v>2163</v>
      </c>
      <c r="C1160" s="26" t="s">
        <v>2157</v>
      </c>
      <c r="D1160" s="27">
        <v>15</v>
      </c>
      <c r="E1160" s="27">
        <v>30</v>
      </c>
      <c r="F1160" s="27">
        <v>150</v>
      </c>
      <c r="G1160" s="27">
        <v>150</v>
      </c>
      <c r="H1160" s="27">
        <v>30</v>
      </c>
      <c r="I1160" s="27">
        <f>+IFERROR(VLOOKUP(A1160,'[1]Pending Dispatch'!$N$2:$O$651,2,0),0)</f>
        <v>600</v>
      </c>
      <c r="J1160" s="27">
        <f t="shared" si="18"/>
        <v>-570</v>
      </c>
      <c r="K1160" s="28">
        <v>1.32</v>
      </c>
      <c r="L1160" s="28">
        <v>0.33660000000000001</v>
      </c>
      <c r="M1160" s="26">
        <v>0</v>
      </c>
      <c r="N1160" s="26">
        <v>0</v>
      </c>
    </row>
    <row r="1161" spans="1:14" x14ac:dyDescent="0.3">
      <c r="A1161" s="25" t="s">
        <v>2164</v>
      </c>
      <c r="B1161" s="26" t="s">
        <v>2165</v>
      </c>
      <c r="C1161" s="26" t="s">
        <v>2157</v>
      </c>
      <c r="D1161" s="27">
        <v>15</v>
      </c>
      <c r="E1161" s="27">
        <v>165</v>
      </c>
      <c r="F1161" s="27">
        <v>0</v>
      </c>
      <c r="G1161" s="27">
        <v>0</v>
      </c>
      <c r="H1161" s="27">
        <v>165</v>
      </c>
      <c r="I1161" s="27">
        <f>+IFERROR(VLOOKUP(A1161,'[1]Pending Dispatch'!$N$2:$O$651,2,0),0)</f>
        <v>750</v>
      </c>
      <c r="J1161" s="27">
        <f t="shared" si="18"/>
        <v>-585</v>
      </c>
      <c r="K1161" s="28">
        <v>1.49</v>
      </c>
      <c r="L1161" s="28">
        <v>0.42464999999999997</v>
      </c>
      <c r="M1161" s="26">
        <v>0</v>
      </c>
      <c r="N1161" s="26">
        <v>0</v>
      </c>
    </row>
    <row r="1162" spans="1:14" x14ac:dyDescent="0.3">
      <c r="A1162" s="25" t="s">
        <v>2166</v>
      </c>
      <c r="B1162" s="26" t="s">
        <v>2167</v>
      </c>
      <c r="C1162" s="26" t="s">
        <v>2157</v>
      </c>
      <c r="D1162" s="27">
        <v>15</v>
      </c>
      <c r="E1162" s="27">
        <v>700</v>
      </c>
      <c r="F1162" s="27">
        <v>0</v>
      </c>
      <c r="G1162" s="27">
        <v>0</v>
      </c>
      <c r="H1162" s="27">
        <v>700</v>
      </c>
      <c r="I1162" s="27">
        <f>+IFERROR(VLOOKUP(A1162,'[1]Pending Dispatch'!$N$2:$O$651,2,0),0)</f>
        <v>0</v>
      </c>
      <c r="J1162" s="27">
        <f t="shared" si="18"/>
        <v>700</v>
      </c>
      <c r="K1162" s="28">
        <v>1.7</v>
      </c>
      <c r="L1162" s="28">
        <v>1.19</v>
      </c>
      <c r="M1162" s="26">
        <v>0</v>
      </c>
      <c r="N1162" s="26">
        <v>0</v>
      </c>
    </row>
    <row r="1163" spans="1:14" x14ac:dyDescent="0.3">
      <c r="A1163" s="25" t="s">
        <v>2168</v>
      </c>
      <c r="B1163" s="26" t="s">
        <v>2169</v>
      </c>
      <c r="C1163" s="26" t="s">
        <v>2157</v>
      </c>
      <c r="D1163" s="27">
        <v>15</v>
      </c>
      <c r="E1163" s="27">
        <v>0</v>
      </c>
      <c r="F1163" s="27">
        <v>0</v>
      </c>
      <c r="G1163" s="27">
        <v>0</v>
      </c>
      <c r="H1163" s="27">
        <v>0</v>
      </c>
      <c r="I1163" s="27">
        <f>+IFERROR(VLOOKUP(A1163,'[1]Pending Dispatch'!$N$2:$O$651,2,0),0)</f>
        <v>0</v>
      </c>
      <c r="J1163" s="27">
        <f t="shared" si="18"/>
        <v>0</v>
      </c>
      <c r="K1163" s="28">
        <v>2.06</v>
      </c>
      <c r="L1163" s="28">
        <v>0</v>
      </c>
      <c r="M1163" s="26">
        <v>0</v>
      </c>
      <c r="N1163" s="26">
        <v>0</v>
      </c>
    </row>
    <row r="1164" spans="1:14" x14ac:dyDescent="0.3">
      <c r="A1164" s="25" t="s">
        <v>2170</v>
      </c>
      <c r="B1164" s="26" t="s">
        <v>2171</v>
      </c>
      <c r="C1164" s="26" t="s">
        <v>2157</v>
      </c>
      <c r="D1164" s="27">
        <v>10</v>
      </c>
      <c r="E1164" s="27">
        <v>0</v>
      </c>
      <c r="F1164" s="27">
        <v>0</v>
      </c>
      <c r="G1164" s="27">
        <v>0</v>
      </c>
      <c r="H1164" s="27">
        <v>0</v>
      </c>
      <c r="I1164" s="27">
        <f>+IFERROR(VLOOKUP(A1164,'[1]Pending Dispatch'!$N$2:$O$651,2,0),0)</f>
        <v>0</v>
      </c>
      <c r="J1164" s="27">
        <f t="shared" si="18"/>
        <v>0</v>
      </c>
      <c r="K1164" s="28">
        <v>1.8940000000000001</v>
      </c>
      <c r="L1164" s="28">
        <v>0</v>
      </c>
      <c r="M1164" s="26">
        <v>0</v>
      </c>
      <c r="N1164" s="26">
        <v>0</v>
      </c>
    </row>
    <row r="1165" spans="1:14" x14ac:dyDescent="0.3">
      <c r="A1165" s="25" t="s">
        <v>2172</v>
      </c>
      <c r="B1165" s="26" t="s">
        <v>2173</v>
      </c>
      <c r="C1165" s="26" t="s">
        <v>2157</v>
      </c>
      <c r="D1165" s="27">
        <v>10</v>
      </c>
      <c r="E1165" s="27">
        <v>0</v>
      </c>
      <c r="F1165" s="27">
        <v>0</v>
      </c>
      <c r="G1165" s="27">
        <v>0</v>
      </c>
      <c r="H1165" s="27">
        <v>0</v>
      </c>
      <c r="I1165" s="27">
        <f>+IFERROR(VLOOKUP(A1165,'[1]Pending Dispatch'!$N$2:$O$651,2,0),0)</f>
        <v>0</v>
      </c>
      <c r="J1165" s="27">
        <f t="shared" si="18"/>
        <v>0</v>
      </c>
      <c r="K1165" s="28">
        <v>2.214</v>
      </c>
      <c r="L1165" s="28">
        <v>0</v>
      </c>
      <c r="M1165" s="26">
        <v>0</v>
      </c>
      <c r="N1165" s="26">
        <v>0</v>
      </c>
    </row>
    <row r="1166" spans="1:14" x14ac:dyDescent="0.3">
      <c r="A1166" s="25" t="s">
        <v>2174</v>
      </c>
      <c r="B1166" s="26" t="s">
        <v>2175</v>
      </c>
      <c r="C1166" s="26" t="s">
        <v>2157</v>
      </c>
      <c r="D1166" s="27">
        <v>10</v>
      </c>
      <c r="E1166" s="27">
        <v>0</v>
      </c>
      <c r="F1166" s="27">
        <v>0</v>
      </c>
      <c r="G1166" s="27">
        <v>0</v>
      </c>
      <c r="H1166" s="27">
        <v>0</v>
      </c>
      <c r="I1166" s="27">
        <f>+IFERROR(VLOOKUP(A1166,'[1]Pending Dispatch'!$N$2:$O$651,2,0),0)</f>
        <v>0</v>
      </c>
      <c r="J1166" s="27">
        <f t="shared" si="18"/>
        <v>0</v>
      </c>
      <c r="K1166" s="28">
        <v>2.6639999999999997</v>
      </c>
      <c r="L1166" s="28">
        <v>0</v>
      </c>
      <c r="M1166" s="26">
        <v>0</v>
      </c>
      <c r="N1166" s="26">
        <v>0</v>
      </c>
    </row>
    <row r="1167" spans="1:14" x14ac:dyDescent="0.3">
      <c r="A1167" s="25" t="s">
        <v>2176</v>
      </c>
      <c r="B1167" s="26" t="s">
        <v>2177</v>
      </c>
      <c r="C1167" s="26" t="s">
        <v>2157</v>
      </c>
      <c r="D1167" s="27">
        <v>8</v>
      </c>
      <c r="E1167" s="27">
        <v>0</v>
      </c>
      <c r="F1167" s="27">
        <v>0</v>
      </c>
      <c r="G1167" s="27">
        <v>0</v>
      </c>
      <c r="H1167" s="27">
        <v>0</v>
      </c>
      <c r="I1167" s="27">
        <f>+IFERROR(VLOOKUP(A1167,'[1]Pending Dispatch'!$N$2:$O$651,2,0),0)</f>
        <v>0</v>
      </c>
      <c r="J1167" s="27">
        <f t="shared" si="18"/>
        <v>0</v>
      </c>
      <c r="K1167" s="28">
        <v>3.5630000000000002</v>
      </c>
      <c r="L1167" s="28">
        <v>0</v>
      </c>
      <c r="M1167" s="26">
        <v>0</v>
      </c>
      <c r="N1167" s="26">
        <v>0</v>
      </c>
    </row>
    <row r="1168" spans="1:14" x14ac:dyDescent="0.3">
      <c r="A1168" s="25" t="s">
        <v>2178</v>
      </c>
      <c r="B1168" s="26" t="s">
        <v>2179</v>
      </c>
      <c r="C1168" s="26" t="s">
        <v>2157</v>
      </c>
      <c r="D1168" s="27">
        <v>8</v>
      </c>
      <c r="E1168" s="27">
        <v>0</v>
      </c>
      <c r="F1168" s="27">
        <v>0</v>
      </c>
      <c r="G1168" s="27">
        <v>0</v>
      </c>
      <c r="H1168" s="27">
        <v>0</v>
      </c>
      <c r="I1168" s="27">
        <f>+IFERROR(VLOOKUP(A1168,'[1]Pending Dispatch'!$N$2:$O$651,2,0),0)</f>
        <v>0</v>
      </c>
      <c r="J1168" s="27">
        <f t="shared" si="18"/>
        <v>0</v>
      </c>
      <c r="K1168" s="28">
        <v>4.3029999999999999</v>
      </c>
      <c r="L1168" s="28">
        <v>0</v>
      </c>
      <c r="M1168" s="26">
        <v>0</v>
      </c>
      <c r="N1168" s="26">
        <v>0</v>
      </c>
    </row>
    <row r="1169" spans="1:14" x14ac:dyDescent="0.3">
      <c r="A1169" s="25" t="s">
        <v>2180</v>
      </c>
      <c r="B1169" s="26" t="s">
        <v>2181</v>
      </c>
      <c r="C1169" s="26" t="s">
        <v>2157</v>
      </c>
      <c r="D1169" s="27">
        <v>8</v>
      </c>
      <c r="E1169" s="27">
        <v>0</v>
      </c>
      <c r="F1169" s="27">
        <v>0</v>
      </c>
      <c r="G1169" s="27">
        <v>0</v>
      </c>
      <c r="H1169" s="27">
        <v>0</v>
      </c>
      <c r="I1169" s="27">
        <f>+IFERROR(VLOOKUP(A1169,'[1]Pending Dispatch'!$N$2:$O$651,2,0),0)</f>
        <v>0</v>
      </c>
      <c r="J1169" s="27">
        <f t="shared" si="18"/>
        <v>0</v>
      </c>
      <c r="K1169" s="28">
        <v>5.133</v>
      </c>
      <c r="L1169" s="28">
        <v>0</v>
      </c>
      <c r="M1169" s="26">
        <v>0</v>
      </c>
      <c r="N1169" s="26">
        <v>0</v>
      </c>
    </row>
    <row r="1170" spans="1:14" x14ac:dyDescent="0.3">
      <c r="A1170" s="25" t="s">
        <v>2182</v>
      </c>
      <c r="B1170" s="26" t="s">
        <v>2183</v>
      </c>
      <c r="C1170" s="26" t="s">
        <v>2157</v>
      </c>
      <c r="D1170" s="27">
        <v>5</v>
      </c>
      <c r="E1170" s="27">
        <v>0</v>
      </c>
      <c r="F1170" s="27">
        <v>0</v>
      </c>
      <c r="G1170" s="27">
        <v>0</v>
      </c>
      <c r="H1170" s="27">
        <v>0</v>
      </c>
      <c r="I1170" s="27">
        <f>+IFERROR(VLOOKUP(A1170,'[1]Pending Dispatch'!$N$2:$O$651,2,0),0)</f>
        <v>0</v>
      </c>
      <c r="J1170" s="27">
        <f t="shared" si="18"/>
        <v>0</v>
      </c>
      <c r="K1170" s="28">
        <v>5.2329999999999997</v>
      </c>
      <c r="L1170" s="28">
        <v>0</v>
      </c>
      <c r="M1170" s="26">
        <v>0</v>
      </c>
      <c r="N1170" s="26">
        <v>0</v>
      </c>
    </row>
    <row r="1171" spans="1:14" x14ac:dyDescent="0.3">
      <c r="A1171" s="25" t="s">
        <v>2184</v>
      </c>
      <c r="B1171" s="26" t="s">
        <v>2185</v>
      </c>
      <c r="C1171" s="26" t="s">
        <v>2157</v>
      </c>
      <c r="D1171" s="27">
        <v>5</v>
      </c>
      <c r="E1171" s="27">
        <v>0</v>
      </c>
      <c r="F1171" s="27">
        <v>0</v>
      </c>
      <c r="G1171" s="27">
        <v>0</v>
      </c>
      <c r="H1171" s="27">
        <v>0</v>
      </c>
      <c r="I1171" s="27">
        <f>+IFERROR(VLOOKUP(A1171,'[1]Pending Dispatch'!$N$2:$O$651,2,0),0)</f>
        <v>0</v>
      </c>
      <c r="J1171" s="27">
        <f t="shared" si="18"/>
        <v>0</v>
      </c>
      <c r="K1171" s="28">
        <v>6.423</v>
      </c>
      <c r="L1171" s="28">
        <v>0</v>
      </c>
      <c r="M1171" s="26">
        <v>0</v>
      </c>
      <c r="N1171" s="26">
        <v>0</v>
      </c>
    </row>
    <row r="1172" spans="1:14" x14ac:dyDescent="0.3">
      <c r="A1172" s="25" t="s">
        <v>2186</v>
      </c>
      <c r="B1172" s="26" t="s">
        <v>2187</v>
      </c>
      <c r="C1172" s="26" t="s">
        <v>2157</v>
      </c>
      <c r="D1172" s="27">
        <v>5</v>
      </c>
      <c r="E1172" s="27">
        <v>0</v>
      </c>
      <c r="F1172" s="27">
        <v>0</v>
      </c>
      <c r="G1172" s="27">
        <v>0</v>
      </c>
      <c r="H1172" s="27">
        <v>0</v>
      </c>
      <c r="I1172" s="27">
        <f>+IFERROR(VLOOKUP(A1172,'[1]Pending Dispatch'!$N$2:$O$651,2,0),0)</f>
        <v>0</v>
      </c>
      <c r="J1172" s="27">
        <f t="shared" si="18"/>
        <v>0</v>
      </c>
      <c r="K1172" s="28">
        <v>7.5629999999999997</v>
      </c>
      <c r="L1172" s="28">
        <v>0</v>
      </c>
      <c r="M1172" s="26">
        <v>12.4</v>
      </c>
      <c r="N1172" s="26">
        <v>0</v>
      </c>
    </row>
    <row r="1173" spans="1:14" x14ac:dyDescent="0.3">
      <c r="A1173" s="25" t="s">
        <v>2188</v>
      </c>
      <c r="B1173" s="26" t="s">
        <v>2189</v>
      </c>
      <c r="C1173" s="26" t="s">
        <v>2157</v>
      </c>
      <c r="D1173" s="27">
        <v>4</v>
      </c>
      <c r="E1173" s="27">
        <v>0</v>
      </c>
      <c r="F1173" s="27">
        <v>0</v>
      </c>
      <c r="G1173" s="27">
        <v>0</v>
      </c>
      <c r="H1173" s="27">
        <v>0</v>
      </c>
      <c r="I1173" s="27">
        <f>+IFERROR(VLOOKUP(A1173,'[1]Pending Dispatch'!$N$2:$O$651,2,0),0)</f>
        <v>0</v>
      </c>
      <c r="J1173" s="27">
        <f t="shared" si="18"/>
        <v>0</v>
      </c>
      <c r="K1173" s="28">
        <v>7.0430000000000001</v>
      </c>
      <c r="L1173" s="28">
        <v>0</v>
      </c>
      <c r="M1173" s="26">
        <v>17.899999999999999</v>
      </c>
      <c r="N1173" s="26">
        <v>0</v>
      </c>
    </row>
    <row r="1174" spans="1:14" x14ac:dyDescent="0.3">
      <c r="A1174" s="25" t="s">
        <v>2190</v>
      </c>
      <c r="B1174" s="26" t="s">
        <v>2191</v>
      </c>
      <c r="C1174" s="26" t="s">
        <v>2157</v>
      </c>
      <c r="D1174" s="27">
        <v>4</v>
      </c>
      <c r="E1174" s="27">
        <v>0</v>
      </c>
      <c r="F1174" s="27">
        <v>0</v>
      </c>
      <c r="G1174" s="27">
        <v>0</v>
      </c>
      <c r="H1174" s="27">
        <v>0</v>
      </c>
      <c r="I1174" s="27">
        <f>+IFERROR(VLOOKUP(A1174,'[1]Pending Dispatch'!$N$2:$O$651,2,0),0)</f>
        <v>0</v>
      </c>
      <c r="J1174" s="27">
        <f t="shared" si="18"/>
        <v>0</v>
      </c>
      <c r="K1174" s="28">
        <v>8.7530000000000001</v>
      </c>
      <c r="L1174" s="28">
        <v>0</v>
      </c>
      <c r="M1174" s="26">
        <v>33.5</v>
      </c>
      <c r="N1174" s="26">
        <v>0</v>
      </c>
    </row>
    <row r="1175" spans="1:14" x14ac:dyDescent="0.3">
      <c r="A1175" s="25" t="s">
        <v>2192</v>
      </c>
      <c r="B1175" s="26" t="s">
        <v>2193</v>
      </c>
      <c r="C1175" s="26" t="s">
        <v>2157</v>
      </c>
      <c r="D1175" s="27">
        <v>4</v>
      </c>
      <c r="E1175" s="27">
        <v>0</v>
      </c>
      <c r="F1175" s="27">
        <v>0</v>
      </c>
      <c r="G1175" s="27">
        <v>0</v>
      </c>
      <c r="H1175" s="27">
        <v>0</v>
      </c>
      <c r="I1175" s="27">
        <f>+IFERROR(VLOOKUP(A1175,'[1]Pending Dispatch'!$N$2:$O$651,2,0),0)</f>
        <v>0</v>
      </c>
      <c r="J1175" s="27">
        <f t="shared" si="18"/>
        <v>0</v>
      </c>
      <c r="K1175" s="28">
        <v>10.343</v>
      </c>
      <c r="L1175" s="28">
        <v>0</v>
      </c>
      <c r="M1175" s="26">
        <v>0</v>
      </c>
      <c r="N1175" s="26">
        <v>0</v>
      </c>
    </row>
    <row r="1176" spans="1:14" x14ac:dyDescent="0.3">
      <c r="A1176" s="25" t="s">
        <v>2194</v>
      </c>
      <c r="B1176" s="26" t="s">
        <v>2195</v>
      </c>
      <c r="C1176" s="26" t="s">
        <v>2157</v>
      </c>
      <c r="D1176" s="27">
        <v>2</v>
      </c>
      <c r="E1176" s="27">
        <v>0</v>
      </c>
      <c r="F1176" s="27">
        <v>0</v>
      </c>
      <c r="G1176" s="27">
        <v>0</v>
      </c>
      <c r="H1176" s="27">
        <v>0</v>
      </c>
      <c r="I1176" s="27">
        <f>+IFERROR(VLOOKUP(A1176,'[1]Pending Dispatch'!$N$2:$O$651,2,0),0)</f>
        <v>0</v>
      </c>
      <c r="J1176" s="27">
        <f t="shared" si="18"/>
        <v>0</v>
      </c>
      <c r="K1176" s="28">
        <v>11.47</v>
      </c>
      <c r="L1176" s="28">
        <v>0</v>
      </c>
      <c r="M1176" s="26">
        <v>0</v>
      </c>
      <c r="N1176" s="26">
        <v>0</v>
      </c>
    </row>
    <row r="1177" spans="1:14" x14ac:dyDescent="0.3">
      <c r="A1177" s="25" t="s">
        <v>2196</v>
      </c>
      <c r="B1177" s="26" t="s">
        <v>2197</v>
      </c>
      <c r="C1177" s="26" t="s">
        <v>2157</v>
      </c>
      <c r="D1177" s="27">
        <v>2</v>
      </c>
      <c r="E1177" s="27">
        <v>0</v>
      </c>
      <c r="F1177" s="27">
        <v>0</v>
      </c>
      <c r="G1177" s="27">
        <v>0</v>
      </c>
      <c r="H1177" s="27">
        <v>0</v>
      </c>
      <c r="I1177" s="27">
        <f>+IFERROR(VLOOKUP(A1177,'[1]Pending Dispatch'!$N$2:$O$651,2,0),0)</f>
        <v>0</v>
      </c>
      <c r="J1177" s="27">
        <f t="shared" si="18"/>
        <v>0</v>
      </c>
      <c r="K1177" s="28">
        <v>14.120000000000001</v>
      </c>
      <c r="L1177" s="28">
        <v>0</v>
      </c>
      <c r="M1177" s="26">
        <v>0</v>
      </c>
      <c r="N1177" s="26">
        <v>0</v>
      </c>
    </row>
    <row r="1178" spans="1:14" x14ac:dyDescent="0.3">
      <c r="A1178" s="25" t="s">
        <v>2198</v>
      </c>
      <c r="B1178" s="26" t="s">
        <v>2199</v>
      </c>
      <c r="C1178" s="26" t="s">
        <v>2157</v>
      </c>
      <c r="D1178" s="27">
        <v>2</v>
      </c>
      <c r="E1178" s="27">
        <v>0</v>
      </c>
      <c r="F1178" s="27">
        <v>0</v>
      </c>
      <c r="G1178" s="27">
        <v>0</v>
      </c>
      <c r="H1178" s="27">
        <v>0</v>
      </c>
      <c r="I1178" s="27">
        <f>+IFERROR(VLOOKUP(A1178,'[1]Pending Dispatch'!$N$2:$O$651,2,0),0)</f>
        <v>0</v>
      </c>
      <c r="J1178" s="27">
        <f t="shared" si="18"/>
        <v>0</v>
      </c>
      <c r="K1178" s="28">
        <v>16.809999999999999</v>
      </c>
      <c r="L1178" s="28">
        <v>0</v>
      </c>
      <c r="M1178" s="26">
        <v>0</v>
      </c>
      <c r="N1178" s="26">
        <v>0</v>
      </c>
    </row>
    <row r="1179" spans="1:14" ht="14.4" x14ac:dyDescent="0.3">
      <c r="A1179" s="46">
        <v>5793</v>
      </c>
      <c r="B1179" s="47" t="s">
        <v>2200</v>
      </c>
      <c r="C1179" s="34" t="s">
        <v>1476</v>
      </c>
      <c r="D1179" s="35">
        <v>18</v>
      </c>
      <c r="E1179" s="35">
        <v>94</v>
      </c>
      <c r="F1179" s="35">
        <v>370</v>
      </c>
      <c r="G1179" s="35">
        <v>464</v>
      </c>
      <c r="H1179" s="35">
        <v>0</v>
      </c>
      <c r="I1179" s="27">
        <f>+IFERROR(VLOOKUP(A1179,'[1]Pending Dispatch'!$N$2:$O$651,2,0),0)</f>
        <v>500</v>
      </c>
      <c r="J1179" s="27">
        <f t="shared" si="18"/>
        <v>-500</v>
      </c>
      <c r="K1179" s="36">
        <v>0.2697</v>
      </c>
      <c r="L1179" s="36">
        <v>8.9270700000000008E-2</v>
      </c>
      <c r="M1179" s="34">
        <v>0</v>
      </c>
      <c r="N1179" s="34">
        <v>0</v>
      </c>
    </row>
    <row r="1180" spans="1:14" ht="14.4" x14ac:dyDescent="0.3">
      <c r="A1180" s="38" t="s">
        <v>2201</v>
      </c>
      <c r="B1180" s="44" t="s">
        <v>2202</v>
      </c>
      <c r="C1180" s="26" t="s">
        <v>1647</v>
      </c>
      <c r="D1180" s="27">
        <v>1</v>
      </c>
      <c r="E1180" s="27">
        <v>421</v>
      </c>
      <c r="F1180" s="27">
        <v>580</v>
      </c>
      <c r="G1180" s="27">
        <v>671</v>
      </c>
      <c r="H1180" s="27">
        <v>330</v>
      </c>
      <c r="I1180" s="27">
        <f>+IFERROR(VLOOKUP(A1180,'[1]Pending Dispatch'!$N$2:$O$651,2,0),0)</f>
        <v>50</v>
      </c>
      <c r="J1180" s="27">
        <f t="shared" si="18"/>
        <v>280</v>
      </c>
      <c r="K1180" s="28">
        <v>5.2</v>
      </c>
      <c r="L1180" s="28">
        <v>0.97239999999999993</v>
      </c>
      <c r="M1180" s="26">
        <v>0</v>
      </c>
      <c r="N1180" s="26">
        <v>0</v>
      </c>
    </row>
    <row r="1181" spans="1:14" ht="14.4" x14ac:dyDescent="0.3">
      <c r="A1181" s="38" t="s">
        <v>2203</v>
      </c>
      <c r="B1181" s="44" t="s">
        <v>2204</v>
      </c>
      <c r="C1181" s="26" t="s">
        <v>1647</v>
      </c>
      <c r="D1181" s="27">
        <v>1</v>
      </c>
      <c r="E1181" s="27">
        <v>422</v>
      </c>
      <c r="F1181" s="27">
        <v>0</v>
      </c>
      <c r="G1181" s="27">
        <v>235</v>
      </c>
      <c r="H1181" s="27">
        <v>187</v>
      </c>
      <c r="I1181" s="27">
        <f>+IFERROR(VLOOKUP(A1181,'[1]Pending Dispatch'!$N$2:$O$651,2,0),0)</f>
        <v>80</v>
      </c>
      <c r="J1181" s="27">
        <f t="shared" si="18"/>
        <v>107</v>
      </c>
      <c r="K1181" s="28">
        <v>7.05</v>
      </c>
      <c r="L1181" s="28">
        <v>1.4804999999999999</v>
      </c>
      <c r="M1181" s="26">
        <v>0</v>
      </c>
      <c r="N1181" s="26">
        <v>0</v>
      </c>
    </row>
    <row r="1182" spans="1:14" ht="14.4" x14ac:dyDescent="0.3">
      <c r="A1182" s="38" t="s">
        <v>2205</v>
      </c>
      <c r="B1182" s="44" t="s">
        <v>2206</v>
      </c>
      <c r="C1182" s="26" t="s">
        <v>1647</v>
      </c>
      <c r="D1182" s="27">
        <v>1</v>
      </c>
      <c r="E1182" s="27">
        <v>53</v>
      </c>
      <c r="F1182" s="27">
        <v>937</v>
      </c>
      <c r="G1182" s="27">
        <v>854</v>
      </c>
      <c r="H1182" s="27">
        <v>136</v>
      </c>
      <c r="I1182" s="27">
        <f>+IFERROR(VLOOKUP(A1182,'[1]Pending Dispatch'!$N$2:$O$651,2,0),0)</f>
        <v>100</v>
      </c>
      <c r="J1182" s="27">
        <f t="shared" si="18"/>
        <v>36</v>
      </c>
      <c r="K1182" s="28">
        <v>7.3</v>
      </c>
      <c r="L1182" s="28">
        <v>2.9491999999999998</v>
      </c>
      <c r="M1182" s="26">
        <v>0</v>
      </c>
      <c r="N1182" s="26">
        <v>0</v>
      </c>
    </row>
    <row r="1183" spans="1:14" ht="14.4" x14ac:dyDescent="0.3">
      <c r="A1183" s="38" t="s">
        <v>2207</v>
      </c>
      <c r="B1183" s="44" t="s">
        <v>2208</v>
      </c>
      <c r="C1183" s="26" t="s">
        <v>1647</v>
      </c>
      <c r="D1183" s="27">
        <v>1</v>
      </c>
      <c r="E1183" s="27">
        <v>32</v>
      </c>
      <c r="F1183" s="27">
        <v>737</v>
      </c>
      <c r="G1183" s="27">
        <v>460</v>
      </c>
      <c r="H1183" s="27">
        <v>309</v>
      </c>
      <c r="I1183" s="27">
        <f>+IFERROR(VLOOKUP(A1183,'[1]Pending Dispatch'!$N$2:$O$651,2,0),0)</f>
        <v>100</v>
      </c>
      <c r="J1183" s="27">
        <f t="shared" si="18"/>
        <v>209</v>
      </c>
      <c r="K1183" s="28">
        <v>10.1</v>
      </c>
      <c r="L1183" s="28">
        <v>2.6259999999999999</v>
      </c>
      <c r="M1183" s="26">
        <v>0</v>
      </c>
      <c r="N1183" s="26">
        <v>0</v>
      </c>
    </row>
    <row r="1184" spans="1:14" ht="14.4" x14ac:dyDescent="0.3">
      <c r="A1184" s="38" t="s">
        <v>2209</v>
      </c>
      <c r="B1184" s="44" t="s">
        <v>2210</v>
      </c>
      <c r="C1184" s="26" t="s">
        <v>1647</v>
      </c>
      <c r="D1184" s="27">
        <v>1</v>
      </c>
      <c r="E1184" s="27">
        <v>113</v>
      </c>
      <c r="F1184" s="27">
        <v>0</v>
      </c>
      <c r="G1184" s="27">
        <v>50</v>
      </c>
      <c r="H1184" s="27">
        <v>63</v>
      </c>
      <c r="I1184" s="27">
        <f>+IFERROR(VLOOKUP(A1184,'[1]Pending Dispatch'!$N$2:$O$651,2,0),0)</f>
        <v>0</v>
      </c>
      <c r="J1184" s="27">
        <f t="shared" si="18"/>
        <v>63</v>
      </c>
      <c r="K1184" s="28">
        <v>0</v>
      </c>
      <c r="L1184" s="28">
        <v>0</v>
      </c>
      <c r="M1184" s="26">
        <v>758</v>
      </c>
      <c r="N1184" s="26">
        <v>47754</v>
      </c>
    </row>
    <row r="1185" spans="1:14" ht="14.4" x14ac:dyDescent="0.3">
      <c r="A1185" s="38" t="s">
        <v>2211</v>
      </c>
      <c r="B1185" s="26" t="s">
        <v>2212</v>
      </c>
      <c r="C1185" s="26" t="s">
        <v>1647</v>
      </c>
      <c r="D1185" s="27">
        <v>1</v>
      </c>
      <c r="E1185" s="27">
        <v>0</v>
      </c>
      <c r="F1185" s="27">
        <v>0</v>
      </c>
      <c r="G1185" s="27">
        <v>0</v>
      </c>
      <c r="H1185" s="27">
        <v>0</v>
      </c>
      <c r="I1185" s="27">
        <f>+IFERROR(VLOOKUP(A1185,'[1]Pending Dispatch'!$N$2:$O$651,2,0),0)</f>
        <v>0</v>
      </c>
      <c r="J1185" s="27">
        <f t="shared" si="18"/>
        <v>0</v>
      </c>
      <c r="K1185" s="28">
        <v>0</v>
      </c>
      <c r="L1185" s="28">
        <v>0</v>
      </c>
      <c r="M1185" s="26">
        <v>0</v>
      </c>
      <c r="N1185" s="26">
        <v>0</v>
      </c>
    </row>
    <row r="1186" spans="1:14" x14ac:dyDescent="0.3">
      <c r="A1186" s="49" t="s">
        <v>2213</v>
      </c>
      <c r="B1186" s="48" t="s">
        <v>2214</v>
      </c>
      <c r="C1186" s="26" t="s">
        <v>87</v>
      </c>
      <c r="D1186" s="27">
        <v>32</v>
      </c>
      <c r="E1186" s="27">
        <v>105</v>
      </c>
      <c r="F1186" s="27">
        <v>0</v>
      </c>
      <c r="G1186" s="27">
        <v>0</v>
      </c>
      <c r="H1186" s="27">
        <v>105</v>
      </c>
      <c r="I1186" s="27">
        <f>+IFERROR(VLOOKUP(A1186,'[1]Pending Dispatch'!$N$2:$O$651,2,0),0)</f>
        <v>64</v>
      </c>
      <c r="J1186" s="27">
        <f t="shared" si="18"/>
        <v>41</v>
      </c>
      <c r="K1186" s="28">
        <v>0</v>
      </c>
      <c r="L1186" s="28">
        <v>0</v>
      </c>
      <c r="M1186" s="26">
        <v>0</v>
      </c>
      <c r="N1186" s="26">
        <v>0</v>
      </c>
    </row>
    <row r="1187" spans="1:14" ht="14.4" x14ac:dyDescent="0.3">
      <c r="A1187" s="38" t="s">
        <v>2215</v>
      </c>
      <c r="B1187" s="44" t="s">
        <v>2216</v>
      </c>
      <c r="C1187" s="44" t="s">
        <v>2157</v>
      </c>
      <c r="D1187" s="27">
        <v>20</v>
      </c>
      <c r="E1187" s="27">
        <v>0</v>
      </c>
      <c r="F1187" s="27">
        <v>0</v>
      </c>
      <c r="G1187" s="27">
        <v>0</v>
      </c>
      <c r="H1187" s="27">
        <v>0</v>
      </c>
      <c r="I1187" s="27">
        <f>+IFERROR(VLOOKUP(A1187,'[1]Pending Dispatch'!$N$2:$O$651,2,0),0)</f>
        <v>0</v>
      </c>
      <c r="J1187" s="27">
        <f t="shared" si="18"/>
        <v>0</v>
      </c>
      <c r="K1187" s="28">
        <v>1</v>
      </c>
      <c r="L1187" s="28">
        <v>0</v>
      </c>
      <c r="M1187" s="26">
        <v>0</v>
      </c>
      <c r="N1187" s="26">
        <v>0</v>
      </c>
    </row>
    <row r="1188" spans="1:14" ht="14.4" x14ac:dyDescent="0.3">
      <c r="A1188" s="38" t="s">
        <v>2217</v>
      </c>
      <c r="B1188" s="44" t="s">
        <v>2218</v>
      </c>
      <c r="C1188" s="44" t="s">
        <v>2157</v>
      </c>
      <c r="D1188" s="27">
        <v>20</v>
      </c>
      <c r="E1188" s="27">
        <v>0</v>
      </c>
      <c r="F1188" s="27">
        <v>0</v>
      </c>
      <c r="G1188" s="27">
        <v>0</v>
      </c>
      <c r="H1188" s="27">
        <v>0</v>
      </c>
      <c r="I1188" s="27">
        <f>+IFERROR(VLOOKUP(A1188,'[1]Pending Dispatch'!$N$2:$O$651,2,0),0)</f>
        <v>0</v>
      </c>
      <c r="J1188" s="27">
        <f t="shared" si="18"/>
        <v>0</v>
      </c>
      <c r="K1188" s="28">
        <v>1.0900000000000001</v>
      </c>
      <c r="L1188" s="28">
        <v>0</v>
      </c>
      <c r="M1188" s="26">
        <v>748</v>
      </c>
      <c r="N1188" s="26">
        <v>0</v>
      </c>
    </row>
    <row r="1189" spans="1:14" ht="14.4" x14ac:dyDescent="0.3">
      <c r="A1189" s="38" t="s">
        <v>2219</v>
      </c>
      <c r="B1189" s="44" t="s">
        <v>2220</v>
      </c>
      <c r="C1189" s="44" t="s">
        <v>2157</v>
      </c>
      <c r="D1189" s="27">
        <v>15</v>
      </c>
      <c r="E1189" s="27">
        <v>0</v>
      </c>
      <c r="F1189" s="27">
        <v>0</v>
      </c>
      <c r="G1189" s="27">
        <v>0</v>
      </c>
      <c r="H1189" s="27">
        <v>0</v>
      </c>
      <c r="I1189" s="27">
        <f>+IFERROR(VLOOKUP(A1189,'[1]Pending Dispatch'!$N$2:$O$651,2,0),0)</f>
        <v>150</v>
      </c>
      <c r="J1189" s="27">
        <f t="shared" si="18"/>
        <v>-150</v>
      </c>
      <c r="K1189" s="28">
        <v>1.32</v>
      </c>
      <c r="L1189" s="28">
        <v>0</v>
      </c>
      <c r="M1189" s="26">
        <v>0</v>
      </c>
      <c r="N1189" s="26">
        <v>0</v>
      </c>
    </row>
    <row r="1190" spans="1:14" ht="14.4" x14ac:dyDescent="0.3">
      <c r="A1190" s="38" t="s">
        <v>2221</v>
      </c>
      <c r="B1190" s="44" t="s">
        <v>2222</v>
      </c>
      <c r="C1190" s="44" t="s">
        <v>2157</v>
      </c>
      <c r="D1190" s="27">
        <v>15</v>
      </c>
      <c r="E1190" s="27">
        <v>5</v>
      </c>
      <c r="F1190" s="27">
        <v>0</v>
      </c>
      <c r="G1190" s="27">
        <v>0</v>
      </c>
      <c r="H1190" s="27">
        <v>5</v>
      </c>
      <c r="I1190" s="27">
        <f>+IFERROR(VLOOKUP(A1190,'[1]Pending Dispatch'!$N$2:$O$651,2,0),0)</f>
        <v>0</v>
      </c>
      <c r="J1190" s="27">
        <f t="shared" si="18"/>
        <v>5</v>
      </c>
      <c r="K1190" s="28">
        <v>1.49</v>
      </c>
      <c r="L1190" s="28">
        <v>7.45E-3</v>
      </c>
      <c r="M1190" s="26">
        <v>728</v>
      </c>
      <c r="N1190" s="26">
        <v>3640</v>
      </c>
    </row>
    <row r="1191" spans="1:14" ht="14.4" x14ac:dyDescent="0.3">
      <c r="A1191" s="38" t="s">
        <v>2223</v>
      </c>
      <c r="B1191" s="44" t="s">
        <v>2224</v>
      </c>
      <c r="C1191" s="26" t="s">
        <v>1726</v>
      </c>
      <c r="D1191" s="27">
        <v>8</v>
      </c>
      <c r="E1191" s="27">
        <v>136</v>
      </c>
      <c r="F1191" s="27">
        <v>0</v>
      </c>
      <c r="G1191" s="27">
        <v>8</v>
      </c>
      <c r="H1191" s="27">
        <v>128</v>
      </c>
      <c r="I1191" s="27">
        <f>+IFERROR(VLOOKUP(A1191,'[1]Pending Dispatch'!$N$2:$O$651,2,0),0)</f>
        <v>0</v>
      </c>
      <c r="J1191" s="27">
        <f t="shared" si="18"/>
        <v>128</v>
      </c>
      <c r="K1191" s="28">
        <v>1.2749999999999999</v>
      </c>
      <c r="L1191" s="28">
        <v>0.2346</v>
      </c>
      <c r="M1191" s="26">
        <v>672.2</v>
      </c>
      <c r="N1191" s="26">
        <v>86041.600000000006</v>
      </c>
    </row>
    <row r="1192" spans="1:14" ht="14.4" x14ac:dyDescent="0.3">
      <c r="A1192" s="38" t="s">
        <v>2225</v>
      </c>
      <c r="B1192" s="44" t="s">
        <v>2226</v>
      </c>
      <c r="C1192" s="26" t="s">
        <v>1726</v>
      </c>
      <c r="D1192" s="27">
        <v>120</v>
      </c>
      <c r="E1192" s="27">
        <v>598</v>
      </c>
      <c r="F1192" s="27">
        <v>0</v>
      </c>
      <c r="G1192" s="27">
        <v>0</v>
      </c>
      <c r="H1192" s="27">
        <v>598</v>
      </c>
      <c r="I1192" s="27">
        <f>+IFERROR(VLOOKUP(A1192,'[1]Pending Dispatch'!$N$2:$O$651,2,0),0)</f>
        <v>20</v>
      </c>
      <c r="J1192" s="27">
        <f t="shared" si="18"/>
        <v>578</v>
      </c>
      <c r="K1192" s="28">
        <v>7.3999999999999996E-2</v>
      </c>
      <c r="L1192" s="28">
        <v>6.2011999999999998E-2</v>
      </c>
      <c r="M1192" s="26">
        <v>701</v>
      </c>
      <c r="N1192" s="26">
        <v>405178</v>
      </c>
    </row>
    <row r="1193" spans="1:14" ht="14.4" x14ac:dyDescent="0.3">
      <c r="A1193" s="38" t="s">
        <v>2227</v>
      </c>
      <c r="B1193" s="44" t="s">
        <v>2228</v>
      </c>
      <c r="C1193" s="26" t="s">
        <v>1726</v>
      </c>
      <c r="D1193" s="27">
        <v>75</v>
      </c>
      <c r="E1193" s="27">
        <v>0</v>
      </c>
      <c r="F1193" s="27">
        <v>75</v>
      </c>
      <c r="G1193" s="27">
        <v>75</v>
      </c>
      <c r="H1193" s="27">
        <v>0</v>
      </c>
      <c r="I1193" s="27">
        <f>+IFERROR(VLOOKUP(A1193,'[1]Pending Dispatch'!$N$2:$O$651,2,0),0)</f>
        <v>0</v>
      </c>
      <c r="J1193" s="27">
        <f t="shared" si="18"/>
        <v>0</v>
      </c>
      <c r="K1193" s="28">
        <v>7.3999999999999996E-2</v>
      </c>
      <c r="L1193" s="28">
        <v>0</v>
      </c>
      <c r="M1193" s="26">
        <v>90.2</v>
      </c>
      <c r="N1193" s="26">
        <v>0</v>
      </c>
    </row>
    <row r="1194" spans="1:14" ht="14.4" x14ac:dyDescent="0.3">
      <c r="A1194" s="38" t="s">
        <v>2229</v>
      </c>
      <c r="B1194" s="44" t="s">
        <v>2230</v>
      </c>
      <c r="C1194" s="26" t="s">
        <v>1726</v>
      </c>
      <c r="D1194" s="27">
        <v>14</v>
      </c>
      <c r="E1194" s="27">
        <v>182</v>
      </c>
      <c r="F1194" s="27">
        <v>0</v>
      </c>
      <c r="G1194" s="27">
        <v>14</v>
      </c>
      <c r="H1194" s="27">
        <v>168</v>
      </c>
      <c r="I1194" s="27">
        <f>+IFERROR(VLOOKUP(A1194,'[1]Pending Dispatch'!$N$2:$O$651,2,0),0)</f>
        <v>0</v>
      </c>
      <c r="J1194" s="27">
        <f t="shared" si="18"/>
        <v>168</v>
      </c>
      <c r="K1194" s="28">
        <v>0.57940000000000003</v>
      </c>
      <c r="L1194" s="28">
        <v>0.121674</v>
      </c>
      <c r="M1194" s="26">
        <v>299.39999999999998</v>
      </c>
      <c r="N1194" s="26">
        <v>50299.199999999997</v>
      </c>
    </row>
    <row r="1195" spans="1:14" ht="14.4" x14ac:dyDescent="0.3">
      <c r="A1195" s="25" t="s">
        <v>2231</v>
      </c>
      <c r="B1195" s="44" t="s">
        <v>2232</v>
      </c>
      <c r="C1195" s="26" t="s">
        <v>1726</v>
      </c>
      <c r="D1195" s="27">
        <v>1</v>
      </c>
      <c r="E1195" s="27">
        <v>0</v>
      </c>
      <c r="F1195" s="27">
        <v>0</v>
      </c>
      <c r="G1195" s="27">
        <v>0</v>
      </c>
      <c r="H1195" s="27">
        <v>0</v>
      </c>
      <c r="I1195" s="27">
        <f>+IFERROR(VLOOKUP(A1195,'[1]Pending Dispatch'!$N$2:$O$651,2,0),0)</f>
        <v>0</v>
      </c>
      <c r="J1195" s="27">
        <f t="shared" si="18"/>
        <v>0</v>
      </c>
      <c r="K1195" s="28">
        <v>20.2</v>
      </c>
      <c r="L1195" s="28">
        <v>2.9895999999999998</v>
      </c>
      <c r="M1195" s="26">
        <v>1070</v>
      </c>
      <c r="N1195" s="26">
        <v>0</v>
      </c>
    </row>
    <row r="1196" spans="1:14" x14ac:dyDescent="0.3">
      <c r="A1196" s="25" t="s">
        <v>2233</v>
      </c>
      <c r="B1196" s="26" t="s">
        <v>2234</v>
      </c>
      <c r="C1196" s="26" t="s">
        <v>1726</v>
      </c>
      <c r="D1196" s="27">
        <v>4</v>
      </c>
      <c r="E1196" s="27">
        <v>44</v>
      </c>
      <c r="F1196" s="27">
        <v>0</v>
      </c>
      <c r="G1196" s="27">
        <v>0</v>
      </c>
      <c r="H1196" s="27">
        <v>44</v>
      </c>
      <c r="I1196" s="27">
        <f>+IFERROR(VLOOKUP(A1196,'[1]Pending Dispatch'!$N$2:$O$651,2,0),0)</f>
        <v>0</v>
      </c>
      <c r="J1196" s="27">
        <f t="shared" si="18"/>
        <v>44</v>
      </c>
      <c r="K1196" s="28">
        <v>1.831</v>
      </c>
      <c r="L1196" s="28">
        <v>0.131832</v>
      </c>
      <c r="M1196" s="26">
        <v>980</v>
      </c>
      <c r="N1196" s="26">
        <v>43120</v>
      </c>
    </row>
    <row r="1197" spans="1:14" x14ac:dyDescent="0.3">
      <c r="A1197" s="25">
        <v>5706</v>
      </c>
      <c r="B1197" s="26" t="s">
        <v>2235</v>
      </c>
      <c r="C1197" s="26" t="s">
        <v>1476</v>
      </c>
      <c r="D1197" s="27">
        <v>280</v>
      </c>
      <c r="E1197" s="27">
        <v>4160</v>
      </c>
      <c r="F1197" s="27">
        <v>0</v>
      </c>
      <c r="G1197" s="27">
        <v>388</v>
      </c>
      <c r="H1197" s="27">
        <v>3772</v>
      </c>
      <c r="I1197" s="27">
        <f>+IFERROR(VLOOKUP(A1197,'[1]Pending Dispatch'!$N$2:$O$651,2,0),0)</f>
        <v>0</v>
      </c>
      <c r="J1197" s="27">
        <f t="shared" si="18"/>
        <v>3772</v>
      </c>
      <c r="K1197" s="28">
        <v>3.2000000000000001E-2</v>
      </c>
      <c r="L1197" s="28">
        <v>0.20224</v>
      </c>
      <c r="M1197" s="26">
        <v>0</v>
      </c>
      <c r="N1197" s="26">
        <v>0</v>
      </c>
    </row>
    <row r="1198" spans="1:14" x14ac:dyDescent="0.3">
      <c r="A1198" s="25">
        <v>5106</v>
      </c>
      <c r="B1198" s="26" t="s">
        <v>2236</v>
      </c>
      <c r="C1198" s="26" t="s">
        <v>1476</v>
      </c>
      <c r="D1198" s="27">
        <v>120</v>
      </c>
      <c r="E1198" s="27">
        <v>18</v>
      </c>
      <c r="F1198" s="27">
        <v>0</v>
      </c>
      <c r="G1198" s="27">
        <v>0</v>
      </c>
      <c r="H1198" s="27">
        <v>18</v>
      </c>
      <c r="I1198" s="27">
        <f>+IFERROR(VLOOKUP(A1198,'[1]Pending Dispatch'!$N$2:$O$651,2,0),0)</f>
        <v>1152</v>
      </c>
      <c r="J1198" s="27">
        <f t="shared" si="18"/>
        <v>-1134</v>
      </c>
      <c r="K1198" s="28">
        <v>7.5999999999999998E-2</v>
      </c>
      <c r="L1198" s="28">
        <v>0.26235199999999997</v>
      </c>
      <c r="M1198" s="26">
        <v>0</v>
      </c>
      <c r="N1198" s="26">
        <v>0</v>
      </c>
    </row>
    <row r="1199" spans="1:14" x14ac:dyDescent="0.3">
      <c r="A1199" s="25">
        <v>5606</v>
      </c>
      <c r="B1199" s="26" t="s">
        <v>2237</v>
      </c>
      <c r="C1199" s="26" t="s">
        <v>1476</v>
      </c>
      <c r="D1199" s="27">
        <v>32</v>
      </c>
      <c r="E1199" s="27">
        <v>23</v>
      </c>
      <c r="F1199" s="27">
        <v>0</v>
      </c>
      <c r="G1199" s="27">
        <v>0</v>
      </c>
      <c r="H1199" s="27">
        <v>23</v>
      </c>
      <c r="I1199" s="27">
        <f>+IFERROR(VLOOKUP(A1199,'[1]Pending Dispatch'!$N$2:$O$651,2,0),0)</f>
        <v>864</v>
      </c>
      <c r="J1199" s="27">
        <f t="shared" si="18"/>
        <v>-841</v>
      </c>
      <c r="K1199" s="28">
        <v>0.29599999999999999</v>
      </c>
      <c r="L1199" s="28">
        <v>0.24360799999999996</v>
      </c>
      <c r="M1199" s="26">
        <v>1127</v>
      </c>
      <c r="N1199" s="26">
        <v>25921</v>
      </c>
    </row>
    <row r="1200" spans="1:14" x14ac:dyDescent="0.3">
      <c r="A1200" s="25" t="s">
        <v>2238</v>
      </c>
      <c r="B1200" s="26" t="s">
        <v>2239</v>
      </c>
      <c r="C1200" s="26" t="s">
        <v>1726</v>
      </c>
      <c r="D1200" s="27">
        <v>5</v>
      </c>
      <c r="E1200" s="27">
        <v>75</v>
      </c>
      <c r="F1200" s="27">
        <v>0</v>
      </c>
      <c r="G1200" s="27">
        <v>10</v>
      </c>
      <c r="H1200" s="27">
        <v>65</v>
      </c>
      <c r="I1200" s="27">
        <f>+IFERROR(VLOOKUP(A1200,'[1]Pending Dispatch'!$N$2:$O$651,2,0),0)</f>
        <v>0</v>
      </c>
      <c r="J1200" s="27">
        <f t="shared" si="18"/>
        <v>65</v>
      </c>
      <c r="K1200" s="28">
        <v>1.5760000000000001</v>
      </c>
      <c r="L1200" s="28">
        <v>0.14183999999999999</v>
      </c>
      <c r="M1200" s="26">
        <v>1088</v>
      </c>
      <c r="N1200" s="26">
        <v>70720</v>
      </c>
    </row>
    <row r="1201" spans="1:14" x14ac:dyDescent="0.3">
      <c r="A1201" s="25" t="s">
        <v>2240</v>
      </c>
      <c r="B1201" s="26" t="s">
        <v>2241</v>
      </c>
      <c r="C1201" s="26" t="s">
        <v>87</v>
      </c>
      <c r="D1201" s="27">
        <v>32</v>
      </c>
      <c r="E1201" s="27">
        <v>0</v>
      </c>
      <c r="F1201" s="27">
        <v>0</v>
      </c>
      <c r="G1201" s="27">
        <v>0</v>
      </c>
      <c r="H1201" s="27">
        <v>0</v>
      </c>
      <c r="I1201" s="27">
        <f>+IFERROR(VLOOKUP(A1201,'[1]Pending Dispatch'!$N$2:$O$651,2,0),0)</f>
        <v>0</v>
      </c>
      <c r="J1201" s="27">
        <f t="shared" si="18"/>
        <v>0</v>
      </c>
      <c r="K1201" s="28">
        <v>0</v>
      </c>
      <c r="L1201" s="28">
        <v>0</v>
      </c>
      <c r="M1201" s="26">
        <v>0</v>
      </c>
      <c r="N1201" s="26">
        <v>0</v>
      </c>
    </row>
    <row r="1202" spans="1:14" ht="14.4" x14ac:dyDescent="0.3">
      <c r="A1202" s="38" t="s">
        <v>2242</v>
      </c>
      <c r="B1202" s="52" t="s">
        <v>2243</v>
      </c>
      <c r="C1202" s="26" t="s">
        <v>666</v>
      </c>
      <c r="D1202" s="27">
        <v>1</v>
      </c>
      <c r="E1202" s="27">
        <v>7</v>
      </c>
      <c r="F1202" s="27">
        <v>0</v>
      </c>
      <c r="G1202" s="27">
        <v>0</v>
      </c>
      <c r="H1202" s="27">
        <v>7</v>
      </c>
      <c r="I1202" s="27">
        <f>+IFERROR(VLOOKUP(A1202,'[1]Pending Dispatch'!$N$2:$O$651,2,0),0)</f>
        <v>0</v>
      </c>
      <c r="J1202" s="27">
        <f t="shared" si="18"/>
        <v>7</v>
      </c>
      <c r="K1202" s="28">
        <v>2.3549999999999999E-3</v>
      </c>
      <c r="L1202" s="28">
        <v>1.6484999999999999E-5</v>
      </c>
      <c r="M1202" s="26">
        <v>0</v>
      </c>
      <c r="N1202" s="26">
        <v>0</v>
      </c>
    </row>
    <row r="1203" spans="1:14" ht="14.4" x14ac:dyDescent="0.3">
      <c r="A1203" s="25" t="s">
        <v>2244</v>
      </c>
      <c r="B1203" s="38" t="s">
        <v>2245</v>
      </c>
      <c r="C1203" s="26" t="s">
        <v>666</v>
      </c>
      <c r="D1203" s="27">
        <v>32</v>
      </c>
      <c r="E1203" s="27">
        <v>0</v>
      </c>
      <c r="F1203" s="27">
        <v>0</v>
      </c>
      <c r="G1203" s="27">
        <v>0</v>
      </c>
      <c r="H1203" s="27">
        <v>0</v>
      </c>
      <c r="I1203" s="27">
        <f>+IFERROR(VLOOKUP(A1203,'[1]Pending Dispatch'!$N$2:$O$651,2,0),0)</f>
        <v>0</v>
      </c>
      <c r="J1203" s="27">
        <f t="shared" si="18"/>
        <v>0</v>
      </c>
      <c r="K1203" s="28">
        <v>0</v>
      </c>
      <c r="L1203" s="28">
        <v>0</v>
      </c>
      <c r="M1203" s="26">
        <v>1077</v>
      </c>
      <c r="N1203" s="26"/>
    </row>
    <row r="1204" spans="1:14" ht="14.4" x14ac:dyDescent="0.3">
      <c r="A1204" s="25" t="s">
        <v>2246</v>
      </c>
      <c r="B1204" s="38" t="s">
        <v>2247</v>
      </c>
      <c r="C1204" s="26" t="s">
        <v>666</v>
      </c>
      <c r="D1204" s="27">
        <v>32</v>
      </c>
      <c r="E1204" s="27">
        <v>0</v>
      </c>
      <c r="F1204" s="27">
        <v>0</v>
      </c>
      <c r="G1204" s="27">
        <v>0</v>
      </c>
      <c r="H1204" s="27">
        <v>0</v>
      </c>
      <c r="I1204" s="27">
        <f>+IFERROR(VLOOKUP(A1204,'[1]Pending Dispatch'!$N$2:$O$651,2,0),0)</f>
        <v>0</v>
      </c>
      <c r="J1204" s="27">
        <f t="shared" si="18"/>
        <v>0</v>
      </c>
      <c r="K1204" s="28">
        <v>0</v>
      </c>
      <c r="L1204" s="28">
        <v>0</v>
      </c>
      <c r="M1204" s="26">
        <v>1058</v>
      </c>
      <c r="N1204" s="26"/>
    </row>
    <row r="1205" spans="1:14" ht="14.4" x14ac:dyDescent="0.3">
      <c r="A1205" s="25" t="s">
        <v>2248</v>
      </c>
      <c r="B1205" s="38" t="s">
        <v>2249</v>
      </c>
      <c r="C1205" s="26" t="s">
        <v>666</v>
      </c>
      <c r="D1205" s="27">
        <v>32</v>
      </c>
      <c r="E1205" s="27">
        <v>0</v>
      </c>
      <c r="F1205" s="27">
        <v>0</v>
      </c>
      <c r="G1205" s="27">
        <v>0</v>
      </c>
      <c r="H1205" s="27">
        <v>0</v>
      </c>
      <c r="I1205" s="27">
        <f>+IFERROR(VLOOKUP(A1205,'[1]Pending Dispatch'!$N$2:$O$651,2,0),0)</f>
        <v>0</v>
      </c>
      <c r="J1205" s="27">
        <f t="shared" si="18"/>
        <v>0</v>
      </c>
      <c r="K1205" s="28">
        <v>0</v>
      </c>
      <c r="L1205" s="28">
        <v>0</v>
      </c>
      <c r="M1205" s="26">
        <v>0</v>
      </c>
      <c r="N1205" s="26"/>
    </row>
    <row r="1206" spans="1:14" ht="14.4" x14ac:dyDescent="0.3">
      <c r="A1206" s="25" t="s">
        <v>2250</v>
      </c>
      <c r="B1206" s="38" t="s">
        <v>2251</v>
      </c>
      <c r="C1206" s="26" t="s">
        <v>666</v>
      </c>
      <c r="D1206" s="27">
        <v>32</v>
      </c>
      <c r="E1206" s="27">
        <v>0</v>
      </c>
      <c r="F1206" s="27">
        <v>0</v>
      </c>
      <c r="G1206" s="27">
        <v>0</v>
      </c>
      <c r="H1206" s="27">
        <v>0</v>
      </c>
      <c r="I1206" s="27">
        <f>+IFERROR(VLOOKUP(A1206,'[1]Pending Dispatch'!$N$2:$O$651,2,0),0)</f>
        <v>0</v>
      </c>
      <c r="J1206" s="27">
        <f t="shared" si="18"/>
        <v>0</v>
      </c>
      <c r="K1206" s="28">
        <v>0</v>
      </c>
      <c r="L1206" s="28">
        <v>0</v>
      </c>
      <c r="M1206" s="26">
        <v>0</v>
      </c>
      <c r="N1206" s="26"/>
    </row>
    <row r="1207" spans="1:14" ht="14.4" x14ac:dyDescent="0.3">
      <c r="A1207" s="25" t="s">
        <v>2252</v>
      </c>
      <c r="B1207" s="38" t="s">
        <v>2253</v>
      </c>
      <c r="C1207" s="26" t="s">
        <v>666</v>
      </c>
      <c r="D1207" s="27">
        <v>32</v>
      </c>
      <c r="E1207" s="27">
        <v>0</v>
      </c>
      <c r="F1207" s="27">
        <v>0</v>
      </c>
      <c r="G1207" s="27">
        <v>0</v>
      </c>
      <c r="H1207" s="27">
        <v>0</v>
      </c>
      <c r="I1207" s="27">
        <f>+IFERROR(VLOOKUP(A1207,'[1]Pending Dispatch'!$N$2:$O$651,2,0),0)</f>
        <v>0</v>
      </c>
      <c r="J1207" s="27">
        <f t="shared" si="18"/>
        <v>0</v>
      </c>
      <c r="K1207" s="28">
        <v>0</v>
      </c>
      <c r="L1207" s="28">
        <v>0</v>
      </c>
      <c r="M1207" s="26">
        <v>1077</v>
      </c>
      <c r="N1207" s="26"/>
    </row>
    <row r="1208" spans="1:14" ht="14.4" x14ac:dyDescent="0.3">
      <c r="A1208" s="25" t="s">
        <v>2254</v>
      </c>
      <c r="B1208" s="38" t="s">
        <v>2255</v>
      </c>
      <c r="C1208" s="26" t="s">
        <v>666</v>
      </c>
      <c r="D1208" s="27">
        <v>32</v>
      </c>
      <c r="E1208" s="27">
        <v>0</v>
      </c>
      <c r="F1208" s="27">
        <v>0</v>
      </c>
      <c r="G1208" s="27">
        <v>0</v>
      </c>
      <c r="H1208" s="27">
        <v>0</v>
      </c>
      <c r="I1208" s="27">
        <f>+IFERROR(VLOOKUP(A1208,'[1]Pending Dispatch'!$N$2:$O$651,2,0),0)</f>
        <v>0</v>
      </c>
      <c r="J1208" s="27">
        <f t="shared" si="18"/>
        <v>0</v>
      </c>
      <c r="K1208" s="28">
        <v>0</v>
      </c>
      <c r="L1208" s="28">
        <v>0</v>
      </c>
      <c r="M1208" s="26"/>
      <c r="N1208" s="26"/>
    </row>
    <row r="1209" spans="1:14" ht="14.4" x14ac:dyDescent="0.3">
      <c r="A1209" s="25" t="s">
        <v>2256</v>
      </c>
      <c r="B1209" s="38" t="s">
        <v>2257</v>
      </c>
      <c r="C1209" s="26" t="s">
        <v>666</v>
      </c>
      <c r="D1209" s="27">
        <v>32</v>
      </c>
      <c r="E1209" s="27">
        <v>0</v>
      </c>
      <c r="F1209" s="27">
        <v>0</v>
      </c>
      <c r="G1209" s="27">
        <v>0</v>
      </c>
      <c r="H1209" s="27">
        <v>0</v>
      </c>
      <c r="I1209" s="27">
        <f>+IFERROR(VLOOKUP(A1209,'[1]Pending Dispatch'!$N$2:$O$651,2,0),0)</f>
        <v>0</v>
      </c>
      <c r="J1209" s="27">
        <f t="shared" si="18"/>
        <v>0</v>
      </c>
      <c r="K1209" s="28">
        <v>0</v>
      </c>
      <c r="L1209" s="28">
        <v>0</v>
      </c>
      <c r="M1209" s="26">
        <v>1058</v>
      </c>
      <c r="N1209" s="26"/>
    </row>
    <row r="1210" spans="1:14" ht="14.4" x14ac:dyDescent="0.3">
      <c r="A1210" s="25" t="s">
        <v>2258</v>
      </c>
      <c r="B1210" s="38" t="s">
        <v>2259</v>
      </c>
      <c r="C1210" s="26" t="s">
        <v>666</v>
      </c>
      <c r="D1210" s="27">
        <v>32</v>
      </c>
      <c r="E1210" s="27">
        <v>0</v>
      </c>
      <c r="F1210" s="27">
        <v>0</v>
      </c>
      <c r="G1210" s="27">
        <v>0</v>
      </c>
      <c r="H1210" s="27">
        <v>0</v>
      </c>
      <c r="I1210" s="27">
        <f>+IFERROR(VLOOKUP(A1210,'[1]Pending Dispatch'!$N$2:$O$651,2,0),0)</f>
        <v>0</v>
      </c>
      <c r="J1210" s="27">
        <f t="shared" si="18"/>
        <v>0</v>
      </c>
      <c r="K1210" s="28">
        <v>0</v>
      </c>
      <c r="L1210" s="28">
        <v>0</v>
      </c>
      <c r="M1210" s="26">
        <v>0</v>
      </c>
      <c r="N1210" s="26"/>
    </row>
    <row r="1211" spans="1:14" ht="14.4" x14ac:dyDescent="0.3">
      <c r="A1211" s="25" t="s">
        <v>2260</v>
      </c>
      <c r="B1211" s="38" t="s">
        <v>2261</v>
      </c>
      <c r="C1211" s="26" t="s">
        <v>666</v>
      </c>
      <c r="D1211" s="27">
        <v>32</v>
      </c>
      <c r="E1211" s="27">
        <v>0</v>
      </c>
      <c r="F1211" s="27">
        <v>0</v>
      </c>
      <c r="G1211" s="27">
        <v>0</v>
      </c>
      <c r="H1211" s="27">
        <v>0</v>
      </c>
      <c r="I1211" s="27">
        <f>+IFERROR(VLOOKUP(A1211,'[1]Pending Dispatch'!$N$2:$O$651,2,0),0)</f>
        <v>0</v>
      </c>
      <c r="J1211" s="27">
        <f t="shared" si="18"/>
        <v>0</v>
      </c>
      <c r="K1211" s="28">
        <v>0</v>
      </c>
      <c r="L1211" s="28">
        <v>0</v>
      </c>
      <c r="M1211" s="26">
        <v>0</v>
      </c>
      <c r="N1211" s="26"/>
    </row>
    <row r="1212" spans="1:14" ht="14.4" x14ac:dyDescent="0.3">
      <c r="A1212" s="25" t="s">
        <v>2262</v>
      </c>
      <c r="B1212" s="38" t="s">
        <v>2263</v>
      </c>
      <c r="C1212" s="26" t="s">
        <v>666</v>
      </c>
      <c r="D1212" s="27">
        <v>32</v>
      </c>
      <c r="E1212" s="27">
        <v>0</v>
      </c>
      <c r="F1212" s="27">
        <v>0</v>
      </c>
      <c r="G1212" s="27">
        <v>0</v>
      </c>
      <c r="H1212" s="27">
        <v>0</v>
      </c>
      <c r="I1212" s="27">
        <f>+IFERROR(VLOOKUP(A1212,'[1]Pending Dispatch'!$N$2:$O$651,2,0),0)</f>
        <v>0</v>
      </c>
      <c r="J1212" s="27">
        <f t="shared" si="18"/>
        <v>0</v>
      </c>
      <c r="K1212" s="28">
        <v>0</v>
      </c>
      <c r="L1212" s="28">
        <v>0</v>
      </c>
      <c r="M1212" s="26">
        <v>1077</v>
      </c>
      <c r="N1212" s="26"/>
    </row>
    <row r="1213" spans="1:14" ht="14.4" x14ac:dyDescent="0.3">
      <c r="A1213" s="25" t="s">
        <v>2264</v>
      </c>
      <c r="B1213" s="38" t="s">
        <v>2265</v>
      </c>
      <c r="C1213" s="26" t="s">
        <v>666</v>
      </c>
      <c r="D1213" s="27">
        <v>32</v>
      </c>
      <c r="E1213" s="27">
        <v>0</v>
      </c>
      <c r="F1213" s="27">
        <v>0</v>
      </c>
      <c r="G1213" s="27">
        <v>0</v>
      </c>
      <c r="H1213" s="27">
        <v>0</v>
      </c>
      <c r="I1213" s="27">
        <f>+IFERROR(VLOOKUP(A1213,'[1]Pending Dispatch'!$N$2:$O$651,2,0),0)</f>
        <v>0</v>
      </c>
      <c r="J1213" s="27">
        <f t="shared" si="18"/>
        <v>0</v>
      </c>
      <c r="K1213" s="28">
        <v>0</v>
      </c>
      <c r="L1213" s="28">
        <v>0</v>
      </c>
      <c r="M1213" s="26">
        <v>980</v>
      </c>
      <c r="N1213" s="26"/>
    </row>
    <row r="1214" spans="1:14" ht="14.4" x14ac:dyDescent="0.3">
      <c r="A1214" s="25" t="s">
        <v>2266</v>
      </c>
      <c r="B1214" s="38" t="s">
        <v>2267</v>
      </c>
      <c r="C1214" s="26" t="s">
        <v>666</v>
      </c>
      <c r="D1214" s="27">
        <v>32</v>
      </c>
      <c r="E1214" s="27">
        <v>0</v>
      </c>
      <c r="F1214" s="27">
        <v>0</v>
      </c>
      <c r="G1214" s="27">
        <v>0</v>
      </c>
      <c r="H1214" s="27">
        <v>0</v>
      </c>
      <c r="I1214" s="27">
        <f>+IFERROR(VLOOKUP(A1214,'[1]Pending Dispatch'!$N$2:$O$651,2,0),0)</f>
        <v>0</v>
      </c>
      <c r="J1214" s="27">
        <f t="shared" si="18"/>
        <v>0</v>
      </c>
      <c r="K1214" s="28">
        <v>0</v>
      </c>
      <c r="L1214" s="28">
        <v>0</v>
      </c>
      <c r="M1214" s="26">
        <v>0</v>
      </c>
      <c r="N1214" s="26"/>
    </row>
    <row r="1215" spans="1:14" ht="14.4" x14ac:dyDescent="0.3">
      <c r="A1215" s="25">
        <v>4763</v>
      </c>
      <c r="B1215" s="38" t="s">
        <v>2268</v>
      </c>
      <c r="C1215" s="26" t="s">
        <v>1476</v>
      </c>
      <c r="D1215" s="27">
        <v>40</v>
      </c>
      <c r="E1215" s="27">
        <v>46</v>
      </c>
      <c r="F1215" s="27">
        <v>0</v>
      </c>
      <c r="G1215" s="27">
        <v>0</v>
      </c>
      <c r="H1215" s="27">
        <v>46</v>
      </c>
      <c r="I1215" s="27">
        <f>+IFERROR(VLOOKUP(A1215,'[1]Pending Dispatch'!$N$2:$O$651,2,0),0)</f>
        <v>65</v>
      </c>
      <c r="J1215" s="27">
        <f t="shared" si="18"/>
        <v>-19</v>
      </c>
      <c r="K1215" s="28">
        <v>0</v>
      </c>
      <c r="L1215" s="28">
        <v>0</v>
      </c>
      <c r="M1215" s="26">
        <v>0</v>
      </c>
      <c r="N1215" s="26"/>
    </row>
    <row r="1216" spans="1:14" ht="14.4" x14ac:dyDescent="0.3">
      <c r="A1216" s="25">
        <v>4507</v>
      </c>
      <c r="B1216" s="38" t="s">
        <v>2269</v>
      </c>
      <c r="C1216" s="26" t="s">
        <v>1476</v>
      </c>
      <c r="D1216" s="27">
        <v>40</v>
      </c>
      <c r="E1216" s="27">
        <v>0</v>
      </c>
      <c r="F1216" s="27">
        <v>0</v>
      </c>
      <c r="G1216" s="27">
        <v>0</v>
      </c>
      <c r="H1216" s="27">
        <v>0</v>
      </c>
      <c r="I1216" s="27">
        <f>+IFERROR(VLOOKUP(A1216,'[1]Pending Dispatch'!$N$2:$O$651,2,0),0)</f>
        <v>20</v>
      </c>
      <c r="J1216" s="27">
        <f t="shared" si="18"/>
        <v>-20</v>
      </c>
      <c r="K1216" s="28">
        <v>0</v>
      </c>
      <c r="L1216" s="28">
        <v>0</v>
      </c>
      <c r="M1216" s="26">
        <v>1120</v>
      </c>
      <c r="N1216" s="26"/>
    </row>
    <row r="1217" spans="1:14" ht="14.4" x14ac:dyDescent="0.3">
      <c r="A1217" s="25">
        <v>5707</v>
      </c>
      <c r="B1217" s="38" t="s">
        <v>2270</v>
      </c>
      <c r="C1217" s="26" t="s">
        <v>2135</v>
      </c>
      <c r="D1217" s="27">
        <v>160</v>
      </c>
      <c r="E1217" s="27">
        <v>590</v>
      </c>
      <c r="F1217" s="27">
        <v>1066</v>
      </c>
      <c r="G1217" s="27">
        <v>500</v>
      </c>
      <c r="H1217" s="27">
        <v>1156</v>
      </c>
      <c r="I1217" s="27">
        <f>+IFERROR(VLOOKUP(A1217,'[1]Pending Dispatch'!$N$2:$O$651,2,0),0)</f>
        <v>320</v>
      </c>
      <c r="J1217" s="27">
        <f t="shared" si="18"/>
        <v>836</v>
      </c>
      <c r="K1217" s="28">
        <v>0</v>
      </c>
      <c r="L1217" s="28">
        <v>0</v>
      </c>
      <c r="M1217" s="26">
        <v>980</v>
      </c>
      <c r="N1217" s="26">
        <v>819280</v>
      </c>
    </row>
    <row r="1218" spans="1:14" ht="14.4" x14ac:dyDescent="0.3">
      <c r="A1218" s="25">
        <v>5907</v>
      </c>
      <c r="B1218" s="38" t="s">
        <v>2271</v>
      </c>
      <c r="C1218" s="26" t="s">
        <v>2135</v>
      </c>
      <c r="D1218" s="27">
        <v>84</v>
      </c>
      <c r="E1218" s="27">
        <v>892</v>
      </c>
      <c r="F1218" s="27">
        <v>0</v>
      </c>
      <c r="G1218" s="27">
        <v>80</v>
      </c>
      <c r="H1218" s="27">
        <v>812</v>
      </c>
      <c r="I1218" s="27">
        <f>+IFERROR(VLOOKUP(A1218,'[1]Pending Dispatch'!$N$2:$O$651,2,0),0)</f>
        <v>84</v>
      </c>
      <c r="J1218" s="27">
        <f t="shared" si="18"/>
        <v>728</v>
      </c>
      <c r="K1218" s="28">
        <v>0</v>
      </c>
      <c r="L1218" s="28">
        <v>0</v>
      </c>
      <c r="M1218" s="26">
        <v>0</v>
      </c>
      <c r="N1218" s="26">
        <v>0</v>
      </c>
    </row>
    <row r="1219" spans="1:14" ht="14.4" x14ac:dyDescent="0.3">
      <c r="A1219" s="25">
        <v>5107</v>
      </c>
      <c r="B1219" s="38" t="s">
        <v>2272</v>
      </c>
      <c r="C1219" s="26" t="s">
        <v>2135</v>
      </c>
      <c r="D1219" s="27">
        <v>72</v>
      </c>
      <c r="E1219" s="27">
        <v>39</v>
      </c>
      <c r="F1219" s="27">
        <v>2505</v>
      </c>
      <c r="G1219" s="27">
        <v>648</v>
      </c>
      <c r="H1219" s="27">
        <v>1896</v>
      </c>
      <c r="I1219" s="27">
        <f>+IFERROR(VLOOKUP(A1219,'[1]Pending Dispatch'!$N$2:$O$651,2,0),0)</f>
        <v>704</v>
      </c>
      <c r="J1219" s="27">
        <f t="shared" si="18"/>
        <v>1192</v>
      </c>
      <c r="K1219" s="28">
        <v>0</v>
      </c>
      <c r="L1219" s="28">
        <v>0</v>
      </c>
      <c r="M1219" s="26">
        <v>0</v>
      </c>
      <c r="N1219" s="26">
        <v>0</v>
      </c>
    </row>
    <row r="1220" spans="1:14" ht="14.4" x14ac:dyDescent="0.3">
      <c r="A1220" s="25">
        <v>5607</v>
      </c>
      <c r="B1220" s="38" t="s">
        <v>2273</v>
      </c>
      <c r="C1220" s="26" t="s">
        <v>2135</v>
      </c>
      <c r="D1220" s="27">
        <v>28</v>
      </c>
      <c r="E1220" s="27">
        <v>364</v>
      </c>
      <c r="F1220" s="27">
        <v>612</v>
      </c>
      <c r="G1220" s="27">
        <v>112</v>
      </c>
      <c r="H1220" s="27">
        <v>864</v>
      </c>
      <c r="I1220" s="27">
        <f>+IFERROR(VLOOKUP(A1220,'[1]Pending Dispatch'!$N$2:$O$651,2,0),0)</f>
        <v>56</v>
      </c>
      <c r="J1220" s="27">
        <f t="shared" si="18"/>
        <v>808</v>
      </c>
      <c r="K1220" s="28">
        <v>0</v>
      </c>
      <c r="L1220" s="28">
        <v>0</v>
      </c>
      <c r="M1220" s="26">
        <v>0</v>
      </c>
      <c r="N1220" s="26">
        <v>0</v>
      </c>
    </row>
    <row r="1221" spans="1:14" ht="14.4" x14ac:dyDescent="0.3">
      <c r="A1221" s="25" t="s">
        <v>2274</v>
      </c>
      <c r="B1221" s="38" t="s">
        <v>2275</v>
      </c>
      <c r="C1221" s="26" t="s">
        <v>1726</v>
      </c>
      <c r="D1221" s="27">
        <v>250</v>
      </c>
      <c r="E1221" s="27">
        <v>2900</v>
      </c>
      <c r="F1221" s="27">
        <v>0</v>
      </c>
      <c r="G1221" s="27">
        <v>0</v>
      </c>
      <c r="H1221" s="27">
        <v>2900</v>
      </c>
      <c r="I1221" s="27">
        <f>+IFERROR(VLOOKUP(A1221,'[1]Pending Dispatch'!$N$2:$O$651,2,0),0)</f>
        <v>0</v>
      </c>
      <c r="J1221" s="27">
        <f t="shared" si="18"/>
        <v>2900</v>
      </c>
      <c r="K1221" s="28">
        <v>0</v>
      </c>
      <c r="L1221" s="28">
        <v>0</v>
      </c>
      <c r="M1221" s="26"/>
      <c r="N1221" s="26"/>
    </row>
    <row r="1222" spans="1:14" ht="14.4" x14ac:dyDescent="0.3">
      <c r="A1222" s="25" t="s">
        <v>2276</v>
      </c>
      <c r="B1222" s="38" t="s">
        <v>2277</v>
      </c>
      <c r="C1222" s="26" t="s">
        <v>1726</v>
      </c>
      <c r="D1222" s="27">
        <v>200</v>
      </c>
      <c r="E1222" s="27">
        <v>1200</v>
      </c>
      <c r="F1222" s="27">
        <v>0</v>
      </c>
      <c r="G1222" s="27">
        <v>0</v>
      </c>
      <c r="H1222" s="27">
        <v>1200</v>
      </c>
      <c r="I1222" s="27">
        <f>+IFERROR(VLOOKUP(A1222,'[1]Pending Dispatch'!$N$2:$O$651,2,0),0)</f>
        <v>0</v>
      </c>
      <c r="J1222" s="27">
        <f t="shared" ref="J1222:J1285" si="19">+H1222-I1222</f>
        <v>1200</v>
      </c>
      <c r="K1222" s="28">
        <v>0</v>
      </c>
      <c r="L1222" s="28">
        <v>0</v>
      </c>
      <c r="M1222" s="26"/>
      <c r="N1222" s="26"/>
    </row>
    <row r="1223" spans="1:14" ht="14.4" x14ac:dyDescent="0.3">
      <c r="A1223" s="25" t="s">
        <v>2278</v>
      </c>
      <c r="B1223" s="38" t="s">
        <v>2279</v>
      </c>
      <c r="C1223" s="26" t="s">
        <v>1726</v>
      </c>
      <c r="D1223" s="27">
        <v>300</v>
      </c>
      <c r="E1223" s="27">
        <v>2000</v>
      </c>
      <c r="F1223" s="27">
        <v>0</v>
      </c>
      <c r="G1223" s="27">
        <v>0</v>
      </c>
      <c r="H1223" s="27">
        <v>2000</v>
      </c>
      <c r="I1223" s="27">
        <f>+IFERROR(VLOOKUP(A1223,'[1]Pending Dispatch'!$N$2:$O$651,2,0),0)</f>
        <v>400</v>
      </c>
      <c r="J1223" s="27">
        <f t="shared" si="19"/>
        <v>1600</v>
      </c>
      <c r="K1223" s="28">
        <v>0</v>
      </c>
      <c r="L1223" s="28">
        <v>0</v>
      </c>
      <c r="M1223" s="26"/>
      <c r="N1223" s="26"/>
    </row>
    <row r="1224" spans="1:14" ht="14.4" x14ac:dyDescent="0.3">
      <c r="A1224" s="25" t="s">
        <v>2280</v>
      </c>
      <c r="B1224" s="38" t="s">
        <v>2281</v>
      </c>
      <c r="C1224" s="26" t="s">
        <v>1726</v>
      </c>
      <c r="D1224" s="27">
        <v>150</v>
      </c>
      <c r="E1224" s="27">
        <v>279</v>
      </c>
      <c r="F1224" s="27">
        <v>0</v>
      </c>
      <c r="G1224" s="27">
        <v>0</v>
      </c>
      <c r="H1224" s="27">
        <v>279</v>
      </c>
      <c r="I1224" s="27">
        <f>+IFERROR(VLOOKUP(A1224,'[1]Pending Dispatch'!$N$2:$O$651,2,0),0)</f>
        <v>300</v>
      </c>
      <c r="J1224" s="27">
        <f t="shared" si="19"/>
        <v>-21</v>
      </c>
      <c r="K1224" s="28">
        <v>0</v>
      </c>
      <c r="L1224" s="28">
        <v>0</v>
      </c>
      <c r="M1224" s="26"/>
      <c r="N1224" s="26"/>
    </row>
    <row r="1225" spans="1:14" ht="14.4" x14ac:dyDescent="0.3">
      <c r="A1225" s="25" t="s">
        <v>2282</v>
      </c>
      <c r="B1225" s="38" t="s">
        <v>2283</v>
      </c>
      <c r="C1225" s="26" t="s">
        <v>1726</v>
      </c>
      <c r="D1225" s="27">
        <v>100</v>
      </c>
      <c r="E1225" s="27">
        <v>600</v>
      </c>
      <c r="F1225" s="27">
        <v>0</v>
      </c>
      <c r="G1225" s="27">
        <v>0</v>
      </c>
      <c r="H1225" s="27">
        <v>600</v>
      </c>
      <c r="I1225" s="27">
        <f>+IFERROR(VLOOKUP(A1225,'[1]Pending Dispatch'!$N$2:$O$651,2,0),0)</f>
        <v>100</v>
      </c>
      <c r="J1225" s="27">
        <f t="shared" si="19"/>
        <v>500</v>
      </c>
      <c r="K1225" s="28">
        <v>0</v>
      </c>
      <c r="L1225" s="28">
        <v>0</v>
      </c>
      <c r="M1225" s="26"/>
      <c r="N1225" s="26"/>
    </row>
    <row r="1226" spans="1:14" ht="14.4" x14ac:dyDescent="0.3">
      <c r="A1226" s="25" t="s">
        <v>2284</v>
      </c>
      <c r="B1226" s="38" t="s">
        <v>2285</v>
      </c>
      <c r="C1226" s="26" t="s">
        <v>1726</v>
      </c>
      <c r="D1226" s="27">
        <v>200</v>
      </c>
      <c r="E1226" s="27">
        <v>3300</v>
      </c>
      <c r="F1226" s="27">
        <v>0</v>
      </c>
      <c r="G1226" s="27">
        <v>0</v>
      </c>
      <c r="H1226" s="27">
        <v>3300</v>
      </c>
      <c r="I1226" s="27">
        <f>+IFERROR(VLOOKUP(A1226,'[1]Pending Dispatch'!$N$2:$O$651,2,0),0)</f>
        <v>250</v>
      </c>
      <c r="J1226" s="27">
        <f t="shared" si="19"/>
        <v>3050</v>
      </c>
      <c r="K1226" s="28">
        <v>0</v>
      </c>
      <c r="L1226" s="28">
        <v>0</v>
      </c>
      <c r="M1226" s="26"/>
      <c r="N1226" s="26"/>
    </row>
    <row r="1227" spans="1:14" ht="14.4" x14ac:dyDescent="0.3">
      <c r="A1227" s="25" t="s">
        <v>2286</v>
      </c>
      <c r="B1227" s="38" t="s">
        <v>2287</v>
      </c>
      <c r="C1227" s="26" t="s">
        <v>1726</v>
      </c>
      <c r="D1227" s="27">
        <v>600</v>
      </c>
      <c r="E1227" s="27">
        <v>2400</v>
      </c>
      <c r="F1227" s="27">
        <v>0</v>
      </c>
      <c r="G1227" s="27">
        <v>0</v>
      </c>
      <c r="H1227" s="27">
        <v>2400</v>
      </c>
      <c r="I1227" s="27">
        <f>+IFERROR(VLOOKUP(A1227,'[1]Pending Dispatch'!$N$2:$O$651,2,0),0)</f>
        <v>0</v>
      </c>
      <c r="J1227" s="27">
        <f t="shared" si="19"/>
        <v>2400</v>
      </c>
      <c r="K1227" s="28">
        <v>0</v>
      </c>
      <c r="L1227" s="28">
        <v>0</v>
      </c>
      <c r="M1227" s="26"/>
      <c r="N1227" s="26"/>
    </row>
    <row r="1228" spans="1:14" ht="14.4" x14ac:dyDescent="0.3">
      <c r="A1228" s="25" t="s">
        <v>2288</v>
      </c>
      <c r="B1228" s="38" t="s">
        <v>2289</v>
      </c>
      <c r="C1228" s="26" t="s">
        <v>1726</v>
      </c>
      <c r="D1228" s="27">
        <v>400</v>
      </c>
      <c r="E1228" s="27">
        <v>1200</v>
      </c>
      <c r="F1228" s="27">
        <v>0</v>
      </c>
      <c r="G1228" s="27">
        <v>0</v>
      </c>
      <c r="H1228" s="27">
        <v>1200</v>
      </c>
      <c r="I1228" s="27">
        <f>+IFERROR(VLOOKUP(A1228,'[1]Pending Dispatch'!$N$2:$O$651,2,0),0)</f>
        <v>0</v>
      </c>
      <c r="J1228" s="27">
        <f t="shared" si="19"/>
        <v>1200</v>
      </c>
      <c r="K1228" s="28">
        <v>0</v>
      </c>
      <c r="L1228" s="28">
        <v>0</v>
      </c>
      <c r="M1228" s="26"/>
      <c r="N1228" s="26"/>
    </row>
    <row r="1229" spans="1:14" ht="14.4" x14ac:dyDescent="0.3">
      <c r="A1229" s="25" t="s">
        <v>2290</v>
      </c>
      <c r="B1229" s="38" t="s">
        <v>2291</v>
      </c>
      <c r="C1229" s="26" t="s">
        <v>1726</v>
      </c>
      <c r="D1229" s="27">
        <v>0</v>
      </c>
      <c r="E1229" s="27">
        <v>800</v>
      </c>
      <c r="F1229" s="27">
        <v>0</v>
      </c>
      <c r="G1229" s="27">
        <v>0</v>
      </c>
      <c r="H1229" s="27">
        <v>800</v>
      </c>
      <c r="I1229" s="27">
        <f>+IFERROR(VLOOKUP(A1229,'[1]Pending Dispatch'!$N$2:$O$651,2,0),0)</f>
        <v>0</v>
      </c>
      <c r="J1229" s="27">
        <f t="shared" si="19"/>
        <v>800</v>
      </c>
      <c r="K1229" s="28">
        <v>0</v>
      </c>
      <c r="L1229" s="28">
        <v>0</v>
      </c>
      <c r="M1229" s="26"/>
      <c r="N1229" s="26"/>
    </row>
    <row r="1230" spans="1:14" ht="14.4" x14ac:dyDescent="0.3">
      <c r="A1230" s="25" t="s">
        <v>2292</v>
      </c>
      <c r="B1230" s="38" t="s">
        <v>2293</v>
      </c>
      <c r="C1230" s="26" t="s">
        <v>1726</v>
      </c>
      <c r="D1230" s="27">
        <v>120</v>
      </c>
      <c r="E1230" s="27">
        <v>480</v>
      </c>
      <c r="F1230" s="27">
        <v>0</v>
      </c>
      <c r="G1230" s="27">
        <v>0</v>
      </c>
      <c r="H1230" s="27">
        <v>480</v>
      </c>
      <c r="I1230" s="27">
        <f>+IFERROR(VLOOKUP(A1230,'[1]Pending Dispatch'!$N$2:$O$651,2,0),0)</f>
        <v>0</v>
      </c>
      <c r="J1230" s="27">
        <f t="shared" si="19"/>
        <v>480</v>
      </c>
      <c r="K1230" s="28">
        <v>0</v>
      </c>
      <c r="L1230" s="28">
        <v>0</v>
      </c>
      <c r="M1230" s="26"/>
      <c r="N1230" s="26"/>
    </row>
    <row r="1231" spans="1:14" ht="14.4" x14ac:dyDescent="0.3">
      <c r="A1231" s="25" t="s">
        <v>2294</v>
      </c>
      <c r="B1231" s="38" t="s">
        <v>2295</v>
      </c>
      <c r="C1231" s="26" t="s">
        <v>1726</v>
      </c>
      <c r="D1231" s="27">
        <v>400</v>
      </c>
      <c r="E1231" s="27">
        <v>700</v>
      </c>
      <c r="F1231" s="27">
        <v>0</v>
      </c>
      <c r="G1231" s="27">
        <v>0</v>
      </c>
      <c r="H1231" s="27">
        <v>700</v>
      </c>
      <c r="I1231" s="27">
        <f>+IFERROR(VLOOKUP(A1231,'[1]Pending Dispatch'!$N$2:$O$651,2,0),0)</f>
        <v>0</v>
      </c>
      <c r="J1231" s="27">
        <f t="shared" si="19"/>
        <v>700</v>
      </c>
      <c r="K1231" s="28">
        <v>0</v>
      </c>
      <c r="L1231" s="28">
        <v>0</v>
      </c>
      <c r="M1231" s="26">
        <v>0</v>
      </c>
      <c r="N1231" s="26"/>
    </row>
    <row r="1232" spans="1:14" ht="14.4" x14ac:dyDescent="0.3">
      <c r="A1232" s="25" t="s">
        <v>2296</v>
      </c>
      <c r="B1232" s="38" t="s">
        <v>2297</v>
      </c>
      <c r="C1232" s="26" t="s">
        <v>1726</v>
      </c>
      <c r="D1232" s="27">
        <v>0</v>
      </c>
      <c r="E1232" s="27">
        <v>0</v>
      </c>
      <c r="F1232" s="27">
        <v>0</v>
      </c>
      <c r="G1232" s="27">
        <v>0</v>
      </c>
      <c r="H1232" s="27">
        <v>0</v>
      </c>
      <c r="I1232" s="27">
        <f>+IFERROR(VLOOKUP(A1232,'[1]Pending Dispatch'!$N$2:$O$651,2,0),0)</f>
        <v>0</v>
      </c>
      <c r="J1232" s="27">
        <f t="shared" si="19"/>
        <v>0</v>
      </c>
      <c r="K1232" s="28">
        <v>0</v>
      </c>
      <c r="L1232" s="28">
        <v>0</v>
      </c>
      <c r="M1232" s="26">
        <v>0</v>
      </c>
      <c r="N1232" s="26"/>
    </row>
    <row r="1233" spans="1:14" ht="14.4" x14ac:dyDescent="0.3">
      <c r="A1233" s="25" t="s">
        <v>2298</v>
      </c>
      <c r="B1233" s="38" t="s">
        <v>2299</v>
      </c>
      <c r="C1233" s="26" t="s">
        <v>1726</v>
      </c>
      <c r="D1233" s="27">
        <v>120</v>
      </c>
      <c r="E1233" s="27">
        <v>480</v>
      </c>
      <c r="F1233" s="27">
        <v>0</v>
      </c>
      <c r="G1233" s="27">
        <v>0</v>
      </c>
      <c r="H1233" s="27">
        <v>480</v>
      </c>
      <c r="I1233" s="27">
        <f>+IFERROR(VLOOKUP(A1233,'[1]Pending Dispatch'!$N$2:$O$651,2,0),0)</f>
        <v>0</v>
      </c>
      <c r="J1233" s="27">
        <f t="shared" si="19"/>
        <v>480</v>
      </c>
      <c r="K1233" s="28">
        <v>0</v>
      </c>
      <c r="L1233" s="28">
        <v>0</v>
      </c>
      <c r="M1233" s="26">
        <v>0</v>
      </c>
      <c r="N1233" s="26"/>
    </row>
    <row r="1234" spans="1:14" ht="14.4" x14ac:dyDescent="0.3">
      <c r="A1234" s="25" t="s">
        <v>2300</v>
      </c>
      <c r="B1234" s="38" t="s">
        <v>2301</v>
      </c>
      <c r="C1234" s="26" t="s">
        <v>1726</v>
      </c>
      <c r="D1234" s="27">
        <v>120</v>
      </c>
      <c r="E1234" s="27">
        <v>400</v>
      </c>
      <c r="F1234" s="27">
        <v>0</v>
      </c>
      <c r="G1234" s="27">
        <v>0</v>
      </c>
      <c r="H1234" s="27">
        <v>400</v>
      </c>
      <c r="I1234" s="27">
        <f>+IFERROR(VLOOKUP(A1234,'[1]Pending Dispatch'!$N$2:$O$651,2,0),0)</f>
        <v>0</v>
      </c>
      <c r="J1234" s="27">
        <f t="shared" si="19"/>
        <v>400</v>
      </c>
      <c r="K1234" s="28">
        <v>0</v>
      </c>
      <c r="L1234" s="28">
        <v>0</v>
      </c>
      <c r="M1234" s="26">
        <v>0</v>
      </c>
      <c r="N1234" s="26"/>
    </row>
    <row r="1235" spans="1:14" ht="14.4" x14ac:dyDescent="0.3">
      <c r="A1235" s="25" t="s">
        <v>2302</v>
      </c>
      <c r="B1235" s="38" t="s">
        <v>2303</v>
      </c>
      <c r="C1235" s="26" t="s">
        <v>1726</v>
      </c>
      <c r="D1235" s="27">
        <v>0</v>
      </c>
      <c r="E1235" s="27">
        <v>10</v>
      </c>
      <c r="F1235" s="27">
        <v>0</v>
      </c>
      <c r="G1235" s="27">
        <v>0</v>
      </c>
      <c r="H1235" s="27">
        <v>10</v>
      </c>
      <c r="I1235" s="27">
        <f>+IFERROR(VLOOKUP(A1235,'[1]Pending Dispatch'!$N$2:$O$651,2,0),0)</f>
        <v>200</v>
      </c>
      <c r="J1235" s="27">
        <f t="shared" si="19"/>
        <v>-190</v>
      </c>
      <c r="K1235" s="28">
        <v>0</v>
      </c>
      <c r="L1235" s="28">
        <v>0</v>
      </c>
      <c r="M1235" s="26">
        <v>0</v>
      </c>
      <c r="N1235" s="26"/>
    </row>
    <row r="1236" spans="1:14" ht="14.4" x14ac:dyDescent="0.3">
      <c r="A1236" s="53" t="s">
        <v>2304</v>
      </c>
      <c r="B1236" s="38" t="s">
        <v>2305</v>
      </c>
      <c r="C1236" s="26" t="s">
        <v>1476</v>
      </c>
      <c r="D1236" s="27">
        <v>40</v>
      </c>
      <c r="E1236" s="27">
        <v>568</v>
      </c>
      <c r="F1236" s="27">
        <v>0</v>
      </c>
      <c r="G1236" s="27">
        <v>40</v>
      </c>
      <c r="H1236" s="27">
        <v>528</v>
      </c>
      <c r="I1236" s="27">
        <f>+IFERROR(VLOOKUP(A1236,'[1]Pending Dispatch'!$N$2:$O$651,2,0),0)</f>
        <v>0</v>
      </c>
      <c r="J1236" s="27">
        <f t="shared" si="19"/>
        <v>528</v>
      </c>
      <c r="K1236" s="28">
        <v>0</v>
      </c>
      <c r="L1236" s="28">
        <v>0</v>
      </c>
      <c r="M1236" s="26">
        <v>0</v>
      </c>
      <c r="N1236" s="26"/>
    </row>
    <row r="1237" spans="1:14" ht="14.4" x14ac:dyDescent="0.3">
      <c r="A1237" s="25" t="s">
        <v>2306</v>
      </c>
      <c r="B1237" s="38" t="s">
        <v>2307</v>
      </c>
      <c r="C1237" s="26" t="s">
        <v>1726</v>
      </c>
      <c r="D1237" s="27">
        <v>25</v>
      </c>
      <c r="E1237" s="27">
        <v>10</v>
      </c>
      <c r="F1237" s="27">
        <v>1975</v>
      </c>
      <c r="G1237" s="27">
        <v>320</v>
      </c>
      <c r="H1237" s="27">
        <v>1665</v>
      </c>
      <c r="I1237" s="27">
        <f>+IFERROR(VLOOKUP(A1237,'[1]Pending Dispatch'!$N$2:$O$651,2,0),0)</f>
        <v>200</v>
      </c>
      <c r="J1237" s="27">
        <f t="shared" si="19"/>
        <v>1465</v>
      </c>
      <c r="K1237" s="28">
        <v>0</v>
      </c>
      <c r="L1237" s="28">
        <v>0</v>
      </c>
      <c r="M1237" s="26">
        <v>0</v>
      </c>
      <c r="N1237" s="26"/>
    </row>
    <row r="1238" spans="1:14" ht="14.4" x14ac:dyDescent="0.3">
      <c r="A1238" s="44" t="s">
        <v>2308</v>
      </c>
      <c r="B1238" s="44" t="s">
        <v>2309</v>
      </c>
      <c r="C1238" s="26" t="s">
        <v>1726</v>
      </c>
      <c r="D1238" s="27">
        <v>40</v>
      </c>
      <c r="E1238" s="27">
        <v>990</v>
      </c>
      <c r="F1238" s="27">
        <v>0</v>
      </c>
      <c r="G1238" s="27">
        <v>106</v>
      </c>
      <c r="H1238" s="27">
        <v>884</v>
      </c>
      <c r="I1238" s="27">
        <f>+IFERROR(VLOOKUP(A1238,'[1]Pending Dispatch'!$N$2:$O$651,2,0),0)</f>
        <v>310</v>
      </c>
      <c r="J1238" s="27">
        <f t="shared" si="19"/>
        <v>574</v>
      </c>
      <c r="K1238" s="28">
        <v>0</v>
      </c>
      <c r="L1238" s="28">
        <v>0</v>
      </c>
      <c r="M1238" s="26">
        <v>0</v>
      </c>
      <c r="N1238" s="26"/>
    </row>
    <row r="1239" spans="1:14" ht="14.4" x14ac:dyDescent="0.3">
      <c r="A1239" s="44" t="s">
        <v>2310</v>
      </c>
      <c r="B1239" s="44" t="s">
        <v>2311</v>
      </c>
      <c r="C1239" s="26" t="s">
        <v>1726</v>
      </c>
      <c r="D1239" s="27">
        <v>40</v>
      </c>
      <c r="E1239" s="27">
        <v>850</v>
      </c>
      <c r="F1239" s="27">
        <v>0</v>
      </c>
      <c r="G1239" s="27">
        <v>50</v>
      </c>
      <c r="H1239" s="27">
        <v>800</v>
      </c>
      <c r="I1239" s="27">
        <f>+IFERROR(VLOOKUP(A1239,'[1]Pending Dispatch'!$N$2:$O$651,2,0),0)</f>
        <v>270</v>
      </c>
      <c r="J1239" s="27">
        <f t="shared" si="19"/>
        <v>530</v>
      </c>
      <c r="K1239" s="28">
        <v>0</v>
      </c>
      <c r="L1239" s="28">
        <v>0</v>
      </c>
      <c r="M1239" s="26">
        <v>0</v>
      </c>
      <c r="N1239" s="26"/>
    </row>
    <row r="1240" spans="1:14" x14ac:dyDescent="0.3">
      <c r="A1240" s="25" t="s">
        <v>2312</v>
      </c>
      <c r="B1240" s="26" t="s">
        <v>2313</v>
      </c>
      <c r="C1240" s="26" t="s">
        <v>1726</v>
      </c>
      <c r="D1240" s="27">
        <v>0</v>
      </c>
      <c r="E1240" s="27">
        <v>0</v>
      </c>
      <c r="F1240" s="27">
        <v>0</v>
      </c>
      <c r="G1240" s="27">
        <v>0</v>
      </c>
      <c r="H1240" s="27">
        <v>0</v>
      </c>
      <c r="I1240" s="27">
        <f>+IFERROR(VLOOKUP(A1240,'[1]Pending Dispatch'!$N$2:$O$651,2,0),0)</f>
        <v>0</v>
      </c>
      <c r="J1240" s="27">
        <f t="shared" si="19"/>
        <v>0</v>
      </c>
      <c r="K1240" s="28">
        <v>0</v>
      </c>
      <c r="L1240" s="28">
        <v>0</v>
      </c>
      <c r="M1240" s="26">
        <v>0</v>
      </c>
      <c r="N1240" s="26"/>
    </row>
    <row r="1241" spans="1:14" x14ac:dyDescent="0.3">
      <c r="A1241" s="25" t="s">
        <v>2314</v>
      </c>
      <c r="B1241" s="26" t="s">
        <v>2315</v>
      </c>
      <c r="C1241" s="26" t="s">
        <v>1726</v>
      </c>
      <c r="D1241" s="27">
        <v>250</v>
      </c>
      <c r="E1241" s="27">
        <v>550</v>
      </c>
      <c r="F1241" s="27">
        <v>0</v>
      </c>
      <c r="G1241" s="27">
        <v>0</v>
      </c>
      <c r="H1241" s="27">
        <v>550</v>
      </c>
      <c r="I1241" s="27">
        <f>+IFERROR(VLOOKUP(A1241,'[1]Pending Dispatch'!$N$2:$O$651,2,0),0)</f>
        <v>0</v>
      </c>
      <c r="J1241" s="27">
        <f t="shared" si="19"/>
        <v>550</v>
      </c>
      <c r="K1241" s="28">
        <v>0</v>
      </c>
      <c r="L1241" s="28">
        <v>0</v>
      </c>
      <c r="M1241" s="26">
        <v>0</v>
      </c>
      <c r="N1241" s="26"/>
    </row>
    <row r="1242" spans="1:14" x14ac:dyDescent="0.3">
      <c r="A1242" s="25" t="s">
        <v>2316</v>
      </c>
      <c r="B1242" s="26" t="s">
        <v>2317</v>
      </c>
      <c r="C1242" s="26" t="s">
        <v>1726</v>
      </c>
      <c r="D1242" s="27">
        <v>250</v>
      </c>
      <c r="E1242" s="27">
        <v>1250</v>
      </c>
      <c r="F1242" s="27">
        <v>0</v>
      </c>
      <c r="G1242" s="27">
        <v>0</v>
      </c>
      <c r="H1242" s="27">
        <v>1250</v>
      </c>
      <c r="I1242" s="27">
        <f>+IFERROR(VLOOKUP(A1242,'[1]Pending Dispatch'!$N$2:$O$651,2,0),0)</f>
        <v>0</v>
      </c>
      <c r="J1242" s="27">
        <f t="shared" si="19"/>
        <v>1250</v>
      </c>
      <c r="K1242" s="28">
        <v>0</v>
      </c>
      <c r="L1242" s="28">
        <v>0</v>
      </c>
      <c r="M1242" s="26">
        <v>0</v>
      </c>
      <c r="N1242" s="26"/>
    </row>
    <row r="1243" spans="1:14" x14ac:dyDescent="0.3">
      <c r="A1243" s="25" t="s">
        <v>2318</v>
      </c>
      <c r="B1243" s="26" t="s">
        <v>2319</v>
      </c>
      <c r="C1243" s="26" t="s">
        <v>1726</v>
      </c>
      <c r="D1243" s="27">
        <v>300</v>
      </c>
      <c r="E1243" s="27">
        <v>2850</v>
      </c>
      <c r="F1243" s="27">
        <v>0</v>
      </c>
      <c r="G1243" s="27">
        <v>0</v>
      </c>
      <c r="H1243" s="27">
        <v>2850</v>
      </c>
      <c r="I1243" s="27">
        <f>+IFERROR(VLOOKUP(A1243,'[1]Pending Dispatch'!$N$2:$O$651,2,0),0)</f>
        <v>300</v>
      </c>
      <c r="J1243" s="27">
        <f t="shared" si="19"/>
        <v>2550</v>
      </c>
      <c r="K1243" s="28">
        <v>0</v>
      </c>
      <c r="L1243" s="28">
        <v>0</v>
      </c>
      <c r="M1243" s="26">
        <v>0</v>
      </c>
      <c r="N1243" s="26"/>
    </row>
    <row r="1244" spans="1:14" x14ac:dyDescent="0.3">
      <c r="A1244" s="25" t="s">
        <v>2320</v>
      </c>
      <c r="B1244" s="26" t="s">
        <v>2321</v>
      </c>
      <c r="C1244" s="26" t="s">
        <v>1726</v>
      </c>
      <c r="D1244" s="27">
        <v>250</v>
      </c>
      <c r="E1244" s="27">
        <v>800</v>
      </c>
      <c r="F1244" s="27">
        <v>0</v>
      </c>
      <c r="G1244" s="27">
        <v>0</v>
      </c>
      <c r="H1244" s="27">
        <v>800</v>
      </c>
      <c r="I1244" s="27">
        <f>+IFERROR(VLOOKUP(A1244,'[1]Pending Dispatch'!$N$2:$O$651,2,0),0)</f>
        <v>0</v>
      </c>
      <c r="J1244" s="27">
        <f t="shared" si="19"/>
        <v>800</v>
      </c>
      <c r="K1244" s="28">
        <v>0</v>
      </c>
      <c r="L1244" s="28">
        <v>0</v>
      </c>
      <c r="M1244" s="26">
        <v>0</v>
      </c>
      <c r="N1244" s="26"/>
    </row>
    <row r="1245" spans="1:14" x14ac:dyDescent="0.3">
      <c r="A1245" s="25" t="s">
        <v>2322</v>
      </c>
      <c r="B1245" s="26" t="s">
        <v>2323</v>
      </c>
      <c r="C1245" s="26" t="s">
        <v>1726</v>
      </c>
      <c r="D1245" s="27">
        <v>200</v>
      </c>
      <c r="E1245" s="27">
        <v>700</v>
      </c>
      <c r="F1245" s="27">
        <v>0</v>
      </c>
      <c r="G1245" s="27">
        <v>0</v>
      </c>
      <c r="H1245" s="27">
        <v>700</v>
      </c>
      <c r="I1245" s="27">
        <f>+IFERROR(VLOOKUP(A1245,'[1]Pending Dispatch'!$N$2:$O$651,2,0),0)</f>
        <v>0</v>
      </c>
      <c r="J1245" s="27">
        <f t="shared" si="19"/>
        <v>700</v>
      </c>
      <c r="K1245" s="28">
        <v>0</v>
      </c>
      <c r="L1245" s="28">
        <v>0</v>
      </c>
      <c r="M1245" s="26"/>
      <c r="N1245" s="26"/>
    </row>
    <row r="1246" spans="1:14" x14ac:dyDescent="0.3">
      <c r="A1246" s="25" t="s">
        <v>2324</v>
      </c>
      <c r="B1246" s="26" t="s">
        <v>2325</v>
      </c>
      <c r="C1246" s="26" t="s">
        <v>1726</v>
      </c>
      <c r="D1246" s="27">
        <v>200</v>
      </c>
      <c r="E1246" s="27">
        <v>1100</v>
      </c>
      <c r="F1246" s="27">
        <v>0</v>
      </c>
      <c r="G1246" s="27">
        <v>0</v>
      </c>
      <c r="H1246" s="27">
        <v>1100</v>
      </c>
      <c r="I1246" s="27">
        <f>+IFERROR(VLOOKUP(A1246,'[1]Pending Dispatch'!$N$2:$O$651,2,0),0)</f>
        <v>0</v>
      </c>
      <c r="J1246" s="27">
        <f t="shared" si="19"/>
        <v>1100</v>
      </c>
      <c r="K1246" s="28">
        <v>0</v>
      </c>
      <c r="L1246" s="28">
        <v>0</v>
      </c>
      <c r="M1246" s="26"/>
      <c r="N1246" s="26"/>
    </row>
    <row r="1247" spans="1:14" x14ac:dyDescent="0.3">
      <c r="A1247" s="25" t="s">
        <v>2326</v>
      </c>
      <c r="B1247" s="26" t="s">
        <v>2327</v>
      </c>
      <c r="C1247" s="26" t="s">
        <v>1726</v>
      </c>
      <c r="D1247" s="27">
        <v>0</v>
      </c>
      <c r="E1247" s="27">
        <v>100</v>
      </c>
      <c r="F1247" s="27">
        <v>0</v>
      </c>
      <c r="G1247" s="27">
        <v>0</v>
      </c>
      <c r="H1247" s="27">
        <v>100</v>
      </c>
      <c r="I1247" s="27">
        <f>+IFERROR(VLOOKUP(A1247,'[1]Pending Dispatch'!$N$2:$O$651,2,0),0)</f>
        <v>0</v>
      </c>
      <c r="J1247" s="27">
        <f t="shared" si="19"/>
        <v>100</v>
      </c>
      <c r="K1247" s="28">
        <v>0</v>
      </c>
      <c r="L1247" s="28">
        <v>0</v>
      </c>
      <c r="M1247" s="26">
        <v>0</v>
      </c>
      <c r="N1247" s="26"/>
    </row>
    <row r="1248" spans="1:14" x14ac:dyDescent="0.3">
      <c r="A1248" s="25" t="s">
        <v>2328</v>
      </c>
      <c r="B1248" s="26" t="s">
        <v>2327</v>
      </c>
      <c r="C1248" s="26" t="s">
        <v>1726</v>
      </c>
      <c r="D1248" s="27">
        <v>0</v>
      </c>
      <c r="E1248" s="27">
        <v>400</v>
      </c>
      <c r="F1248" s="27">
        <v>0</v>
      </c>
      <c r="G1248" s="27">
        <v>0</v>
      </c>
      <c r="H1248" s="27">
        <v>400</v>
      </c>
      <c r="I1248" s="27">
        <f>+IFERROR(VLOOKUP(A1248,'[1]Pending Dispatch'!$N$2:$O$651,2,0),0)</f>
        <v>0</v>
      </c>
      <c r="J1248" s="27">
        <f t="shared" si="19"/>
        <v>400</v>
      </c>
      <c r="K1248" s="28">
        <v>0</v>
      </c>
      <c r="L1248" s="28">
        <v>0</v>
      </c>
      <c r="M1248" s="26">
        <v>0</v>
      </c>
      <c r="N1248" s="26"/>
    </row>
    <row r="1249" spans="1:14" x14ac:dyDescent="0.3">
      <c r="A1249" s="25" t="s">
        <v>2329</v>
      </c>
      <c r="B1249" s="26" t="s">
        <v>2330</v>
      </c>
      <c r="C1249" s="26" t="s">
        <v>1726</v>
      </c>
      <c r="D1249" s="27">
        <v>250</v>
      </c>
      <c r="E1249" s="27">
        <v>4950</v>
      </c>
      <c r="F1249" s="27">
        <v>0</v>
      </c>
      <c r="G1249" s="27">
        <v>0</v>
      </c>
      <c r="H1249" s="27">
        <v>4950</v>
      </c>
      <c r="I1249" s="27">
        <f>+IFERROR(VLOOKUP(A1249,'[1]Pending Dispatch'!$N$2:$O$651,2,0),0)</f>
        <v>0</v>
      </c>
      <c r="J1249" s="27">
        <f t="shared" si="19"/>
        <v>4950</v>
      </c>
      <c r="K1249" s="28">
        <v>0</v>
      </c>
      <c r="L1249" s="28">
        <v>0</v>
      </c>
      <c r="M1249" s="26">
        <v>0</v>
      </c>
      <c r="N1249" s="26"/>
    </row>
    <row r="1250" spans="1:14" x14ac:dyDescent="0.3">
      <c r="A1250" s="25" t="s">
        <v>2331</v>
      </c>
      <c r="B1250" s="26" t="s">
        <v>2332</v>
      </c>
      <c r="C1250" s="26" t="s">
        <v>1647</v>
      </c>
      <c r="D1250" s="27">
        <v>1</v>
      </c>
      <c r="E1250" s="27">
        <v>27</v>
      </c>
      <c r="F1250" s="27">
        <v>0</v>
      </c>
      <c r="G1250" s="27">
        <v>0</v>
      </c>
      <c r="H1250" s="27">
        <v>27</v>
      </c>
      <c r="I1250" s="27">
        <f>+IFERROR(VLOOKUP(A1250,'[1]Pending Dispatch'!$N$2:$O$651,2,0),0)</f>
        <v>0</v>
      </c>
      <c r="J1250" s="27">
        <f t="shared" si="19"/>
        <v>27</v>
      </c>
      <c r="K1250" s="28">
        <v>0</v>
      </c>
      <c r="L1250" s="28">
        <v>0</v>
      </c>
      <c r="M1250" s="26">
        <v>1448</v>
      </c>
      <c r="N1250" s="26"/>
    </row>
    <row r="1251" spans="1:14" x14ac:dyDescent="0.3">
      <c r="A1251" s="25" t="s">
        <v>2333</v>
      </c>
      <c r="B1251" s="26" t="s">
        <v>2334</v>
      </c>
      <c r="C1251" s="26" t="s">
        <v>1726</v>
      </c>
      <c r="D1251" s="27">
        <v>250</v>
      </c>
      <c r="E1251" s="27">
        <v>2562</v>
      </c>
      <c r="F1251" s="27">
        <v>0</v>
      </c>
      <c r="G1251" s="27">
        <v>730</v>
      </c>
      <c r="H1251" s="27">
        <v>1832</v>
      </c>
      <c r="I1251" s="27">
        <f>+IFERROR(VLOOKUP(A1251,'[1]Pending Dispatch'!$N$2:$O$651,2,0),0)</f>
        <v>500</v>
      </c>
      <c r="J1251" s="27">
        <f t="shared" si="19"/>
        <v>1332</v>
      </c>
      <c r="K1251" s="28">
        <v>0</v>
      </c>
      <c r="L1251" s="28">
        <v>0</v>
      </c>
      <c r="M1251" s="26">
        <v>0</v>
      </c>
      <c r="N1251" s="26"/>
    </row>
    <row r="1252" spans="1:14" ht="14.4" x14ac:dyDescent="0.3">
      <c r="A1252" s="26" t="s">
        <v>2335</v>
      </c>
      <c r="B1252" s="54" t="s">
        <v>2336</v>
      </c>
      <c r="C1252" s="26" t="s">
        <v>1726</v>
      </c>
      <c r="D1252" s="27">
        <v>200</v>
      </c>
      <c r="E1252" s="27">
        <v>0</v>
      </c>
      <c r="F1252" s="27">
        <v>0</v>
      </c>
      <c r="G1252" s="27">
        <v>0</v>
      </c>
      <c r="H1252" s="27">
        <v>0</v>
      </c>
      <c r="I1252" s="27">
        <f>+IFERROR(VLOOKUP(A1252,'[1]Pending Dispatch'!$N$2:$O$651,2,0),0)</f>
        <v>0</v>
      </c>
      <c r="J1252" s="27">
        <f t="shared" si="19"/>
        <v>0</v>
      </c>
      <c r="K1252" s="28">
        <v>0</v>
      </c>
      <c r="L1252" s="28">
        <v>0</v>
      </c>
      <c r="M1252" s="26">
        <v>0</v>
      </c>
      <c r="N1252" s="26"/>
    </row>
    <row r="1253" spans="1:14" ht="14.4" x14ac:dyDescent="0.3">
      <c r="A1253" s="26" t="s">
        <v>2337</v>
      </c>
      <c r="B1253" s="44" t="s">
        <v>2338</v>
      </c>
      <c r="C1253" s="38" t="s">
        <v>2339</v>
      </c>
      <c r="D1253" s="27">
        <v>1</v>
      </c>
      <c r="E1253" s="27">
        <v>0</v>
      </c>
      <c r="F1253" s="27">
        <v>0</v>
      </c>
      <c r="G1253" s="27">
        <v>0</v>
      </c>
      <c r="H1253" s="27">
        <v>0</v>
      </c>
      <c r="I1253" s="27">
        <f>+IFERROR(VLOOKUP(A1253,'[1]Pending Dispatch'!$N$2:$O$651,2,0),0)</f>
        <v>0</v>
      </c>
      <c r="J1253" s="27">
        <f t="shared" si="19"/>
        <v>0</v>
      </c>
      <c r="K1253" s="28">
        <v>0</v>
      </c>
      <c r="L1253" s="28">
        <v>0</v>
      </c>
      <c r="M1253" s="26">
        <v>0</v>
      </c>
      <c r="N1253" s="26"/>
    </row>
    <row r="1254" spans="1:14" ht="14.4" x14ac:dyDescent="0.3">
      <c r="A1254" s="38" t="s">
        <v>2340</v>
      </c>
      <c r="B1254" s="48" t="s">
        <v>2341</v>
      </c>
      <c r="C1254" s="26" t="s">
        <v>87</v>
      </c>
      <c r="D1254" s="27">
        <v>24</v>
      </c>
      <c r="E1254" s="27">
        <v>0</v>
      </c>
      <c r="F1254" s="27">
        <v>0</v>
      </c>
      <c r="G1254" s="27">
        <v>0</v>
      </c>
      <c r="H1254" s="27">
        <v>0</v>
      </c>
      <c r="I1254" s="27">
        <f>+IFERROR(VLOOKUP(A1254,'[1]Pending Dispatch'!$N$2:$O$651,2,0),0)</f>
        <v>0</v>
      </c>
      <c r="J1254" s="27">
        <f t="shared" si="19"/>
        <v>0</v>
      </c>
      <c r="K1254" s="28">
        <v>0</v>
      </c>
      <c r="L1254" s="28">
        <v>0</v>
      </c>
      <c r="M1254" s="26">
        <v>0</v>
      </c>
      <c r="N1254" s="26"/>
    </row>
    <row r="1255" spans="1:14" x14ac:dyDescent="0.3">
      <c r="A1255" s="25" t="s">
        <v>2342</v>
      </c>
      <c r="B1255" s="26" t="s">
        <v>2343</v>
      </c>
      <c r="C1255" s="26" t="s">
        <v>666</v>
      </c>
      <c r="D1255" s="27">
        <v>32</v>
      </c>
      <c r="E1255" s="27">
        <v>0</v>
      </c>
      <c r="F1255" s="27">
        <v>384</v>
      </c>
      <c r="G1255" s="27">
        <v>320</v>
      </c>
      <c r="H1255" s="27">
        <v>64</v>
      </c>
      <c r="I1255" s="27">
        <f>+IFERROR(VLOOKUP(A1255,'[1]Pending Dispatch'!$N$2:$O$651,2,0),0)</f>
        <v>64</v>
      </c>
      <c r="J1255" s="27">
        <f t="shared" si="19"/>
        <v>0</v>
      </c>
      <c r="K1255" s="28">
        <v>0</v>
      </c>
      <c r="L1255" s="28">
        <v>0</v>
      </c>
      <c r="M1255" s="26">
        <v>0</v>
      </c>
      <c r="N1255" s="26"/>
    </row>
    <row r="1256" spans="1:14" ht="14.4" x14ac:dyDescent="0.3">
      <c r="A1256" s="25" t="s">
        <v>2344</v>
      </c>
      <c r="B1256" s="38" t="s">
        <v>2345</v>
      </c>
      <c r="C1256" s="26" t="s">
        <v>1726</v>
      </c>
      <c r="D1256" s="27">
        <v>25</v>
      </c>
      <c r="E1256" s="27">
        <v>545</v>
      </c>
      <c r="F1256" s="27">
        <v>0</v>
      </c>
      <c r="G1256" s="27">
        <v>50</v>
      </c>
      <c r="H1256" s="27">
        <v>495</v>
      </c>
      <c r="I1256" s="27">
        <f>+IFERROR(VLOOKUP(A1256,'[1]Pending Dispatch'!$N$2:$O$651,2,0),0)</f>
        <v>100</v>
      </c>
      <c r="J1256" s="27">
        <f t="shared" si="19"/>
        <v>395</v>
      </c>
      <c r="K1256" s="28">
        <v>0</v>
      </c>
      <c r="L1256" s="28">
        <v>0</v>
      </c>
      <c r="M1256" s="26">
        <v>0</v>
      </c>
      <c r="N1256" s="26"/>
    </row>
    <row r="1257" spans="1:14" x14ac:dyDescent="0.3">
      <c r="A1257" s="49" t="s">
        <v>2346</v>
      </c>
      <c r="B1257" s="48" t="s">
        <v>2347</v>
      </c>
      <c r="C1257" s="26" t="s">
        <v>1726</v>
      </c>
      <c r="D1257" s="27">
        <v>125</v>
      </c>
      <c r="E1257" s="27">
        <v>1000</v>
      </c>
      <c r="F1257" s="27">
        <v>0</v>
      </c>
      <c r="G1257" s="27">
        <v>0</v>
      </c>
      <c r="H1257" s="27">
        <v>1000</v>
      </c>
      <c r="I1257" s="27">
        <f>+IFERROR(VLOOKUP(A1257,'[1]Pending Dispatch'!$N$2:$O$651,2,0),0)</f>
        <v>0</v>
      </c>
      <c r="J1257" s="27">
        <f t="shared" si="19"/>
        <v>1000</v>
      </c>
      <c r="K1257" s="28">
        <v>0</v>
      </c>
      <c r="L1257" s="28">
        <v>0</v>
      </c>
      <c r="M1257" s="26">
        <v>55.4</v>
      </c>
      <c r="N1257" s="26"/>
    </row>
    <row r="1258" spans="1:14" x14ac:dyDescent="0.3">
      <c r="A1258" s="25" t="s">
        <v>2348</v>
      </c>
      <c r="B1258" s="26" t="s">
        <v>2349</v>
      </c>
      <c r="C1258" s="26" t="s">
        <v>1647</v>
      </c>
      <c r="D1258" s="27">
        <v>1</v>
      </c>
      <c r="E1258" s="27">
        <v>0</v>
      </c>
      <c r="F1258" s="27">
        <v>0</v>
      </c>
      <c r="G1258" s="27">
        <v>0</v>
      </c>
      <c r="H1258" s="27">
        <v>0</v>
      </c>
      <c r="I1258" s="27">
        <f>+IFERROR(VLOOKUP(A1258,'[1]Pending Dispatch'!$N$2:$O$651,2,0),0)</f>
        <v>0</v>
      </c>
      <c r="J1258" s="27">
        <f t="shared" si="19"/>
        <v>0</v>
      </c>
      <c r="K1258" s="28">
        <v>0</v>
      </c>
      <c r="L1258" s="28">
        <v>0</v>
      </c>
      <c r="M1258" s="26">
        <v>0</v>
      </c>
      <c r="N1258" s="26"/>
    </row>
    <row r="1259" spans="1:14" x14ac:dyDescent="0.3">
      <c r="A1259" s="25" t="s">
        <v>2350</v>
      </c>
      <c r="B1259" s="26" t="s">
        <v>2351</v>
      </c>
      <c r="C1259" s="26" t="s">
        <v>87</v>
      </c>
      <c r="D1259" s="27">
        <v>1</v>
      </c>
      <c r="E1259" s="27">
        <v>0</v>
      </c>
      <c r="F1259" s="27">
        <v>0</v>
      </c>
      <c r="G1259" s="27">
        <v>0</v>
      </c>
      <c r="H1259" s="27">
        <v>0</v>
      </c>
      <c r="I1259" s="27">
        <f>+IFERROR(VLOOKUP(A1259,'[1]Pending Dispatch'!$N$2:$O$651,2,0),0)</f>
        <v>0</v>
      </c>
      <c r="J1259" s="27">
        <f t="shared" si="19"/>
        <v>0</v>
      </c>
      <c r="K1259" s="28">
        <v>0</v>
      </c>
      <c r="L1259" s="28">
        <v>0</v>
      </c>
      <c r="M1259" s="26">
        <v>0</v>
      </c>
      <c r="N1259" s="26"/>
    </row>
    <row r="1260" spans="1:14" x14ac:dyDescent="0.3">
      <c r="A1260" s="25" t="s">
        <v>2352</v>
      </c>
      <c r="B1260" s="26" t="s">
        <v>2353</v>
      </c>
      <c r="C1260" s="26" t="s">
        <v>2354</v>
      </c>
      <c r="D1260" s="27">
        <v>300</v>
      </c>
      <c r="E1260" s="27">
        <v>2383</v>
      </c>
      <c r="F1260" s="27">
        <v>0</v>
      </c>
      <c r="G1260" s="27">
        <v>0</v>
      </c>
      <c r="H1260" s="27">
        <v>2383</v>
      </c>
      <c r="I1260" s="27">
        <f>+IFERROR(VLOOKUP(A1260,'[1]Pending Dispatch'!$N$2:$O$651,2,0),0)</f>
        <v>0</v>
      </c>
      <c r="J1260" s="27">
        <f t="shared" si="19"/>
        <v>2383</v>
      </c>
      <c r="K1260" s="28">
        <v>0</v>
      </c>
      <c r="L1260" s="28">
        <v>0</v>
      </c>
      <c r="M1260" s="26">
        <v>0</v>
      </c>
      <c r="N1260" s="26"/>
    </row>
    <row r="1261" spans="1:14" x14ac:dyDescent="0.3">
      <c r="A1261" s="25" t="s">
        <v>2355</v>
      </c>
      <c r="B1261" s="26" t="s">
        <v>2356</v>
      </c>
      <c r="C1261" s="26" t="s">
        <v>2354</v>
      </c>
      <c r="D1261" s="27">
        <v>75</v>
      </c>
      <c r="E1261" s="27">
        <v>5515</v>
      </c>
      <c r="F1261" s="27">
        <v>0</v>
      </c>
      <c r="G1261" s="27">
        <v>0</v>
      </c>
      <c r="H1261" s="27">
        <v>5515</v>
      </c>
      <c r="I1261" s="27">
        <f>+IFERROR(VLOOKUP(A1261,'[1]Pending Dispatch'!$N$2:$O$651,2,0),0)</f>
        <v>0</v>
      </c>
      <c r="J1261" s="27">
        <f t="shared" si="19"/>
        <v>5515</v>
      </c>
      <c r="K1261" s="28">
        <v>0</v>
      </c>
      <c r="L1261" s="28">
        <v>0</v>
      </c>
      <c r="M1261" s="26">
        <v>0</v>
      </c>
      <c r="N1261" s="26"/>
    </row>
    <row r="1262" spans="1:14" x14ac:dyDescent="0.3">
      <c r="A1262" s="25" t="s">
        <v>2357</v>
      </c>
      <c r="B1262" s="26" t="s">
        <v>2358</v>
      </c>
      <c r="C1262" s="26" t="s">
        <v>2354</v>
      </c>
      <c r="D1262" s="27">
        <v>100</v>
      </c>
      <c r="E1262" s="27">
        <v>2800</v>
      </c>
      <c r="F1262" s="27">
        <v>0</v>
      </c>
      <c r="G1262" s="27">
        <v>0</v>
      </c>
      <c r="H1262" s="27">
        <v>2800</v>
      </c>
      <c r="I1262" s="27">
        <f>+IFERROR(VLOOKUP(A1262,'[1]Pending Dispatch'!$N$2:$O$651,2,0),0)</f>
        <v>0</v>
      </c>
      <c r="J1262" s="27">
        <f t="shared" si="19"/>
        <v>2800</v>
      </c>
      <c r="K1262" s="28">
        <v>0</v>
      </c>
      <c r="L1262" s="28">
        <v>0</v>
      </c>
      <c r="M1262" s="26">
        <v>0</v>
      </c>
      <c r="N1262" s="26"/>
    </row>
    <row r="1263" spans="1:14" x14ac:dyDescent="0.3">
      <c r="A1263" s="25" t="s">
        <v>2359</v>
      </c>
      <c r="B1263" s="26" t="s">
        <v>2360</v>
      </c>
      <c r="C1263" s="26" t="s">
        <v>2354</v>
      </c>
      <c r="D1263" s="27">
        <v>50</v>
      </c>
      <c r="E1263" s="27">
        <v>5715</v>
      </c>
      <c r="F1263" s="27">
        <v>0</v>
      </c>
      <c r="G1263" s="27">
        <v>0</v>
      </c>
      <c r="H1263" s="27">
        <v>5715</v>
      </c>
      <c r="I1263" s="27">
        <f>+IFERROR(VLOOKUP(A1263,'[1]Pending Dispatch'!$N$2:$O$651,2,0),0)</f>
        <v>0</v>
      </c>
      <c r="J1263" s="27">
        <f t="shared" si="19"/>
        <v>5715</v>
      </c>
      <c r="K1263" s="28">
        <v>0</v>
      </c>
      <c r="L1263" s="28">
        <v>0</v>
      </c>
      <c r="M1263" s="26">
        <v>0</v>
      </c>
      <c r="N1263" s="26"/>
    </row>
    <row r="1264" spans="1:14" x14ac:dyDescent="0.3">
      <c r="A1264" s="25" t="s">
        <v>2361</v>
      </c>
      <c r="B1264" s="26" t="s">
        <v>2362</v>
      </c>
      <c r="C1264" s="26" t="s">
        <v>2354</v>
      </c>
      <c r="D1264" s="27">
        <v>200</v>
      </c>
      <c r="E1264" s="27">
        <v>1740</v>
      </c>
      <c r="F1264" s="27">
        <v>0</v>
      </c>
      <c r="G1264" s="27">
        <v>0</v>
      </c>
      <c r="H1264" s="27">
        <v>1740</v>
      </c>
      <c r="I1264" s="27">
        <f>+IFERROR(VLOOKUP(A1264,'[1]Pending Dispatch'!$N$2:$O$651,2,0),0)</f>
        <v>0</v>
      </c>
      <c r="J1264" s="27">
        <f t="shared" si="19"/>
        <v>1740</v>
      </c>
      <c r="K1264" s="28">
        <v>0</v>
      </c>
      <c r="L1264" s="28">
        <v>0</v>
      </c>
      <c r="M1264" s="26">
        <v>0</v>
      </c>
      <c r="N1264" s="26"/>
    </row>
    <row r="1265" spans="1:14" x14ac:dyDescent="0.3">
      <c r="A1265" s="25" t="s">
        <v>2363</v>
      </c>
      <c r="B1265" s="26" t="s">
        <v>2364</v>
      </c>
      <c r="C1265" s="26" t="s">
        <v>2354</v>
      </c>
      <c r="D1265" s="27">
        <v>40</v>
      </c>
      <c r="E1265" s="27">
        <v>6017</v>
      </c>
      <c r="F1265" s="27">
        <v>0</v>
      </c>
      <c r="G1265" s="27">
        <v>0</v>
      </c>
      <c r="H1265" s="27">
        <v>6017</v>
      </c>
      <c r="I1265" s="27">
        <f>+IFERROR(VLOOKUP(A1265,'[1]Pending Dispatch'!$N$2:$O$651,2,0),0)</f>
        <v>0</v>
      </c>
      <c r="J1265" s="27">
        <f t="shared" si="19"/>
        <v>6017</v>
      </c>
      <c r="K1265" s="28">
        <v>0</v>
      </c>
      <c r="L1265" s="28">
        <v>0</v>
      </c>
      <c r="M1265" s="26">
        <v>0</v>
      </c>
      <c r="N1265" s="26"/>
    </row>
    <row r="1266" spans="1:14" x14ac:dyDescent="0.3">
      <c r="A1266" s="25" t="s">
        <v>2365</v>
      </c>
      <c r="B1266" s="26" t="s">
        <v>2366</v>
      </c>
      <c r="C1266" s="26" t="s">
        <v>2354</v>
      </c>
      <c r="D1266" s="27">
        <v>40</v>
      </c>
      <c r="E1266" s="27">
        <v>10145</v>
      </c>
      <c r="F1266" s="27">
        <v>0</v>
      </c>
      <c r="G1266" s="27">
        <v>0</v>
      </c>
      <c r="H1266" s="27">
        <v>10145</v>
      </c>
      <c r="I1266" s="27">
        <f>+IFERROR(VLOOKUP(A1266,'[1]Pending Dispatch'!$N$2:$O$651,2,0),0)</f>
        <v>0</v>
      </c>
      <c r="J1266" s="27">
        <f t="shared" si="19"/>
        <v>10145</v>
      </c>
      <c r="K1266" s="28">
        <v>0</v>
      </c>
      <c r="L1266" s="28">
        <v>0</v>
      </c>
      <c r="M1266" s="26">
        <v>0</v>
      </c>
      <c r="N1266" s="26"/>
    </row>
    <row r="1267" spans="1:14" x14ac:dyDescent="0.3">
      <c r="A1267" s="25" t="s">
        <v>2367</v>
      </c>
      <c r="B1267" s="26" t="s">
        <v>2368</v>
      </c>
      <c r="C1267" s="26" t="s">
        <v>2354</v>
      </c>
      <c r="D1267" s="27">
        <v>75</v>
      </c>
      <c r="E1267" s="27">
        <v>518</v>
      </c>
      <c r="F1267" s="27">
        <v>3300</v>
      </c>
      <c r="G1267" s="27">
        <v>0</v>
      </c>
      <c r="H1267" s="27">
        <v>3818</v>
      </c>
      <c r="I1267" s="27">
        <f>+IFERROR(VLOOKUP(A1267,'[1]Pending Dispatch'!$N$2:$O$651,2,0),0)</f>
        <v>0</v>
      </c>
      <c r="J1267" s="27">
        <f t="shared" si="19"/>
        <v>3818</v>
      </c>
      <c r="K1267" s="28">
        <v>0</v>
      </c>
      <c r="L1267" s="28">
        <v>0</v>
      </c>
      <c r="M1267" s="26">
        <v>0</v>
      </c>
      <c r="N1267" s="26"/>
    </row>
    <row r="1268" spans="1:14" x14ac:dyDescent="0.3">
      <c r="A1268" s="25" t="s">
        <v>2369</v>
      </c>
      <c r="B1268" s="26" t="s">
        <v>2370</v>
      </c>
      <c r="C1268" s="26" t="s">
        <v>2354</v>
      </c>
      <c r="D1268" s="27">
        <v>75</v>
      </c>
      <c r="E1268" s="27">
        <v>525</v>
      </c>
      <c r="F1268" s="27">
        <v>0</v>
      </c>
      <c r="G1268" s="27">
        <v>0</v>
      </c>
      <c r="H1268" s="27">
        <v>525</v>
      </c>
      <c r="I1268" s="27">
        <f>+IFERROR(VLOOKUP(A1268,'[1]Pending Dispatch'!$N$2:$O$651,2,0),0)</f>
        <v>0</v>
      </c>
      <c r="J1268" s="27">
        <f t="shared" si="19"/>
        <v>525</v>
      </c>
      <c r="K1268" s="28">
        <v>0</v>
      </c>
      <c r="L1268" s="28">
        <v>0</v>
      </c>
      <c r="M1268" s="26">
        <v>0</v>
      </c>
      <c r="N1268" s="26"/>
    </row>
    <row r="1269" spans="1:14" x14ac:dyDescent="0.3">
      <c r="A1269" s="55" t="s">
        <v>2371</v>
      </c>
      <c r="B1269" s="56" t="s">
        <v>2372</v>
      </c>
      <c r="C1269" s="26" t="s">
        <v>1898</v>
      </c>
      <c r="D1269" s="27">
        <v>1</v>
      </c>
      <c r="E1269" s="27">
        <v>2</v>
      </c>
      <c r="F1269" s="27">
        <v>0</v>
      </c>
      <c r="G1269" s="27">
        <v>0</v>
      </c>
      <c r="H1269" s="27">
        <v>2</v>
      </c>
      <c r="I1269" s="27">
        <f>+IFERROR(VLOOKUP(A1269,'[1]Pending Dispatch'!$N$2:$O$651,2,0),0)</f>
        <v>0</v>
      </c>
      <c r="J1269" s="27">
        <f t="shared" si="19"/>
        <v>2</v>
      </c>
      <c r="K1269" s="28">
        <v>0</v>
      </c>
      <c r="L1269" s="28">
        <v>0</v>
      </c>
      <c r="M1269" s="26">
        <v>0</v>
      </c>
      <c r="N1269" s="26"/>
    </row>
    <row r="1270" spans="1:14" x14ac:dyDescent="0.3">
      <c r="A1270" s="55" t="s">
        <v>2373</v>
      </c>
      <c r="B1270" s="56" t="s">
        <v>2372</v>
      </c>
      <c r="C1270" s="26" t="s">
        <v>1898</v>
      </c>
      <c r="D1270" s="27">
        <v>1</v>
      </c>
      <c r="E1270" s="27">
        <v>2</v>
      </c>
      <c r="F1270" s="27">
        <v>0</v>
      </c>
      <c r="G1270" s="27">
        <v>0</v>
      </c>
      <c r="H1270" s="27">
        <v>2</v>
      </c>
      <c r="I1270" s="27">
        <f>+IFERROR(VLOOKUP(A1270,'[1]Pending Dispatch'!$N$2:$O$651,2,0),0)</f>
        <v>0</v>
      </c>
      <c r="J1270" s="27">
        <f t="shared" si="19"/>
        <v>2</v>
      </c>
      <c r="K1270" s="28">
        <v>0</v>
      </c>
      <c r="L1270" s="28">
        <v>0</v>
      </c>
      <c r="M1270" s="26">
        <v>0</v>
      </c>
      <c r="N1270" s="26"/>
    </row>
    <row r="1271" spans="1:14" x14ac:dyDescent="0.3">
      <c r="A1271" s="55" t="s">
        <v>2374</v>
      </c>
      <c r="B1271" s="56" t="s">
        <v>2375</v>
      </c>
      <c r="C1271" s="26" t="s">
        <v>1898</v>
      </c>
      <c r="D1271" s="27">
        <v>1</v>
      </c>
      <c r="E1271" s="27">
        <v>2</v>
      </c>
      <c r="F1271" s="27">
        <v>0</v>
      </c>
      <c r="G1271" s="27">
        <v>0</v>
      </c>
      <c r="H1271" s="27">
        <v>2</v>
      </c>
      <c r="I1271" s="27">
        <f>+IFERROR(VLOOKUP(A1271,'[1]Pending Dispatch'!$N$2:$O$651,2,0),0)</f>
        <v>0</v>
      </c>
      <c r="J1271" s="27">
        <f t="shared" si="19"/>
        <v>2</v>
      </c>
      <c r="K1271" s="28">
        <v>0</v>
      </c>
      <c r="L1271" s="28">
        <v>0</v>
      </c>
      <c r="M1271" s="26">
        <v>0</v>
      </c>
      <c r="N1271" s="26"/>
    </row>
    <row r="1272" spans="1:14" x14ac:dyDescent="0.3">
      <c r="A1272" s="55" t="s">
        <v>2376</v>
      </c>
      <c r="B1272" s="56" t="s">
        <v>2377</v>
      </c>
      <c r="C1272" s="26" t="s">
        <v>1898</v>
      </c>
      <c r="D1272" s="27">
        <v>1</v>
      </c>
      <c r="E1272" s="27">
        <v>1</v>
      </c>
      <c r="F1272" s="27">
        <v>0</v>
      </c>
      <c r="G1272" s="27">
        <v>0</v>
      </c>
      <c r="H1272" s="27">
        <v>1</v>
      </c>
      <c r="I1272" s="27">
        <f>+IFERROR(VLOOKUP(A1272,'[1]Pending Dispatch'!$N$2:$O$651,2,0),0)</f>
        <v>0</v>
      </c>
      <c r="J1272" s="27">
        <f t="shared" si="19"/>
        <v>1</v>
      </c>
      <c r="K1272" s="28">
        <v>0</v>
      </c>
      <c r="L1272" s="28">
        <v>0</v>
      </c>
      <c r="M1272" s="26">
        <v>0</v>
      </c>
      <c r="N1272" s="26"/>
    </row>
    <row r="1273" spans="1:14" x14ac:dyDescent="0.3">
      <c r="A1273" s="55" t="s">
        <v>2378</v>
      </c>
      <c r="B1273" s="56" t="s">
        <v>2379</v>
      </c>
      <c r="C1273" s="26" t="s">
        <v>1898</v>
      </c>
      <c r="D1273" s="27">
        <v>1</v>
      </c>
      <c r="E1273" s="27">
        <v>2</v>
      </c>
      <c r="F1273" s="27">
        <v>0</v>
      </c>
      <c r="G1273" s="27">
        <v>0</v>
      </c>
      <c r="H1273" s="27">
        <v>2</v>
      </c>
      <c r="I1273" s="27">
        <f>+IFERROR(VLOOKUP(A1273,'[1]Pending Dispatch'!$N$2:$O$651,2,0),0)</f>
        <v>0</v>
      </c>
      <c r="J1273" s="27">
        <f t="shared" si="19"/>
        <v>2</v>
      </c>
      <c r="K1273" s="28">
        <v>0</v>
      </c>
      <c r="L1273" s="28">
        <v>0</v>
      </c>
      <c r="M1273" s="26">
        <v>0</v>
      </c>
      <c r="N1273" s="26"/>
    </row>
    <row r="1274" spans="1:14" x14ac:dyDescent="0.3">
      <c r="A1274" s="55" t="s">
        <v>2380</v>
      </c>
      <c r="B1274" s="56" t="s">
        <v>2372</v>
      </c>
      <c r="C1274" s="26" t="s">
        <v>1898</v>
      </c>
      <c r="D1274" s="27">
        <v>1</v>
      </c>
      <c r="E1274" s="27">
        <v>5</v>
      </c>
      <c r="F1274" s="27">
        <v>0</v>
      </c>
      <c r="G1274" s="27">
        <v>0</v>
      </c>
      <c r="H1274" s="27">
        <v>5</v>
      </c>
      <c r="I1274" s="27">
        <f>+IFERROR(VLOOKUP(A1274,'[1]Pending Dispatch'!$N$2:$O$651,2,0),0)</f>
        <v>0</v>
      </c>
      <c r="J1274" s="27">
        <f t="shared" si="19"/>
        <v>5</v>
      </c>
      <c r="K1274" s="28">
        <v>0</v>
      </c>
      <c r="L1274" s="28">
        <v>0</v>
      </c>
      <c r="M1274" s="26">
        <v>0</v>
      </c>
      <c r="N1274" s="26"/>
    </row>
    <row r="1275" spans="1:14" x14ac:dyDescent="0.3">
      <c r="A1275" s="55" t="s">
        <v>2381</v>
      </c>
      <c r="B1275" s="56" t="s">
        <v>2379</v>
      </c>
      <c r="C1275" s="26" t="s">
        <v>1898</v>
      </c>
      <c r="D1275" s="27">
        <v>1</v>
      </c>
      <c r="E1275" s="27">
        <v>1</v>
      </c>
      <c r="F1275" s="27">
        <v>0</v>
      </c>
      <c r="G1275" s="27">
        <v>0</v>
      </c>
      <c r="H1275" s="27">
        <v>1</v>
      </c>
      <c r="I1275" s="27">
        <f>+IFERROR(VLOOKUP(A1275,'[1]Pending Dispatch'!$N$2:$O$651,2,0),0)</f>
        <v>0</v>
      </c>
      <c r="J1275" s="27">
        <f t="shared" si="19"/>
        <v>1</v>
      </c>
      <c r="K1275" s="28">
        <v>0</v>
      </c>
      <c r="L1275" s="28">
        <v>0</v>
      </c>
      <c r="M1275" s="26">
        <v>0</v>
      </c>
      <c r="N1275" s="26"/>
    </row>
    <row r="1276" spans="1:14" x14ac:dyDescent="0.3">
      <c r="A1276" s="55" t="s">
        <v>2382</v>
      </c>
      <c r="B1276" s="56" t="s">
        <v>2372</v>
      </c>
      <c r="C1276" s="26" t="s">
        <v>1898</v>
      </c>
      <c r="D1276" s="27">
        <v>1</v>
      </c>
      <c r="E1276" s="27">
        <v>2</v>
      </c>
      <c r="F1276" s="27">
        <v>0</v>
      </c>
      <c r="G1276" s="27">
        <v>0</v>
      </c>
      <c r="H1276" s="27">
        <v>2</v>
      </c>
      <c r="I1276" s="27">
        <f>+IFERROR(VLOOKUP(A1276,'[1]Pending Dispatch'!$N$2:$O$651,2,0),0)</f>
        <v>0</v>
      </c>
      <c r="J1276" s="27">
        <f t="shared" si="19"/>
        <v>2</v>
      </c>
      <c r="K1276" s="28">
        <v>0</v>
      </c>
      <c r="L1276" s="28">
        <v>0</v>
      </c>
      <c r="M1276" s="26">
        <v>0</v>
      </c>
      <c r="N1276" s="26"/>
    </row>
    <row r="1277" spans="1:14" x14ac:dyDescent="0.3">
      <c r="A1277" s="55" t="s">
        <v>2383</v>
      </c>
      <c r="B1277" s="56" t="s">
        <v>2372</v>
      </c>
      <c r="C1277" s="26" t="s">
        <v>1898</v>
      </c>
      <c r="D1277" s="27">
        <v>1</v>
      </c>
      <c r="E1277" s="27">
        <v>2</v>
      </c>
      <c r="F1277" s="27">
        <v>0</v>
      </c>
      <c r="G1277" s="27">
        <v>0</v>
      </c>
      <c r="H1277" s="27">
        <v>2</v>
      </c>
      <c r="I1277" s="27">
        <f>+IFERROR(VLOOKUP(A1277,'[1]Pending Dispatch'!$N$2:$O$651,2,0),0)</f>
        <v>0</v>
      </c>
      <c r="J1277" s="27">
        <f t="shared" si="19"/>
        <v>2</v>
      </c>
      <c r="K1277" s="28">
        <v>0</v>
      </c>
      <c r="L1277" s="28">
        <v>0</v>
      </c>
      <c r="M1277" s="26">
        <v>0</v>
      </c>
      <c r="N1277" s="26"/>
    </row>
    <row r="1278" spans="1:14" x14ac:dyDescent="0.3">
      <c r="A1278" s="55" t="s">
        <v>2384</v>
      </c>
      <c r="B1278" s="56" t="s">
        <v>2377</v>
      </c>
      <c r="C1278" s="26" t="s">
        <v>1898</v>
      </c>
      <c r="D1278" s="27">
        <v>1</v>
      </c>
      <c r="E1278" s="27">
        <v>1</v>
      </c>
      <c r="F1278" s="27">
        <v>0</v>
      </c>
      <c r="G1278" s="27">
        <v>0</v>
      </c>
      <c r="H1278" s="27">
        <v>1</v>
      </c>
      <c r="I1278" s="27">
        <f>+IFERROR(VLOOKUP(A1278,'[1]Pending Dispatch'!$N$2:$O$651,2,0),0)</f>
        <v>0</v>
      </c>
      <c r="J1278" s="27">
        <f t="shared" si="19"/>
        <v>1</v>
      </c>
      <c r="K1278" s="28">
        <v>0</v>
      </c>
      <c r="L1278" s="28">
        <v>0</v>
      </c>
      <c r="M1278" s="26">
        <v>0</v>
      </c>
      <c r="N1278" s="26"/>
    </row>
    <row r="1279" spans="1:14" x14ac:dyDescent="0.3">
      <c r="A1279" s="55" t="s">
        <v>2385</v>
      </c>
      <c r="B1279" s="56" t="s">
        <v>2386</v>
      </c>
      <c r="C1279" s="26" t="s">
        <v>1898</v>
      </c>
      <c r="D1279" s="27">
        <v>1</v>
      </c>
      <c r="E1279" s="27">
        <v>1</v>
      </c>
      <c r="F1279" s="27">
        <v>0</v>
      </c>
      <c r="G1279" s="27">
        <v>0</v>
      </c>
      <c r="H1279" s="27">
        <v>1</v>
      </c>
      <c r="I1279" s="27">
        <f>+IFERROR(VLOOKUP(A1279,'[1]Pending Dispatch'!$N$2:$O$651,2,0),0)</f>
        <v>0</v>
      </c>
      <c r="J1279" s="27">
        <f t="shared" si="19"/>
        <v>1</v>
      </c>
      <c r="K1279" s="28">
        <v>0</v>
      </c>
      <c r="L1279" s="28">
        <v>0</v>
      </c>
      <c r="M1279" s="26">
        <v>0</v>
      </c>
      <c r="N1279" s="26"/>
    </row>
    <row r="1280" spans="1:14" x14ac:dyDescent="0.3">
      <c r="A1280" s="55" t="s">
        <v>2387</v>
      </c>
      <c r="B1280" s="56" t="s">
        <v>2388</v>
      </c>
      <c r="C1280" s="26" t="s">
        <v>1898</v>
      </c>
      <c r="D1280" s="27">
        <v>1</v>
      </c>
      <c r="E1280" s="27">
        <v>1</v>
      </c>
      <c r="F1280" s="27">
        <v>0</v>
      </c>
      <c r="G1280" s="27">
        <v>0</v>
      </c>
      <c r="H1280" s="27">
        <v>1</v>
      </c>
      <c r="I1280" s="27">
        <f>+IFERROR(VLOOKUP(A1280,'[1]Pending Dispatch'!$N$2:$O$651,2,0),0)</f>
        <v>0</v>
      </c>
      <c r="J1280" s="27">
        <f t="shared" si="19"/>
        <v>1</v>
      </c>
      <c r="K1280" s="28">
        <v>0</v>
      </c>
      <c r="L1280" s="28">
        <v>0</v>
      </c>
      <c r="M1280" s="26">
        <v>0</v>
      </c>
      <c r="N1280" s="26"/>
    </row>
    <row r="1281" spans="1:14" ht="14.4" x14ac:dyDescent="0.3">
      <c r="A1281" s="44" t="s">
        <v>2389</v>
      </c>
      <c r="B1281" s="44" t="s">
        <v>2390</v>
      </c>
      <c r="C1281" s="38" t="s">
        <v>2070</v>
      </c>
      <c r="D1281" s="27">
        <v>1</v>
      </c>
      <c r="E1281" s="27">
        <v>0</v>
      </c>
      <c r="F1281" s="27">
        <v>639</v>
      </c>
      <c r="G1281" s="27">
        <v>491</v>
      </c>
      <c r="H1281" s="27">
        <v>148</v>
      </c>
      <c r="I1281" s="27">
        <f>+IFERROR(VLOOKUP(A1281,'[1]Pending Dispatch'!$N$2:$O$651,2,0),0)</f>
        <v>125</v>
      </c>
      <c r="J1281" s="27">
        <f t="shared" si="19"/>
        <v>23</v>
      </c>
      <c r="K1281" s="28">
        <v>0</v>
      </c>
      <c r="L1281" s="28">
        <v>0</v>
      </c>
      <c r="M1281" s="26">
        <v>0</v>
      </c>
      <c r="N1281" s="26"/>
    </row>
    <row r="1282" spans="1:14" ht="14.4" x14ac:dyDescent="0.3">
      <c r="A1282" s="44" t="s">
        <v>2391</v>
      </c>
      <c r="B1282" s="44" t="s">
        <v>2392</v>
      </c>
      <c r="C1282" s="38" t="s">
        <v>2070</v>
      </c>
      <c r="D1282" s="27">
        <v>1</v>
      </c>
      <c r="E1282" s="27">
        <v>75</v>
      </c>
      <c r="F1282" s="27">
        <v>129</v>
      </c>
      <c r="G1282" s="27">
        <v>156</v>
      </c>
      <c r="H1282" s="27">
        <v>48</v>
      </c>
      <c r="I1282" s="27">
        <f>+IFERROR(VLOOKUP(A1282,'[1]Pending Dispatch'!$N$2:$O$651,2,0),0)</f>
        <v>57</v>
      </c>
      <c r="J1282" s="27">
        <f t="shared" si="19"/>
        <v>-9</v>
      </c>
      <c r="K1282" s="28">
        <v>0</v>
      </c>
      <c r="L1282" s="28">
        <v>0</v>
      </c>
      <c r="M1282" s="26">
        <v>0</v>
      </c>
      <c r="N1282" s="26"/>
    </row>
    <row r="1283" spans="1:14" ht="14.4" x14ac:dyDescent="0.3">
      <c r="A1283" s="44" t="s">
        <v>2393</v>
      </c>
      <c r="B1283" s="44" t="s">
        <v>2394</v>
      </c>
      <c r="C1283" s="38" t="s">
        <v>2070</v>
      </c>
      <c r="D1283" s="27">
        <v>1</v>
      </c>
      <c r="E1283" s="27">
        <v>25</v>
      </c>
      <c r="F1283" s="27">
        <v>440</v>
      </c>
      <c r="G1283" s="27">
        <v>356</v>
      </c>
      <c r="H1283" s="27">
        <v>109</v>
      </c>
      <c r="I1283" s="27">
        <f>+IFERROR(VLOOKUP(A1283,'[1]Pending Dispatch'!$N$2:$O$651,2,0),0)</f>
        <v>134</v>
      </c>
      <c r="J1283" s="27">
        <f t="shared" si="19"/>
        <v>-25</v>
      </c>
      <c r="K1283" s="28">
        <v>0</v>
      </c>
      <c r="L1283" s="28">
        <v>0</v>
      </c>
      <c r="M1283" s="26">
        <v>0</v>
      </c>
      <c r="N1283" s="26"/>
    </row>
    <row r="1284" spans="1:14" x14ac:dyDescent="0.3">
      <c r="A1284" s="57" t="s">
        <v>2395</v>
      </c>
      <c r="B1284" s="26" t="s">
        <v>2396</v>
      </c>
      <c r="C1284" s="26" t="s">
        <v>87</v>
      </c>
      <c r="D1284" s="27">
        <v>150</v>
      </c>
      <c r="E1284" s="27">
        <v>0</v>
      </c>
      <c r="F1284" s="27">
        <v>1350</v>
      </c>
      <c r="G1284" s="27">
        <v>1050</v>
      </c>
      <c r="H1284" s="27">
        <v>300</v>
      </c>
      <c r="I1284" s="27">
        <f>+IFERROR(VLOOKUP(A1284,'[1]Pending Dispatch'!$N$2:$O$651,2,0),0)</f>
        <v>0</v>
      </c>
      <c r="J1284" s="27">
        <f t="shared" si="19"/>
        <v>300</v>
      </c>
      <c r="K1284" s="28">
        <v>0</v>
      </c>
      <c r="L1284" s="28">
        <v>0</v>
      </c>
      <c r="M1284" s="26">
        <v>0</v>
      </c>
      <c r="N1284" s="26"/>
    </row>
    <row r="1285" spans="1:14" ht="14.4" x14ac:dyDescent="0.3">
      <c r="A1285" s="55" t="s">
        <v>2397</v>
      </c>
      <c r="B1285" s="44" t="s">
        <v>2390</v>
      </c>
      <c r="C1285" s="26" t="s">
        <v>1898</v>
      </c>
      <c r="D1285" s="27">
        <v>1</v>
      </c>
      <c r="E1285" s="27">
        <v>80</v>
      </c>
      <c r="F1285" s="27">
        <v>6</v>
      </c>
      <c r="G1285" s="27">
        <v>23</v>
      </c>
      <c r="H1285" s="27">
        <v>63</v>
      </c>
      <c r="I1285" s="27">
        <f>+IFERROR(VLOOKUP(A1285,'[1]Pending Dispatch'!$N$2:$O$651,2,0),0)</f>
        <v>0</v>
      </c>
      <c r="J1285" s="27">
        <f t="shared" si="19"/>
        <v>63</v>
      </c>
      <c r="K1285" s="28">
        <v>0</v>
      </c>
      <c r="L1285" s="28">
        <v>0</v>
      </c>
      <c r="M1285" s="26">
        <v>0</v>
      </c>
      <c r="N1285" s="26"/>
    </row>
    <row r="1286" spans="1:14" ht="14.4" x14ac:dyDescent="0.3">
      <c r="A1286" s="55" t="s">
        <v>2398</v>
      </c>
      <c r="B1286" s="44" t="s">
        <v>2392</v>
      </c>
      <c r="C1286" s="26" t="s">
        <v>1898</v>
      </c>
      <c r="D1286" s="27">
        <v>1</v>
      </c>
      <c r="E1286" s="27">
        <v>23</v>
      </c>
      <c r="F1286" s="27">
        <v>2</v>
      </c>
      <c r="G1286" s="27">
        <v>8</v>
      </c>
      <c r="H1286" s="27">
        <v>17</v>
      </c>
      <c r="I1286" s="27">
        <f>+IFERROR(VLOOKUP(A1286,'[1]Pending Dispatch'!$N$2:$O$651,2,0),0)</f>
        <v>0</v>
      </c>
      <c r="J1286" s="27">
        <f t="shared" ref="J1286:J1318" si="20">+H1286-I1286</f>
        <v>17</v>
      </c>
      <c r="K1286" s="28">
        <v>0</v>
      </c>
      <c r="L1286" s="28">
        <v>0</v>
      </c>
      <c r="M1286" s="26">
        <v>0</v>
      </c>
      <c r="N1286" s="26"/>
    </row>
    <row r="1287" spans="1:14" ht="14.4" x14ac:dyDescent="0.3">
      <c r="A1287" s="55" t="s">
        <v>2399</v>
      </c>
      <c r="B1287" s="44" t="s">
        <v>2394</v>
      </c>
      <c r="C1287" s="26" t="s">
        <v>1898</v>
      </c>
      <c r="D1287" s="27">
        <v>1</v>
      </c>
      <c r="E1287" s="27">
        <v>19</v>
      </c>
      <c r="F1287" s="27">
        <v>8</v>
      </c>
      <c r="G1287" s="27">
        <v>16</v>
      </c>
      <c r="H1287" s="27">
        <v>11</v>
      </c>
      <c r="I1287" s="27">
        <f>+IFERROR(VLOOKUP(A1287,'[1]Pending Dispatch'!$N$2:$O$651,2,0),0)</f>
        <v>0</v>
      </c>
      <c r="J1287" s="27">
        <f t="shared" si="20"/>
        <v>11</v>
      </c>
      <c r="K1287" s="28">
        <v>0</v>
      </c>
      <c r="L1287" s="28">
        <v>0</v>
      </c>
      <c r="M1287" s="26">
        <v>0</v>
      </c>
      <c r="N1287" s="26"/>
    </row>
    <row r="1288" spans="1:14" x14ac:dyDescent="0.3">
      <c r="A1288" s="57" t="s">
        <v>2400</v>
      </c>
      <c r="B1288" s="26" t="s">
        <v>2390</v>
      </c>
      <c r="C1288" s="26" t="s">
        <v>2070</v>
      </c>
      <c r="D1288" s="27">
        <v>1</v>
      </c>
      <c r="E1288" s="27">
        <v>8</v>
      </c>
      <c r="F1288" s="27">
        <v>39</v>
      </c>
      <c r="G1288" s="27">
        <v>24</v>
      </c>
      <c r="H1288" s="27">
        <v>23</v>
      </c>
      <c r="I1288" s="27">
        <f>+IFERROR(VLOOKUP(A1288,'[1]Pending Dispatch'!$N$2:$O$651,2,0),0)</f>
        <v>1</v>
      </c>
      <c r="J1288" s="27">
        <f t="shared" si="20"/>
        <v>22</v>
      </c>
      <c r="K1288" s="28">
        <v>0</v>
      </c>
      <c r="L1288" s="28">
        <v>0</v>
      </c>
      <c r="M1288" s="26">
        <v>0</v>
      </c>
      <c r="N1288" s="26"/>
    </row>
    <row r="1289" spans="1:14" x14ac:dyDescent="0.3">
      <c r="A1289" s="57" t="s">
        <v>2401</v>
      </c>
      <c r="B1289" s="26" t="s">
        <v>2392</v>
      </c>
      <c r="C1289" s="26" t="s">
        <v>2070</v>
      </c>
      <c r="D1289" s="27">
        <v>1</v>
      </c>
      <c r="E1289" s="27">
        <v>0</v>
      </c>
      <c r="F1289" s="27">
        <v>11</v>
      </c>
      <c r="G1289" s="27">
        <v>8</v>
      </c>
      <c r="H1289" s="27">
        <v>3</v>
      </c>
      <c r="I1289" s="27">
        <f>+IFERROR(VLOOKUP(A1289,'[1]Pending Dispatch'!$N$2:$O$651,2,0),0)</f>
        <v>0</v>
      </c>
      <c r="J1289" s="27">
        <f t="shared" si="20"/>
        <v>3</v>
      </c>
      <c r="K1289" s="28">
        <v>0</v>
      </c>
      <c r="L1289" s="28">
        <v>0</v>
      </c>
      <c r="M1289" s="26">
        <v>0</v>
      </c>
      <c r="N1289" s="26"/>
    </row>
    <row r="1290" spans="1:14" x14ac:dyDescent="0.3">
      <c r="A1290" s="57" t="s">
        <v>2402</v>
      </c>
      <c r="B1290" s="26" t="s">
        <v>2394</v>
      </c>
      <c r="C1290" s="26" t="s">
        <v>2070</v>
      </c>
      <c r="D1290" s="27">
        <v>1</v>
      </c>
      <c r="E1290" s="27">
        <v>0</v>
      </c>
      <c r="F1290" s="27">
        <v>17</v>
      </c>
      <c r="G1290" s="27">
        <v>17</v>
      </c>
      <c r="H1290" s="27">
        <v>0</v>
      </c>
      <c r="I1290" s="27">
        <f>+IFERROR(VLOOKUP(A1290,'[1]Pending Dispatch'!$N$2:$O$651,2,0),0)</f>
        <v>0</v>
      </c>
      <c r="J1290" s="27">
        <f t="shared" si="20"/>
        <v>0</v>
      </c>
      <c r="K1290" s="28">
        <v>0</v>
      </c>
      <c r="L1290" s="28">
        <v>0</v>
      </c>
      <c r="M1290" s="26">
        <v>0</v>
      </c>
      <c r="N1290" s="26"/>
    </row>
    <row r="1291" spans="1:14" ht="14.4" x14ac:dyDescent="0.3">
      <c r="A1291" s="38" t="s">
        <v>2403</v>
      </c>
      <c r="B1291" s="44" t="s">
        <v>2404</v>
      </c>
      <c r="C1291" s="26" t="s">
        <v>579</v>
      </c>
      <c r="D1291" s="27">
        <v>1</v>
      </c>
      <c r="E1291" s="27">
        <v>0</v>
      </c>
      <c r="F1291" s="27">
        <v>0</v>
      </c>
      <c r="G1291" s="27">
        <v>0</v>
      </c>
      <c r="H1291" s="27">
        <v>0</v>
      </c>
      <c r="I1291" s="27">
        <f>+IFERROR(VLOOKUP(A1291,'[1]Pending Dispatch'!$N$2:$O$651,2,0),0)</f>
        <v>0</v>
      </c>
      <c r="J1291" s="27">
        <f t="shared" si="20"/>
        <v>0</v>
      </c>
      <c r="K1291" s="28">
        <v>0</v>
      </c>
      <c r="L1291" s="28">
        <v>0</v>
      </c>
      <c r="M1291" s="26">
        <v>0</v>
      </c>
      <c r="N1291" s="26"/>
    </row>
    <row r="1292" spans="1:14" ht="14.4" x14ac:dyDescent="0.3">
      <c r="A1292" s="38" t="s">
        <v>2405</v>
      </c>
      <c r="B1292" s="25" t="s">
        <v>2406</v>
      </c>
      <c r="C1292" s="26" t="s">
        <v>87</v>
      </c>
      <c r="D1292" s="27">
        <v>1</v>
      </c>
      <c r="E1292" s="27">
        <v>0</v>
      </c>
      <c r="F1292" s="27">
        <v>0</v>
      </c>
      <c r="G1292" s="27">
        <v>0</v>
      </c>
      <c r="H1292" s="27">
        <v>0</v>
      </c>
      <c r="I1292" s="27">
        <f>+IFERROR(VLOOKUP(A1292,'[1]Pending Dispatch'!$N$2:$O$651,2,0),0)</f>
        <v>0</v>
      </c>
      <c r="J1292" s="27">
        <f t="shared" si="20"/>
        <v>0</v>
      </c>
      <c r="K1292" s="28">
        <v>0</v>
      </c>
      <c r="L1292" s="28">
        <v>0</v>
      </c>
      <c r="M1292" s="26">
        <v>0</v>
      </c>
      <c r="N1292" s="26"/>
    </row>
    <row r="1293" spans="1:14" ht="14.4" x14ac:dyDescent="0.3">
      <c r="A1293" s="55" t="s">
        <v>2407</v>
      </c>
      <c r="B1293" s="44" t="s">
        <v>2390</v>
      </c>
      <c r="C1293" s="38" t="s">
        <v>2070</v>
      </c>
      <c r="D1293" s="27">
        <v>1</v>
      </c>
      <c r="E1293" s="27">
        <v>10</v>
      </c>
      <c r="F1293" s="27">
        <v>16</v>
      </c>
      <c r="G1293" s="27">
        <v>7</v>
      </c>
      <c r="H1293" s="27">
        <v>19</v>
      </c>
      <c r="I1293" s="27">
        <f>+IFERROR(VLOOKUP(A1293,'[1]Pending Dispatch'!$N$2:$O$651,2,0),0)</f>
        <v>10</v>
      </c>
      <c r="J1293" s="27">
        <f t="shared" si="20"/>
        <v>9</v>
      </c>
      <c r="K1293" s="28">
        <v>0</v>
      </c>
      <c r="L1293" s="28">
        <v>0</v>
      </c>
      <c r="M1293" s="26">
        <v>0</v>
      </c>
      <c r="N1293" s="26"/>
    </row>
    <row r="1294" spans="1:14" ht="14.4" x14ac:dyDescent="0.3">
      <c r="A1294" s="55" t="s">
        <v>2408</v>
      </c>
      <c r="B1294" s="44" t="s">
        <v>2392</v>
      </c>
      <c r="C1294" s="38" t="s">
        <v>2070</v>
      </c>
      <c r="D1294" s="27">
        <v>1</v>
      </c>
      <c r="E1294" s="27">
        <v>1</v>
      </c>
      <c r="F1294" s="27">
        <v>1</v>
      </c>
      <c r="G1294" s="27">
        <v>2</v>
      </c>
      <c r="H1294" s="27">
        <v>0</v>
      </c>
      <c r="I1294" s="27">
        <f>+IFERROR(VLOOKUP(A1294,'[1]Pending Dispatch'!$N$2:$O$651,2,0),0)</f>
        <v>4</v>
      </c>
      <c r="J1294" s="27">
        <f t="shared" si="20"/>
        <v>-4</v>
      </c>
      <c r="K1294" s="28">
        <v>0</v>
      </c>
      <c r="L1294" s="28">
        <v>0</v>
      </c>
      <c r="M1294" s="26">
        <v>0</v>
      </c>
      <c r="N1294" s="26"/>
    </row>
    <row r="1295" spans="1:14" ht="14.4" x14ac:dyDescent="0.3">
      <c r="A1295" s="55" t="s">
        <v>2409</v>
      </c>
      <c r="B1295" s="44" t="s">
        <v>2394</v>
      </c>
      <c r="C1295" s="38" t="s">
        <v>2070</v>
      </c>
      <c r="D1295" s="27">
        <v>1</v>
      </c>
      <c r="E1295" s="27">
        <v>2</v>
      </c>
      <c r="F1295" s="27">
        <v>1</v>
      </c>
      <c r="G1295" s="27">
        <v>2</v>
      </c>
      <c r="H1295" s="27">
        <v>1</v>
      </c>
      <c r="I1295" s="27">
        <f>+IFERROR(VLOOKUP(A1295,'[1]Pending Dispatch'!$N$2:$O$651,2,0),0)</f>
        <v>0</v>
      </c>
      <c r="J1295" s="27">
        <f t="shared" si="20"/>
        <v>1</v>
      </c>
      <c r="K1295" s="28">
        <v>0</v>
      </c>
      <c r="L1295" s="28">
        <v>0</v>
      </c>
      <c r="M1295" s="26">
        <v>0</v>
      </c>
      <c r="N1295" s="26"/>
    </row>
    <row r="1296" spans="1:14" ht="14.4" x14ac:dyDescent="0.3">
      <c r="A1296" s="55" t="s">
        <v>2410</v>
      </c>
      <c r="B1296" s="44" t="s">
        <v>2390</v>
      </c>
      <c r="C1296" s="38" t="s">
        <v>2070</v>
      </c>
      <c r="D1296" s="27">
        <v>1</v>
      </c>
      <c r="E1296" s="27">
        <v>16</v>
      </c>
      <c r="F1296" s="27">
        <v>0</v>
      </c>
      <c r="G1296" s="27">
        <v>0</v>
      </c>
      <c r="H1296" s="27">
        <v>16</v>
      </c>
      <c r="I1296" s="27">
        <f>+IFERROR(VLOOKUP(A1296,'[1]Pending Dispatch'!$N$2:$O$651,2,0),0)</f>
        <v>0</v>
      </c>
      <c r="J1296" s="27">
        <f t="shared" si="20"/>
        <v>16</v>
      </c>
      <c r="K1296" s="28">
        <v>0</v>
      </c>
      <c r="L1296" s="28">
        <v>0</v>
      </c>
      <c r="M1296" s="26">
        <v>0</v>
      </c>
      <c r="N1296" s="26"/>
    </row>
    <row r="1297" spans="1:14" ht="14.4" x14ac:dyDescent="0.3">
      <c r="A1297" s="55" t="s">
        <v>2411</v>
      </c>
      <c r="B1297" s="44" t="s">
        <v>2392</v>
      </c>
      <c r="C1297" s="38" t="s">
        <v>2070</v>
      </c>
      <c r="D1297" s="27">
        <v>1</v>
      </c>
      <c r="E1297" s="27">
        <v>8</v>
      </c>
      <c r="F1297" s="27">
        <v>0</v>
      </c>
      <c r="G1297" s="27">
        <v>0</v>
      </c>
      <c r="H1297" s="27">
        <v>8</v>
      </c>
      <c r="I1297" s="27">
        <f>+IFERROR(VLOOKUP(A1297,'[1]Pending Dispatch'!$N$2:$O$651,2,0),0)</f>
        <v>0</v>
      </c>
      <c r="J1297" s="27">
        <f t="shared" si="20"/>
        <v>8</v>
      </c>
      <c r="K1297" s="28">
        <v>0</v>
      </c>
      <c r="L1297" s="28">
        <v>0</v>
      </c>
      <c r="M1297" s="26">
        <v>0</v>
      </c>
      <c r="N1297" s="26"/>
    </row>
    <row r="1298" spans="1:14" ht="14.4" x14ac:dyDescent="0.3">
      <c r="A1298" s="58" t="s">
        <v>2412</v>
      </c>
      <c r="B1298" s="59" t="s">
        <v>2394</v>
      </c>
      <c r="C1298" s="38" t="s">
        <v>2070</v>
      </c>
      <c r="D1298" s="27">
        <v>1</v>
      </c>
      <c r="E1298" s="27">
        <v>4</v>
      </c>
      <c r="F1298" s="27">
        <v>0</v>
      </c>
      <c r="G1298" s="27">
        <v>0</v>
      </c>
      <c r="H1298" s="27">
        <v>4</v>
      </c>
      <c r="I1298" s="27">
        <f>+IFERROR(VLOOKUP(A1298,'[1]Pending Dispatch'!$N$2:$O$651,2,0),0)</f>
        <v>0</v>
      </c>
      <c r="J1298" s="27">
        <f t="shared" si="20"/>
        <v>4</v>
      </c>
      <c r="K1298" s="28">
        <v>0</v>
      </c>
      <c r="L1298" s="28">
        <v>0</v>
      </c>
      <c r="M1298" s="26">
        <v>0</v>
      </c>
      <c r="N1298" s="26"/>
    </row>
    <row r="1299" spans="1:14" ht="14.4" x14ac:dyDescent="0.3">
      <c r="A1299" s="55" t="s">
        <v>2413</v>
      </c>
      <c r="B1299" s="44" t="s">
        <v>2390</v>
      </c>
      <c r="C1299" s="38" t="s">
        <v>2070</v>
      </c>
      <c r="D1299" s="27">
        <v>1</v>
      </c>
      <c r="E1299" s="27">
        <v>0</v>
      </c>
      <c r="F1299" s="27">
        <v>0</v>
      </c>
      <c r="G1299" s="27">
        <v>0</v>
      </c>
      <c r="H1299" s="27">
        <v>0</v>
      </c>
      <c r="I1299" s="27">
        <f>+IFERROR(VLOOKUP(A1299,'[1]Pending Dispatch'!$N$2:$O$651,2,0),0)</f>
        <v>0</v>
      </c>
      <c r="J1299" s="27">
        <f t="shared" si="20"/>
        <v>0</v>
      </c>
      <c r="K1299" s="28">
        <v>0</v>
      </c>
      <c r="L1299" s="28">
        <v>0</v>
      </c>
      <c r="M1299" s="26">
        <v>0</v>
      </c>
      <c r="N1299" s="26"/>
    </row>
    <row r="1300" spans="1:14" ht="14.4" x14ac:dyDescent="0.3">
      <c r="A1300" s="55" t="s">
        <v>2414</v>
      </c>
      <c r="B1300" s="44" t="s">
        <v>2392</v>
      </c>
      <c r="C1300" s="38" t="s">
        <v>2070</v>
      </c>
      <c r="D1300" s="27">
        <v>1</v>
      </c>
      <c r="E1300" s="27">
        <v>1</v>
      </c>
      <c r="F1300" s="27">
        <v>0</v>
      </c>
      <c r="G1300" s="27">
        <v>0</v>
      </c>
      <c r="H1300" s="27">
        <v>1</v>
      </c>
      <c r="I1300" s="27">
        <f>+IFERROR(VLOOKUP(A1300,'[1]Pending Dispatch'!$N$2:$O$651,2,0),0)</f>
        <v>0</v>
      </c>
      <c r="J1300" s="27">
        <f t="shared" si="20"/>
        <v>1</v>
      </c>
      <c r="K1300" s="28">
        <v>0</v>
      </c>
      <c r="L1300" s="28">
        <v>0</v>
      </c>
      <c r="M1300" s="26">
        <v>0</v>
      </c>
      <c r="N1300" s="26"/>
    </row>
    <row r="1301" spans="1:14" ht="14.4" x14ac:dyDescent="0.3">
      <c r="A1301" s="58" t="s">
        <v>2415</v>
      </c>
      <c r="B1301" s="59" t="s">
        <v>2394</v>
      </c>
      <c r="C1301" s="60" t="s">
        <v>2070</v>
      </c>
      <c r="D1301" s="27">
        <v>1</v>
      </c>
      <c r="E1301" s="27">
        <v>0</v>
      </c>
      <c r="F1301" s="27">
        <v>0</v>
      </c>
      <c r="G1301" s="27">
        <v>0</v>
      </c>
      <c r="H1301" s="27">
        <v>0</v>
      </c>
      <c r="I1301" s="27">
        <f>+IFERROR(VLOOKUP(A1301,'[1]Pending Dispatch'!$N$2:$O$651,2,0),0)</f>
        <v>0</v>
      </c>
      <c r="J1301" s="27">
        <f t="shared" si="20"/>
        <v>0</v>
      </c>
      <c r="K1301" s="28">
        <v>0</v>
      </c>
      <c r="L1301" s="28">
        <v>0</v>
      </c>
      <c r="M1301" s="26">
        <v>0</v>
      </c>
      <c r="N1301" s="26"/>
    </row>
    <row r="1302" spans="1:14" ht="14.4" x14ac:dyDescent="0.3">
      <c r="A1302" s="55" t="s">
        <v>2416</v>
      </c>
      <c r="B1302" s="44" t="s">
        <v>2390</v>
      </c>
      <c r="C1302" s="38" t="s">
        <v>2070</v>
      </c>
      <c r="D1302" s="27">
        <v>1</v>
      </c>
      <c r="E1302" s="27">
        <v>0</v>
      </c>
      <c r="F1302" s="27">
        <v>0</v>
      </c>
      <c r="G1302" s="27">
        <v>0</v>
      </c>
      <c r="H1302" s="27">
        <v>0</v>
      </c>
      <c r="I1302" s="27">
        <f>+IFERROR(VLOOKUP(A1302,'[1]Pending Dispatch'!$N$2:$O$651,2,0),0)</f>
        <v>0</v>
      </c>
      <c r="J1302" s="27">
        <f t="shared" si="20"/>
        <v>0</v>
      </c>
      <c r="K1302" s="28">
        <v>0</v>
      </c>
      <c r="L1302" s="28">
        <v>0</v>
      </c>
      <c r="M1302" s="26">
        <v>0</v>
      </c>
      <c r="N1302" s="26"/>
    </row>
    <row r="1303" spans="1:14" ht="14.4" x14ac:dyDescent="0.3">
      <c r="A1303" s="55" t="s">
        <v>2417</v>
      </c>
      <c r="B1303" s="44" t="s">
        <v>2392</v>
      </c>
      <c r="C1303" s="38" t="s">
        <v>2070</v>
      </c>
      <c r="D1303" s="27">
        <v>1</v>
      </c>
      <c r="E1303" s="27">
        <v>0</v>
      </c>
      <c r="F1303" s="27">
        <v>0</v>
      </c>
      <c r="G1303" s="27">
        <v>0</v>
      </c>
      <c r="H1303" s="27">
        <v>0</v>
      </c>
      <c r="I1303" s="27">
        <f>+IFERROR(VLOOKUP(A1303,'[1]Pending Dispatch'!$N$2:$O$651,2,0),0)</f>
        <v>0</v>
      </c>
      <c r="J1303" s="27">
        <f t="shared" si="20"/>
        <v>0</v>
      </c>
      <c r="K1303" s="28">
        <v>0</v>
      </c>
      <c r="L1303" s="28">
        <v>0</v>
      </c>
      <c r="M1303" s="26">
        <v>0</v>
      </c>
      <c r="N1303" s="26"/>
    </row>
    <row r="1304" spans="1:14" ht="14.4" x14ac:dyDescent="0.3">
      <c r="A1304" s="58" t="s">
        <v>2418</v>
      </c>
      <c r="B1304" s="59" t="s">
        <v>2394</v>
      </c>
      <c r="C1304" s="60" t="s">
        <v>2070</v>
      </c>
      <c r="D1304" s="27">
        <v>1</v>
      </c>
      <c r="E1304" s="27">
        <v>1</v>
      </c>
      <c r="F1304" s="27">
        <v>0</v>
      </c>
      <c r="G1304" s="27">
        <v>0</v>
      </c>
      <c r="H1304" s="27">
        <v>1</v>
      </c>
      <c r="I1304" s="27">
        <f>+IFERROR(VLOOKUP(A1304,'[1]Pending Dispatch'!$N$2:$O$651,2,0),0)</f>
        <v>0</v>
      </c>
      <c r="J1304" s="27">
        <f t="shared" si="20"/>
        <v>1</v>
      </c>
      <c r="K1304" s="28">
        <v>0</v>
      </c>
      <c r="L1304" s="28">
        <v>0</v>
      </c>
      <c r="M1304" s="26">
        <v>0</v>
      </c>
      <c r="N1304" s="26"/>
    </row>
    <row r="1305" spans="1:14" ht="14.4" x14ac:dyDescent="0.3">
      <c r="A1305" s="38" t="s">
        <v>2419</v>
      </c>
      <c r="B1305" s="25" t="s">
        <v>2420</v>
      </c>
      <c r="C1305" s="38" t="s">
        <v>2354</v>
      </c>
      <c r="D1305" s="27">
        <v>100</v>
      </c>
      <c r="E1305" s="27">
        <v>515</v>
      </c>
      <c r="F1305" s="27">
        <v>0</v>
      </c>
      <c r="G1305" s="27">
        <v>0</v>
      </c>
      <c r="H1305" s="27">
        <v>515</v>
      </c>
      <c r="I1305" s="27">
        <f>+IFERROR(VLOOKUP(A1305,'[1]Pending Dispatch'!$N$2:$O$651,2,0),0)</f>
        <v>0</v>
      </c>
      <c r="J1305" s="27">
        <f t="shared" si="20"/>
        <v>515</v>
      </c>
      <c r="K1305" s="28">
        <v>0</v>
      </c>
      <c r="L1305" s="28">
        <v>0</v>
      </c>
      <c r="M1305" s="26">
        <v>0</v>
      </c>
      <c r="N1305" s="26"/>
    </row>
    <row r="1306" spans="1:14" ht="14.4" x14ac:dyDescent="0.3">
      <c r="A1306" s="38" t="s">
        <v>2421</v>
      </c>
      <c r="B1306" s="25" t="s">
        <v>2422</v>
      </c>
      <c r="C1306" s="38" t="s">
        <v>2354</v>
      </c>
      <c r="D1306" s="27">
        <v>100</v>
      </c>
      <c r="E1306" s="27">
        <v>538</v>
      </c>
      <c r="F1306" s="27">
        <v>0</v>
      </c>
      <c r="G1306" s="27">
        <v>0</v>
      </c>
      <c r="H1306" s="27">
        <v>538</v>
      </c>
      <c r="I1306" s="27">
        <f>+IFERROR(VLOOKUP(A1306,'[1]Pending Dispatch'!$N$2:$O$651,2,0),0)</f>
        <v>0</v>
      </c>
      <c r="J1306" s="27">
        <f t="shared" si="20"/>
        <v>538</v>
      </c>
      <c r="K1306" s="28">
        <v>0</v>
      </c>
      <c r="L1306" s="28">
        <v>0</v>
      </c>
      <c r="M1306" s="26">
        <v>0</v>
      </c>
      <c r="N1306" s="26"/>
    </row>
    <row r="1307" spans="1:14" ht="14.4" x14ac:dyDescent="0.3">
      <c r="A1307" s="38" t="s">
        <v>2423</v>
      </c>
      <c r="B1307" s="25" t="s">
        <v>2424</v>
      </c>
      <c r="C1307" s="38" t="s">
        <v>2354</v>
      </c>
      <c r="D1307" s="27">
        <v>100</v>
      </c>
      <c r="E1307" s="27">
        <v>409</v>
      </c>
      <c r="F1307" s="27">
        <v>0</v>
      </c>
      <c r="G1307" s="27">
        <v>0</v>
      </c>
      <c r="H1307" s="27">
        <v>409</v>
      </c>
      <c r="I1307" s="27">
        <f>+IFERROR(VLOOKUP(A1307,'[1]Pending Dispatch'!$N$2:$O$651,2,0),0)</f>
        <v>0</v>
      </c>
      <c r="J1307" s="27">
        <f t="shared" si="20"/>
        <v>409</v>
      </c>
      <c r="K1307" s="28">
        <v>0</v>
      </c>
      <c r="L1307" s="28">
        <v>0</v>
      </c>
      <c r="M1307" s="26">
        <v>0</v>
      </c>
      <c r="N1307" s="26"/>
    </row>
    <row r="1308" spans="1:14" ht="14.4" x14ac:dyDescent="0.3">
      <c r="A1308" s="38" t="s">
        <v>2425</v>
      </c>
      <c r="B1308" s="25" t="s">
        <v>2426</v>
      </c>
      <c r="C1308" s="38" t="s">
        <v>2354</v>
      </c>
      <c r="D1308" s="27">
        <v>100</v>
      </c>
      <c r="E1308" s="27">
        <v>435</v>
      </c>
      <c r="F1308" s="27">
        <v>0</v>
      </c>
      <c r="G1308" s="27">
        <v>0</v>
      </c>
      <c r="H1308" s="27">
        <v>435</v>
      </c>
      <c r="I1308" s="27">
        <f>+IFERROR(VLOOKUP(A1308,'[1]Pending Dispatch'!$N$2:$O$651,2,0),0)</f>
        <v>0</v>
      </c>
      <c r="J1308" s="27">
        <f t="shared" si="20"/>
        <v>435</v>
      </c>
      <c r="K1308" s="28">
        <v>0</v>
      </c>
      <c r="L1308" s="28">
        <v>0</v>
      </c>
      <c r="M1308" s="26">
        <v>0</v>
      </c>
      <c r="N1308" s="26"/>
    </row>
    <row r="1309" spans="1:14" ht="14.4" x14ac:dyDescent="0.3">
      <c r="A1309" s="38" t="s">
        <v>2427</v>
      </c>
      <c r="B1309" s="44" t="s">
        <v>2428</v>
      </c>
      <c r="C1309" s="38" t="s">
        <v>2354</v>
      </c>
      <c r="D1309" s="27"/>
      <c r="E1309" s="27">
        <v>0</v>
      </c>
      <c r="F1309" s="27">
        <v>0</v>
      </c>
      <c r="G1309" s="27">
        <v>0</v>
      </c>
      <c r="H1309" s="27">
        <v>0</v>
      </c>
      <c r="I1309" s="27">
        <f>+IFERROR(VLOOKUP(A1309,'[1]Pending Dispatch'!$N$2:$O$651,2,0),0)</f>
        <v>0</v>
      </c>
      <c r="J1309" s="27">
        <f t="shared" si="20"/>
        <v>0</v>
      </c>
      <c r="K1309" s="28">
        <v>0</v>
      </c>
      <c r="L1309" s="28">
        <v>0</v>
      </c>
      <c r="M1309" s="26">
        <v>0</v>
      </c>
      <c r="N1309" s="26"/>
    </row>
    <row r="1310" spans="1:14" ht="14.4" x14ac:dyDescent="0.3">
      <c r="A1310" s="38" t="s">
        <v>2429</v>
      </c>
      <c r="B1310" s="61" t="s">
        <v>2430</v>
      </c>
      <c r="C1310" s="38" t="s">
        <v>2070</v>
      </c>
      <c r="D1310" s="27">
        <v>1</v>
      </c>
      <c r="E1310" s="27">
        <v>0</v>
      </c>
      <c r="F1310" s="27">
        <v>12</v>
      </c>
      <c r="G1310" s="27">
        <v>10</v>
      </c>
      <c r="H1310" s="27">
        <v>2</v>
      </c>
      <c r="I1310" s="27">
        <f>+IFERROR(VLOOKUP(A1310,'[1]Pending Dispatch'!$N$2:$O$651,2,0),0)</f>
        <v>0</v>
      </c>
      <c r="J1310" s="27">
        <f t="shared" si="20"/>
        <v>2</v>
      </c>
      <c r="K1310" s="28">
        <v>0</v>
      </c>
      <c r="L1310" s="28">
        <v>0</v>
      </c>
      <c r="M1310" s="26">
        <v>0</v>
      </c>
      <c r="N1310" s="26"/>
    </row>
    <row r="1311" spans="1:14" x14ac:dyDescent="0.3">
      <c r="A1311" s="57" t="s">
        <v>2431</v>
      </c>
      <c r="B1311" s="26" t="s">
        <v>2432</v>
      </c>
      <c r="C1311" s="26" t="s">
        <v>2354</v>
      </c>
      <c r="D1311" s="27">
        <v>150</v>
      </c>
      <c r="E1311" s="27">
        <v>0</v>
      </c>
      <c r="F1311" s="27">
        <v>5450</v>
      </c>
      <c r="G1311" s="27">
        <v>0</v>
      </c>
      <c r="H1311" s="27">
        <v>5450</v>
      </c>
      <c r="I1311" s="27">
        <f>+IFERROR(VLOOKUP(A1311,'[1]Pending Dispatch'!$N$2:$O$651,2,0),0)</f>
        <v>0</v>
      </c>
      <c r="J1311" s="27">
        <f t="shared" si="20"/>
        <v>5450</v>
      </c>
      <c r="K1311" s="28">
        <v>0</v>
      </c>
      <c r="L1311" s="28">
        <v>0</v>
      </c>
      <c r="M1311" s="26">
        <v>0</v>
      </c>
      <c r="N1311" s="26"/>
    </row>
    <row r="1312" spans="1:14" x14ac:dyDescent="0.3">
      <c r="A1312" s="57" t="s">
        <v>2433</v>
      </c>
      <c r="B1312" s="26" t="s">
        <v>2434</v>
      </c>
      <c r="C1312" s="26" t="s">
        <v>2354</v>
      </c>
      <c r="D1312" s="27">
        <v>200</v>
      </c>
      <c r="E1312" s="27">
        <v>0</v>
      </c>
      <c r="F1312" s="27">
        <v>3150</v>
      </c>
      <c r="G1312" s="27">
        <v>0</v>
      </c>
      <c r="H1312" s="27">
        <v>3150</v>
      </c>
      <c r="I1312" s="27">
        <f>+IFERROR(VLOOKUP(A1312,'[1]Pending Dispatch'!$N$2:$O$651,2,0),0)</f>
        <v>0</v>
      </c>
      <c r="J1312" s="27">
        <f t="shared" si="20"/>
        <v>3150</v>
      </c>
      <c r="K1312" s="28">
        <v>0</v>
      </c>
      <c r="L1312" s="28">
        <v>0</v>
      </c>
      <c r="M1312" s="26">
        <v>0</v>
      </c>
      <c r="N1312" s="26"/>
    </row>
    <row r="1313" spans="1:14" x14ac:dyDescent="0.3">
      <c r="A1313" s="57" t="s">
        <v>2435</v>
      </c>
      <c r="B1313" s="26" t="s">
        <v>2436</v>
      </c>
      <c r="C1313" s="26" t="s">
        <v>2354</v>
      </c>
      <c r="D1313" s="27">
        <v>100</v>
      </c>
      <c r="E1313" s="27">
        <v>0</v>
      </c>
      <c r="F1313" s="27">
        <v>2100</v>
      </c>
      <c r="G1313" s="27">
        <v>0</v>
      </c>
      <c r="H1313" s="27">
        <v>2100</v>
      </c>
      <c r="I1313" s="27">
        <f>+IFERROR(VLOOKUP(A1313,'[1]Pending Dispatch'!$N$2:$O$651,2,0),0)</f>
        <v>0</v>
      </c>
      <c r="J1313" s="27">
        <f t="shared" si="20"/>
        <v>2100</v>
      </c>
      <c r="K1313" s="28">
        <v>0</v>
      </c>
      <c r="L1313" s="28">
        <v>0</v>
      </c>
      <c r="M1313" s="26">
        <v>0</v>
      </c>
      <c r="N1313" s="26"/>
    </row>
    <row r="1314" spans="1:14" x14ac:dyDescent="0.3">
      <c r="A1314" s="57" t="s">
        <v>2437</v>
      </c>
      <c r="B1314" s="26" t="s">
        <v>2438</v>
      </c>
      <c r="C1314" s="26" t="s">
        <v>2354</v>
      </c>
      <c r="D1314" s="27">
        <v>100</v>
      </c>
      <c r="E1314" s="27">
        <v>0</v>
      </c>
      <c r="F1314" s="27">
        <v>2100</v>
      </c>
      <c r="G1314" s="27">
        <v>0</v>
      </c>
      <c r="H1314" s="27">
        <v>2100</v>
      </c>
      <c r="I1314" s="27">
        <f>+IFERROR(VLOOKUP(A1314,'[1]Pending Dispatch'!$N$2:$O$651,2,0),0)</f>
        <v>0</v>
      </c>
      <c r="J1314" s="27">
        <f t="shared" si="20"/>
        <v>2100</v>
      </c>
      <c r="K1314" s="28">
        <v>0</v>
      </c>
      <c r="L1314" s="28">
        <v>0</v>
      </c>
      <c r="M1314" s="26">
        <v>0</v>
      </c>
      <c r="N1314" s="26"/>
    </row>
    <row r="1315" spans="1:14" x14ac:dyDescent="0.3">
      <c r="A1315" s="57" t="s">
        <v>2439</v>
      </c>
      <c r="B1315" s="26" t="s">
        <v>2440</v>
      </c>
      <c r="C1315" s="26" t="s">
        <v>2354</v>
      </c>
      <c r="D1315" s="27">
        <v>100</v>
      </c>
      <c r="E1315" s="27">
        <v>0</v>
      </c>
      <c r="F1315" s="27">
        <v>850</v>
      </c>
      <c r="G1315" s="27">
        <v>0</v>
      </c>
      <c r="H1315" s="27">
        <v>850</v>
      </c>
      <c r="I1315" s="27">
        <f>+IFERROR(VLOOKUP(A1315,'[1]Pending Dispatch'!$N$2:$O$651,2,0),0)</f>
        <v>0</v>
      </c>
      <c r="J1315" s="27">
        <f t="shared" si="20"/>
        <v>850</v>
      </c>
      <c r="K1315" s="28">
        <v>0</v>
      </c>
      <c r="L1315" s="28">
        <v>0</v>
      </c>
      <c r="M1315" s="26">
        <v>0</v>
      </c>
      <c r="N1315" s="26"/>
    </row>
    <row r="1316" spans="1:14" x14ac:dyDescent="0.3">
      <c r="A1316" s="57" t="s">
        <v>2441</v>
      </c>
      <c r="B1316" s="26" t="s">
        <v>2442</v>
      </c>
      <c r="C1316" s="26" t="s">
        <v>2354</v>
      </c>
      <c r="D1316" s="27">
        <v>100</v>
      </c>
      <c r="E1316" s="27">
        <v>0</v>
      </c>
      <c r="F1316" s="27">
        <v>875</v>
      </c>
      <c r="G1316" s="27">
        <v>0</v>
      </c>
      <c r="H1316" s="27">
        <v>875</v>
      </c>
      <c r="I1316" s="27">
        <f>+IFERROR(VLOOKUP(A1316,'[1]Pending Dispatch'!$N$2:$O$651,2,0),0)</f>
        <v>0</v>
      </c>
      <c r="J1316" s="27">
        <f t="shared" si="20"/>
        <v>875</v>
      </c>
      <c r="K1316" s="28">
        <v>0</v>
      </c>
      <c r="L1316" s="28">
        <v>0</v>
      </c>
      <c r="M1316" s="26">
        <v>0</v>
      </c>
      <c r="N1316" s="26"/>
    </row>
    <row r="1317" spans="1:14" x14ac:dyDescent="0.3">
      <c r="A1317" s="57" t="s">
        <v>2443</v>
      </c>
      <c r="B1317" s="26" t="s">
        <v>2444</v>
      </c>
      <c r="C1317" s="26" t="s">
        <v>2354</v>
      </c>
      <c r="D1317" s="27">
        <v>75</v>
      </c>
      <c r="E1317" s="27">
        <v>0</v>
      </c>
      <c r="F1317" s="27">
        <v>850</v>
      </c>
      <c r="G1317" s="27">
        <v>0</v>
      </c>
      <c r="H1317" s="27">
        <v>850</v>
      </c>
      <c r="I1317" s="27">
        <f>+IFERROR(VLOOKUP(A1317,'[1]Pending Dispatch'!$N$2:$O$651,2,0),0)</f>
        <v>0</v>
      </c>
      <c r="J1317" s="27">
        <f t="shared" si="20"/>
        <v>850</v>
      </c>
      <c r="K1317" s="28">
        <v>0</v>
      </c>
      <c r="L1317" s="28">
        <v>0</v>
      </c>
      <c r="M1317" s="26">
        <v>0</v>
      </c>
      <c r="N1317" s="26"/>
    </row>
    <row r="1318" spans="1:14" x14ac:dyDescent="0.3">
      <c r="A1318" s="57" t="s">
        <v>2445</v>
      </c>
      <c r="B1318" s="26" t="s">
        <v>2446</v>
      </c>
      <c r="C1318" s="26" t="s">
        <v>2354</v>
      </c>
      <c r="D1318" s="27">
        <v>200</v>
      </c>
      <c r="E1318" s="27">
        <v>0</v>
      </c>
      <c r="F1318" s="27">
        <v>0</v>
      </c>
      <c r="G1318" s="27">
        <v>0</v>
      </c>
      <c r="H1318" s="27">
        <v>0</v>
      </c>
      <c r="I1318" s="27">
        <f>+IFERROR(VLOOKUP(A1318,'[1]Pending Dispatch'!$N$2:$O$651,2,0),0)</f>
        <v>0</v>
      </c>
      <c r="J1318" s="27">
        <f t="shared" si="20"/>
        <v>0</v>
      </c>
      <c r="K1318" s="28">
        <v>0</v>
      </c>
      <c r="L1318" s="28">
        <v>0</v>
      </c>
      <c r="M1318" s="26">
        <v>0</v>
      </c>
      <c r="N1318" s="26"/>
    </row>
  </sheetData>
  <autoFilter ref="A4:P1318" xr:uid="{00000000-0001-0000-0000-000000000000}"/>
  <mergeCells count="2">
    <mergeCell ref="A3:D3"/>
    <mergeCell ref="F2:H2"/>
  </mergeCells>
  <conditionalFormatting sqref="A221">
    <cfRule type="duplicateValues" dxfId="173" priority="78"/>
  </conditionalFormatting>
  <conditionalFormatting sqref="A810">
    <cfRule type="duplicateValues" dxfId="172" priority="48"/>
  </conditionalFormatting>
  <conditionalFormatting sqref="A907">
    <cfRule type="duplicateValues" dxfId="171" priority="70"/>
  </conditionalFormatting>
  <conditionalFormatting sqref="A921">
    <cfRule type="duplicateValues" dxfId="170" priority="73"/>
  </conditionalFormatting>
  <conditionalFormatting sqref="A924">
    <cfRule type="duplicateValues" dxfId="169" priority="75"/>
  </conditionalFormatting>
  <conditionalFormatting sqref="A928:A929">
    <cfRule type="duplicateValues" dxfId="168" priority="74"/>
  </conditionalFormatting>
  <conditionalFormatting sqref="A933">
    <cfRule type="duplicateValues" dxfId="167" priority="66"/>
  </conditionalFormatting>
  <conditionalFormatting sqref="A934">
    <cfRule type="duplicateValues" dxfId="166" priority="58"/>
  </conditionalFormatting>
  <conditionalFormatting sqref="A1083">
    <cfRule type="duplicateValues" dxfId="165" priority="77"/>
  </conditionalFormatting>
  <conditionalFormatting sqref="A1084">
    <cfRule type="duplicateValues" dxfId="164" priority="76"/>
  </conditionalFormatting>
  <conditionalFormatting sqref="A1087">
    <cfRule type="duplicateValues" dxfId="163" priority="72"/>
  </conditionalFormatting>
  <conditionalFormatting sqref="A1088">
    <cfRule type="duplicateValues" dxfId="162" priority="71"/>
  </conditionalFormatting>
  <conditionalFormatting sqref="A1089">
    <cfRule type="duplicateValues" dxfId="161" priority="69"/>
  </conditionalFormatting>
  <conditionalFormatting sqref="A1090">
    <cfRule type="duplicateValues" dxfId="160" priority="68"/>
  </conditionalFormatting>
  <conditionalFormatting sqref="A1091">
    <cfRule type="duplicateValues" dxfId="159" priority="67"/>
  </conditionalFormatting>
  <conditionalFormatting sqref="A1096">
    <cfRule type="duplicateValues" dxfId="158" priority="65"/>
  </conditionalFormatting>
  <conditionalFormatting sqref="A1097:A1099">
    <cfRule type="duplicateValues" dxfId="157" priority="64"/>
  </conditionalFormatting>
  <conditionalFormatting sqref="A1102">
    <cfRule type="duplicateValues" dxfId="156" priority="63"/>
  </conditionalFormatting>
  <conditionalFormatting sqref="A1108:A1109">
    <cfRule type="duplicateValues" dxfId="155" priority="62"/>
  </conditionalFormatting>
  <conditionalFormatting sqref="A1110">
    <cfRule type="duplicateValues" dxfId="154" priority="61"/>
  </conditionalFormatting>
  <conditionalFormatting sqref="A1111">
    <cfRule type="duplicateValues" dxfId="153" priority="60"/>
  </conditionalFormatting>
  <conditionalFormatting sqref="A1112">
    <cfRule type="duplicateValues" dxfId="152" priority="59"/>
  </conditionalFormatting>
  <conditionalFormatting sqref="A1117:A1119">
    <cfRule type="duplicateValues" dxfId="151" priority="57"/>
  </conditionalFormatting>
  <conditionalFormatting sqref="A1122:A1123">
    <cfRule type="duplicateValues" dxfId="150" priority="56"/>
  </conditionalFormatting>
  <conditionalFormatting sqref="A1124">
    <cfRule type="duplicateValues" dxfId="149" priority="55"/>
  </conditionalFormatting>
  <conditionalFormatting sqref="A1127">
    <cfRule type="duplicateValues" dxfId="148" priority="54"/>
  </conditionalFormatting>
  <conditionalFormatting sqref="A1128">
    <cfRule type="duplicateValues" dxfId="147" priority="53"/>
  </conditionalFormatting>
  <conditionalFormatting sqref="A1130">
    <cfRule type="duplicateValues" dxfId="146" priority="52"/>
  </conditionalFormatting>
  <conditionalFormatting sqref="A1131">
    <cfRule type="duplicateValues" dxfId="145" priority="80"/>
  </conditionalFormatting>
  <conditionalFormatting sqref="A1132">
    <cfRule type="duplicateValues" dxfId="144" priority="51"/>
  </conditionalFormatting>
  <conditionalFormatting sqref="A1138:A1140">
    <cfRule type="duplicateValues" dxfId="143" priority="50"/>
  </conditionalFormatting>
  <conditionalFormatting sqref="A1144">
    <cfRule type="duplicateValues" dxfId="142" priority="49"/>
  </conditionalFormatting>
  <conditionalFormatting sqref="A1146:A1155">
    <cfRule type="duplicateValues" dxfId="141" priority="44"/>
    <cfRule type="duplicateValues" dxfId="140" priority="45"/>
  </conditionalFormatting>
  <conditionalFormatting sqref="A1156">
    <cfRule type="duplicateValues" dxfId="139" priority="43"/>
  </conditionalFormatting>
  <conditionalFormatting sqref="A1158">
    <cfRule type="duplicateValues" dxfId="138" priority="46"/>
  </conditionalFormatting>
  <conditionalFormatting sqref="A1159:A1178 A1157">
    <cfRule type="duplicateValues" dxfId="137" priority="42"/>
  </conditionalFormatting>
  <conditionalFormatting sqref="A1179:A1185 A222:A809 A811:A1145 A1187:A1194 A5:A220">
    <cfRule type="duplicateValues" dxfId="136" priority="79"/>
  </conditionalFormatting>
  <conditionalFormatting sqref="A1179:A1185 A1187:A1194 A5:A1145">
    <cfRule type="duplicateValues" dxfId="135" priority="47"/>
  </conditionalFormatting>
  <conditionalFormatting sqref="A1187:A1194 A5:A1185">
    <cfRule type="duplicateValues" dxfId="134" priority="41"/>
  </conditionalFormatting>
  <conditionalFormatting sqref="A1195">
    <cfRule type="duplicateValues" dxfId="133" priority="39"/>
    <cfRule type="duplicateValues" dxfId="132" priority="40"/>
  </conditionalFormatting>
  <conditionalFormatting sqref="A1196">
    <cfRule type="duplicateValues" dxfId="131" priority="37"/>
    <cfRule type="duplicateValues" dxfId="130" priority="38"/>
  </conditionalFormatting>
  <conditionalFormatting sqref="A1197:A1199">
    <cfRule type="duplicateValues" dxfId="129" priority="35"/>
    <cfRule type="duplicateValues" dxfId="128" priority="36"/>
  </conditionalFormatting>
  <conditionalFormatting sqref="A1200">
    <cfRule type="duplicateValues" dxfId="127" priority="33"/>
    <cfRule type="duplicateValues" dxfId="126" priority="34"/>
  </conditionalFormatting>
  <conditionalFormatting sqref="A1201">
    <cfRule type="duplicateValues" dxfId="125" priority="31"/>
    <cfRule type="duplicateValues" dxfId="124" priority="32"/>
  </conditionalFormatting>
  <conditionalFormatting sqref="A1202">
    <cfRule type="duplicateValues" dxfId="123" priority="29"/>
    <cfRule type="duplicateValues" dxfId="122" priority="30"/>
  </conditionalFormatting>
  <conditionalFormatting sqref="A1203:A1235">
    <cfRule type="duplicateValues" dxfId="121" priority="27"/>
    <cfRule type="duplicateValues" dxfId="120" priority="28"/>
  </conditionalFormatting>
  <conditionalFormatting sqref="A1236:A1237">
    <cfRule type="duplicateValues" dxfId="119" priority="26"/>
  </conditionalFormatting>
  <conditionalFormatting sqref="A1238:A1239">
    <cfRule type="duplicateValues" dxfId="118" priority="25"/>
  </conditionalFormatting>
  <conditionalFormatting sqref="A1240">
    <cfRule type="duplicateValues" dxfId="117" priority="23"/>
    <cfRule type="duplicateValues" dxfId="116" priority="24"/>
  </conditionalFormatting>
  <conditionalFormatting sqref="A1241:A1251">
    <cfRule type="duplicateValues" dxfId="115" priority="85"/>
    <cfRule type="duplicateValues" dxfId="114" priority="86"/>
  </conditionalFormatting>
  <conditionalFormatting sqref="A1252">
    <cfRule type="duplicateValues" dxfId="113" priority="13"/>
  </conditionalFormatting>
  <conditionalFormatting sqref="A1253">
    <cfRule type="duplicateValues" dxfId="112" priority="22"/>
  </conditionalFormatting>
  <conditionalFormatting sqref="A1253:A1283 A5:A1251">
    <cfRule type="duplicateValues" dxfId="111" priority="16"/>
  </conditionalFormatting>
  <conditionalFormatting sqref="A1254">
    <cfRule type="duplicateValues" dxfId="110" priority="21"/>
  </conditionalFormatting>
  <conditionalFormatting sqref="A1255 A1258:A1268">
    <cfRule type="duplicateValues" dxfId="109" priority="87"/>
    <cfRule type="duplicateValues" dxfId="108" priority="88"/>
  </conditionalFormatting>
  <conditionalFormatting sqref="A1256">
    <cfRule type="duplicateValues" dxfId="107" priority="18"/>
  </conditionalFormatting>
  <conditionalFormatting sqref="A1257">
    <cfRule type="duplicateValues" dxfId="106" priority="19"/>
  </conditionalFormatting>
  <conditionalFormatting sqref="A1269:A1280">
    <cfRule type="duplicateValues" dxfId="105" priority="20"/>
  </conditionalFormatting>
  <conditionalFormatting sqref="A1281:A1283">
    <cfRule type="duplicateValues" dxfId="104" priority="17"/>
  </conditionalFormatting>
  <conditionalFormatting sqref="A1284 A1 A3:A4 A1288:A1290 A1311:A1048576">
    <cfRule type="duplicateValues" dxfId="103" priority="84"/>
  </conditionalFormatting>
  <conditionalFormatting sqref="A1285:A1287">
    <cfRule type="duplicateValues" dxfId="102" priority="14"/>
    <cfRule type="duplicateValues" dxfId="101" priority="15"/>
  </conditionalFormatting>
  <conditionalFormatting sqref="A1291">
    <cfRule type="duplicateValues" dxfId="100" priority="11"/>
    <cfRule type="duplicateValues" dxfId="99" priority="12"/>
  </conditionalFormatting>
  <conditionalFormatting sqref="A1292">
    <cfRule type="duplicateValues" dxfId="98" priority="10"/>
  </conditionalFormatting>
  <conditionalFormatting sqref="A1293:A1295">
    <cfRule type="duplicateValues" dxfId="97" priority="8"/>
    <cfRule type="duplicateValues" dxfId="96" priority="9"/>
  </conditionalFormatting>
  <conditionalFormatting sqref="A1296:A1298">
    <cfRule type="duplicateValues" dxfId="95" priority="6"/>
    <cfRule type="duplicateValues" dxfId="94" priority="7"/>
  </conditionalFormatting>
  <conditionalFormatting sqref="A1299:A1301">
    <cfRule type="duplicateValues" dxfId="93" priority="4"/>
    <cfRule type="duplicateValues" dxfId="92" priority="5"/>
  </conditionalFormatting>
  <conditionalFormatting sqref="A1302:A1304">
    <cfRule type="duplicateValues" dxfId="91" priority="2"/>
    <cfRule type="duplicateValues" dxfId="90" priority="3"/>
  </conditionalFormatting>
  <conditionalFormatting sqref="A1309">
    <cfRule type="duplicateValues" dxfId="89" priority="1"/>
  </conditionalFormatting>
  <conditionalFormatting sqref="L5:L1318 E1:H1 E5:H1048576 I4:I1048576">
    <cfRule type="cellIs" dxfId="88" priority="82" operator="lessThan">
      <formula>0</formula>
    </cfRule>
  </conditionalFormatting>
  <conditionalFormatting sqref="E4 H4 J1:J1048576">
    <cfRule type="cellIs" dxfId="87" priority="81" operator="lessThan">
      <formula>0</formula>
    </cfRule>
  </conditionalFormatting>
  <conditionalFormatting sqref="I1:J2">
    <cfRule type="cellIs" dxfId="86" priority="8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0790-ADAE-4EF4-80FE-22423C6410BC}">
  <dimension ref="A1:H241"/>
  <sheetViews>
    <sheetView tabSelected="1" workbookViewId="0">
      <pane ySplit="1" topLeftCell="A224" activePane="bottomLeft" state="frozen"/>
      <selection pane="bottomLeft" activeCell="N247" sqref="N247"/>
    </sheetView>
  </sheetViews>
  <sheetFormatPr defaultRowHeight="14.4" x14ac:dyDescent="0.3"/>
  <cols>
    <col min="1" max="1" width="9.77734375" style="66" customWidth="1"/>
    <col min="2" max="2" width="42.5546875" style="66" customWidth="1"/>
    <col min="3" max="3" width="13.33203125" style="66" customWidth="1"/>
    <col min="4" max="8" width="8.88671875" style="66"/>
  </cols>
  <sheetData>
    <row r="1" spans="1:8" ht="27.6" x14ac:dyDescent="0.3">
      <c r="A1" s="19" t="s">
        <v>3</v>
      </c>
      <c r="B1" s="20" t="s">
        <v>4</v>
      </c>
      <c r="C1" s="21" t="s">
        <v>5</v>
      </c>
      <c r="D1" s="22" t="s">
        <v>6</v>
      </c>
      <c r="E1" s="23" t="s">
        <v>11</v>
      </c>
      <c r="F1" s="44"/>
      <c r="G1" s="23" t="s">
        <v>2447</v>
      </c>
      <c r="H1" s="23" t="s">
        <v>13</v>
      </c>
    </row>
    <row r="2" spans="1:8" x14ac:dyDescent="0.3">
      <c r="A2" s="63" t="s">
        <v>103</v>
      </c>
      <c r="B2" s="64" t="s">
        <v>104</v>
      </c>
      <c r="C2" s="64" t="s">
        <v>87</v>
      </c>
      <c r="D2" s="65">
        <v>15</v>
      </c>
      <c r="E2" s="65">
        <v>-284</v>
      </c>
      <c r="F2" s="65">
        <v>284</v>
      </c>
      <c r="G2" s="68">
        <f>+IFERROR(VLOOKUP(A2,[2]Sheet5!$A$3:$D$1335,4,0),0)</f>
        <v>103.3</v>
      </c>
      <c r="H2" s="68">
        <f>+F2*G2/1000</f>
        <v>29.337199999999999</v>
      </c>
    </row>
    <row r="3" spans="1:8" x14ac:dyDescent="0.3">
      <c r="A3" s="63" t="s">
        <v>113</v>
      </c>
      <c r="B3" s="64" t="s">
        <v>114</v>
      </c>
      <c r="C3" s="64" t="s">
        <v>87</v>
      </c>
      <c r="D3" s="65">
        <v>15</v>
      </c>
      <c r="E3" s="65">
        <v>-32</v>
      </c>
      <c r="F3" s="65">
        <v>32</v>
      </c>
      <c r="G3" s="68">
        <f>+IFERROR(VLOOKUP(A3,[2]Sheet5!$A$3:$D$1335,4,0),0)</f>
        <v>59</v>
      </c>
      <c r="H3" s="68">
        <f t="shared" ref="H3:H66" si="0">+F3*G3/1000</f>
        <v>1.8879999999999999</v>
      </c>
    </row>
    <row r="4" spans="1:8" x14ac:dyDescent="0.3">
      <c r="A4" s="63" t="s">
        <v>117</v>
      </c>
      <c r="B4" s="64" t="s">
        <v>118</v>
      </c>
      <c r="C4" s="64" t="s">
        <v>87</v>
      </c>
      <c r="D4" s="65">
        <v>44</v>
      </c>
      <c r="E4" s="65">
        <v>-596</v>
      </c>
      <c r="F4" s="65">
        <v>596</v>
      </c>
      <c r="G4" s="68">
        <f>+IFERROR(VLOOKUP(A4,[2]Sheet5!$A$3:$D$1335,4,0),0)</f>
        <v>178.76000000000002</v>
      </c>
      <c r="H4" s="68">
        <f t="shared" si="0"/>
        <v>106.54096000000001</v>
      </c>
    </row>
    <row r="5" spans="1:8" x14ac:dyDescent="0.3">
      <c r="A5" s="63" t="s">
        <v>121</v>
      </c>
      <c r="B5" s="64" t="s">
        <v>122</v>
      </c>
      <c r="C5" s="64" t="s">
        <v>87</v>
      </c>
      <c r="D5" s="65">
        <v>18</v>
      </c>
      <c r="E5" s="65">
        <v>-41</v>
      </c>
      <c r="F5" s="65">
        <v>41</v>
      </c>
      <c r="G5" s="68">
        <f>+IFERROR(VLOOKUP(A5,[2]Sheet5!$A$3:$D$1335,4,0),0)</f>
        <v>425.12500000000006</v>
      </c>
      <c r="H5" s="68">
        <f t="shared" si="0"/>
        <v>17.430125000000004</v>
      </c>
    </row>
    <row r="6" spans="1:8" x14ac:dyDescent="0.3">
      <c r="A6" s="63" t="s">
        <v>131</v>
      </c>
      <c r="B6" s="64" t="s">
        <v>132</v>
      </c>
      <c r="C6" s="64" t="s">
        <v>87</v>
      </c>
      <c r="D6" s="65">
        <v>20</v>
      </c>
      <c r="E6" s="65">
        <v>-18</v>
      </c>
      <c r="F6" s="65">
        <v>18</v>
      </c>
      <c r="G6" s="68">
        <f>+IFERROR(VLOOKUP(A6,[2]Sheet5!$A$3:$D$1335,4,0),0)</f>
        <v>425.12500000000006</v>
      </c>
      <c r="H6" s="68">
        <f t="shared" si="0"/>
        <v>7.6522500000000013</v>
      </c>
    </row>
    <row r="7" spans="1:8" x14ac:dyDescent="0.3">
      <c r="A7" s="63" t="s">
        <v>137</v>
      </c>
      <c r="B7" s="64" t="s">
        <v>138</v>
      </c>
      <c r="C7" s="64" t="s">
        <v>87</v>
      </c>
      <c r="D7" s="65">
        <v>100</v>
      </c>
      <c r="E7" s="65">
        <v>-291</v>
      </c>
      <c r="F7" s="65">
        <v>291</v>
      </c>
      <c r="G7" s="68">
        <f>+IFERROR(VLOOKUP(A7,[2]Sheet5!$A$3:$D$1335,4,0),0)</f>
        <v>95</v>
      </c>
      <c r="H7" s="68">
        <f t="shared" si="0"/>
        <v>27.645</v>
      </c>
    </row>
    <row r="8" spans="1:8" x14ac:dyDescent="0.3">
      <c r="A8" s="63" t="s">
        <v>139</v>
      </c>
      <c r="B8" s="64" t="s">
        <v>140</v>
      </c>
      <c r="C8" s="64" t="s">
        <v>87</v>
      </c>
      <c r="D8" s="65">
        <v>80</v>
      </c>
      <c r="E8" s="65">
        <v>-427</v>
      </c>
      <c r="F8" s="65">
        <v>427</v>
      </c>
      <c r="G8" s="68">
        <f>+IFERROR(VLOOKUP(A8,[2]Sheet5!$A$3:$D$1335,4,0),0)</f>
        <v>143.94999999999999</v>
      </c>
      <c r="H8" s="68">
        <f t="shared" si="0"/>
        <v>61.466649999999994</v>
      </c>
    </row>
    <row r="9" spans="1:8" x14ac:dyDescent="0.3">
      <c r="A9" s="63" t="s">
        <v>151</v>
      </c>
      <c r="B9" s="64" t="s">
        <v>152</v>
      </c>
      <c r="C9" s="64" t="s">
        <v>87</v>
      </c>
      <c r="D9" s="65">
        <v>300</v>
      </c>
      <c r="E9" s="65">
        <v>-420</v>
      </c>
      <c r="F9" s="65">
        <v>420</v>
      </c>
      <c r="G9" s="68">
        <f>+IFERROR(VLOOKUP(A9,[2]Sheet5!$A$3:$D$1335,4,0),0)</f>
        <v>36.4</v>
      </c>
      <c r="H9" s="68">
        <f t="shared" si="0"/>
        <v>15.288</v>
      </c>
    </row>
    <row r="10" spans="1:8" x14ac:dyDescent="0.3">
      <c r="A10" s="63" t="s">
        <v>175</v>
      </c>
      <c r="B10" s="64" t="s">
        <v>176</v>
      </c>
      <c r="C10" s="64" t="s">
        <v>87</v>
      </c>
      <c r="D10" s="65">
        <v>50</v>
      </c>
      <c r="E10" s="65">
        <v>-139</v>
      </c>
      <c r="F10" s="65">
        <v>139</v>
      </c>
      <c r="G10" s="68">
        <f>+IFERROR(VLOOKUP(A10,[2]Sheet5!$A$3:$D$1335,4,0),0)</f>
        <v>213.2</v>
      </c>
      <c r="H10" s="68">
        <f t="shared" si="0"/>
        <v>29.634799999999998</v>
      </c>
    </row>
    <row r="11" spans="1:8" x14ac:dyDescent="0.3">
      <c r="A11" s="63" t="s">
        <v>207</v>
      </c>
      <c r="B11" s="64" t="s">
        <v>208</v>
      </c>
      <c r="C11" s="64" t="s">
        <v>87</v>
      </c>
      <c r="D11" s="65">
        <v>25</v>
      </c>
      <c r="E11" s="65">
        <v>-162</v>
      </c>
      <c r="F11" s="65">
        <v>162</v>
      </c>
      <c r="G11" s="68">
        <f>+IFERROR(VLOOKUP(A11,[2]Sheet5!$A$3:$D$1335,4,0),0)</f>
        <v>41.5</v>
      </c>
      <c r="H11" s="68">
        <f t="shared" si="0"/>
        <v>6.7229999999999999</v>
      </c>
    </row>
    <row r="12" spans="1:8" x14ac:dyDescent="0.3">
      <c r="A12" s="63" t="s">
        <v>223</v>
      </c>
      <c r="B12" s="64" t="s">
        <v>224</v>
      </c>
      <c r="C12" s="64" t="s">
        <v>87</v>
      </c>
      <c r="D12" s="65">
        <v>500</v>
      </c>
      <c r="E12" s="65">
        <v>-441</v>
      </c>
      <c r="F12" s="65">
        <v>441</v>
      </c>
      <c r="G12" s="68">
        <f>+IFERROR(VLOOKUP(A12,[2]Sheet5!$A$3:$D$1335,4,0),0)</f>
        <v>20.95</v>
      </c>
      <c r="H12" s="68">
        <f t="shared" si="0"/>
        <v>9.2389499999999991</v>
      </c>
    </row>
    <row r="13" spans="1:8" x14ac:dyDescent="0.3">
      <c r="A13" s="63" t="s">
        <v>251</v>
      </c>
      <c r="B13" s="64" t="s">
        <v>252</v>
      </c>
      <c r="C13" s="64" t="s">
        <v>87</v>
      </c>
      <c r="D13" s="65">
        <v>100</v>
      </c>
      <c r="E13" s="65">
        <v>-47</v>
      </c>
      <c r="F13" s="65">
        <v>47</v>
      </c>
      <c r="G13" s="68">
        <f>+IFERROR(VLOOKUP(A13,[2]Sheet5!$A$3:$D$1335,4,0),0)</f>
        <v>57</v>
      </c>
      <c r="H13" s="68">
        <f t="shared" si="0"/>
        <v>2.6789999999999998</v>
      </c>
    </row>
    <row r="14" spans="1:8" x14ac:dyDescent="0.3">
      <c r="A14" s="63" t="s">
        <v>271</v>
      </c>
      <c r="B14" s="64" t="s">
        <v>272</v>
      </c>
      <c r="C14" s="64" t="s">
        <v>87</v>
      </c>
      <c r="D14" s="65">
        <v>150</v>
      </c>
      <c r="E14" s="65">
        <v>-399</v>
      </c>
      <c r="F14" s="65">
        <v>399</v>
      </c>
      <c r="G14" s="68">
        <f>+IFERROR(VLOOKUP(A14,[2]Sheet5!$A$3:$D$1335,4,0),0)</f>
        <v>39</v>
      </c>
      <c r="H14" s="68">
        <f t="shared" si="0"/>
        <v>15.561</v>
      </c>
    </row>
    <row r="15" spans="1:8" x14ac:dyDescent="0.3">
      <c r="A15" s="63" t="s">
        <v>283</v>
      </c>
      <c r="B15" s="64" t="s">
        <v>284</v>
      </c>
      <c r="C15" s="64" t="s">
        <v>87</v>
      </c>
      <c r="D15" s="65">
        <v>80</v>
      </c>
      <c r="E15" s="65">
        <v>-109</v>
      </c>
      <c r="F15" s="65">
        <v>109</v>
      </c>
      <c r="G15" s="68">
        <f>+IFERROR(VLOOKUP(A15,[2]Sheet5!$A$3:$D$1335,4,0),0)</f>
        <v>65.8</v>
      </c>
      <c r="H15" s="68">
        <f t="shared" si="0"/>
        <v>7.1722000000000001</v>
      </c>
    </row>
    <row r="16" spans="1:8" x14ac:dyDescent="0.3">
      <c r="A16" s="63" t="s">
        <v>289</v>
      </c>
      <c r="B16" s="64" t="s">
        <v>290</v>
      </c>
      <c r="C16" s="64" t="s">
        <v>87</v>
      </c>
      <c r="D16" s="65">
        <v>50</v>
      </c>
      <c r="E16" s="65">
        <v>-1590</v>
      </c>
      <c r="F16" s="65">
        <v>1590</v>
      </c>
      <c r="G16" s="68">
        <f>+IFERROR(VLOOKUP(A16,[2]Sheet5!$A$3:$D$1335,4,0),0)</f>
        <v>71</v>
      </c>
      <c r="H16" s="68">
        <f t="shared" si="0"/>
        <v>112.89</v>
      </c>
    </row>
    <row r="17" spans="1:8" x14ac:dyDescent="0.3">
      <c r="A17" s="63" t="s">
        <v>293</v>
      </c>
      <c r="B17" s="64" t="s">
        <v>294</v>
      </c>
      <c r="C17" s="64" t="s">
        <v>87</v>
      </c>
      <c r="D17" s="65">
        <v>30</v>
      </c>
      <c r="E17" s="65">
        <v>-259</v>
      </c>
      <c r="F17" s="65">
        <v>259</v>
      </c>
      <c r="G17" s="68">
        <f>+IFERROR(VLOOKUP(A17,[2]Sheet5!$A$3:$D$1335,4,0),0)</f>
        <v>145.65</v>
      </c>
      <c r="H17" s="68">
        <f t="shared" si="0"/>
        <v>37.723349999999996</v>
      </c>
    </row>
    <row r="18" spans="1:8" x14ac:dyDescent="0.3">
      <c r="A18" s="63" t="s">
        <v>299</v>
      </c>
      <c r="B18" s="64" t="s">
        <v>300</v>
      </c>
      <c r="C18" s="64" t="s">
        <v>87</v>
      </c>
      <c r="D18" s="65">
        <v>50</v>
      </c>
      <c r="E18" s="65">
        <v>-613</v>
      </c>
      <c r="F18" s="65">
        <v>613</v>
      </c>
      <c r="G18" s="68">
        <f>+IFERROR(VLOOKUP(A18,[2]Sheet5!$A$3:$D$1335,4,0),0)</f>
        <v>82.5</v>
      </c>
      <c r="H18" s="68">
        <f t="shared" si="0"/>
        <v>50.572499999999998</v>
      </c>
    </row>
    <row r="19" spans="1:8" x14ac:dyDescent="0.3">
      <c r="A19" s="63" t="s">
        <v>333</v>
      </c>
      <c r="B19" s="64" t="s">
        <v>334</v>
      </c>
      <c r="C19" s="64" t="s">
        <v>87</v>
      </c>
      <c r="D19" s="65">
        <v>150</v>
      </c>
      <c r="E19" s="65">
        <v>-2009</v>
      </c>
      <c r="F19" s="65">
        <v>2009</v>
      </c>
      <c r="G19" s="68">
        <f>+IFERROR(VLOOKUP(A19,[2]Sheet5!$A$3:$D$1335,4,0),0)</f>
        <v>29.5</v>
      </c>
      <c r="H19" s="68">
        <f t="shared" si="0"/>
        <v>59.265500000000003</v>
      </c>
    </row>
    <row r="20" spans="1:8" x14ac:dyDescent="0.3">
      <c r="A20" s="63" t="s">
        <v>335</v>
      </c>
      <c r="B20" s="64" t="s">
        <v>336</v>
      </c>
      <c r="C20" s="64" t="s">
        <v>87</v>
      </c>
      <c r="D20" s="65">
        <v>100</v>
      </c>
      <c r="E20" s="65">
        <v>-2530</v>
      </c>
      <c r="F20" s="65">
        <v>2530</v>
      </c>
      <c r="G20" s="68">
        <f>+IFERROR(VLOOKUP(A20,[2]Sheet5!$A$3:$D$1335,4,0),0)</f>
        <v>36.5</v>
      </c>
      <c r="H20" s="68">
        <f t="shared" si="0"/>
        <v>92.344999999999999</v>
      </c>
    </row>
    <row r="21" spans="1:8" x14ac:dyDescent="0.3">
      <c r="A21" s="63" t="s">
        <v>347</v>
      </c>
      <c r="B21" s="64" t="s">
        <v>348</v>
      </c>
      <c r="C21" s="64" t="s">
        <v>87</v>
      </c>
      <c r="D21" s="65">
        <v>300</v>
      </c>
      <c r="E21" s="65">
        <v>-167</v>
      </c>
      <c r="F21" s="65">
        <v>167</v>
      </c>
      <c r="G21" s="68">
        <f>+IFERROR(VLOOKUP(A21,[2]Sheet5!$A$3:$D$1335,4,0),0)</f>
        <v>30.25</v>
      </c>
      <c r="H21" s="68">
        <f t="shared" si="0"/>
        <v>5.0517500000000002</v>
      </c>
    </row>
    <row r="22" spans="1:8" x14ac:dyDescent="0.3">
      <c r="A22" s="63" t="s">
        <v>351</v>
      </c>
      <c r="B22" s="64" t="s">
        <v>352</v>
      </c>
      <c r="C22" s="64" t="s">
        <v>87</v>
      </c>
      <c r="D22" s="65">
        <v>500</v>
      </c>
      <c r="E22" s="65">
        <v>-2490</v>
      </c>
      <c r="F22" s="65">
        <v>2490</v>
      </c>
      <c r="G22" s="68">
        <f>+IFERROR(VLOOKUP(A22,[2]Sheet5!$A$3:$D$1335,4,0),0)</f>
        <v>7.65</v>
      </c>
      <c r="H22" s="68">
        <f t="shared" si="0"/>
        <v>19.048500000000001</v>
      </c>
    </row>
    <row r="23" spans="1:8" x14ac:dyDescent="0.3">
      <c r="A23" s="63" t="s">
        <v>418</v>
      </c>
      <c r="B23" s="64" t="s">
        <v>419</v>
      </c>
      <c r="C23" s="64" t="s">
        <v>87</v>
      </c>
      <c r="D23" s="65">
        <v>150</v>
      </c>
      <c r="E23" s="65">
        <v>-440</v>
      </c>
      <c r="F23" s="65">
        <v>440</v>
      </c>
      <c r="G23" s="68">
        <f>+IFERROR(VLOOKUP(A23,[2]Sheet5!$A$3:$D$1335,4,0),0)</f>
        <v>30.5</v>
      </c>
      <c r="H23" s="68">
        <f t="shared" si="0"/>
        <v>13.42</v>
      </c>
    </row>
    <row r="24" spans="1:8" x14ac:dyDescent="0.3">
      <c r="A24" s="63" t="s">
        <v>422</v>
      </c>
      <c r="B24" s="64" t="s">
        <v>423</v>
      </c>
      <c r="C24" s="64" t="s">
        <v>87</v>
      </c>
      <c r="D24" s="65">
        <v>150</v>
      </c>
      <c r="E24" s="65">
        <v>-162</v>
      </c>
      <c r="F24" s="65">
        <v>162</v>
      </c>
      <c r="G24" s="68">
        <f>+IFERROR(VLOOKUP(A24,[2]Sheet5!$A$3:$D$1335,4,0),0)</f>
        <v>25.5</v>
      </c>
      <c r="H24" s="68">
        <f t="shared" si="0"/>
        <v>4.1310000000000002</v>
      </c>
    </row>
    <row r="25" spans="1:8" x14ac:dyDescent="0.3">
      <c r="A25" s="63" t="s">
        <v>436</v>
      </c>
      <c r="B25" s="64" t="s">
        <v>437</v>
      </c>
      <c r="C25" s="64" t="s">
        <v>87</v>
      </c>
      <c r="D25" s="65">
        <v>32</v>
      </c>
      <c r="E25" s="65">
        <v>-176</v>
      </c>
      <c r="F25" s="65">
        <v>176</v>
      </c>
      <c r="G25" s="68">
        <f>+IFERROR(VLOOKUP(A25,[2]Sheet5!$A$3:$D$1335,4,0),0)</f>
        <v>53.1</v>
      </c>
      <c r="H25" s="68">
        <f t="shared" si="0"/>
        <v>9.345600000000001</v>
      </c>
    </row>
    <row r="26" spans="1:8" x14ac:dyDescent="0.3">
      <c r="A26" s="63" t="s">
        <v>438</v>
      </c>
      <c r="B26" s="64" t="s">
        <v>437</v>
      </c>
      <c r="C26" s="64" t="s">
        <v>87</v>
      </c>
      <c r="D26" s="65">
        <v>32</v>
      </c>
      <c r="E26" s="65">
        <v>-352</v>
      </c>
      <c r="F26" s="65">
        <v>352</v>
      </c>
      <c r="G26" s="68">
        <f>+IFERROR(VLOOKUP(A26,[2]Sheet5!$A$3:$D$1335,4,0),0)</f>
        <v>68.900000000000006</v>
      </c>
      <c r="H26" s="68">
        <f t="shared" si="0"/>
        <v>24.252800000000004</v>
      </c>
    </row>
    <row r="27" spans="1:8" x14ac:dyDescent="0.3">
      <c r="A27" s="63" t="s">
        <v>445</v>
      </c>
      <c r="B27" s="64" t="s">
        <v>446</v>
      </c>
      <c r="C27" s="64" t="s">
        <v>87</v>
      </c>
      <c r="D27" s="65">
        <v>32</v>
      </c>
      <c r="E27" s="65">
        <v>-32</v>
      </c>
      <c r="F27" s="65">
        <v>32</v>
      </c>
      <c r="G27" s="68">
        <f>+IFERROR(VLOOKUP(A27,[2]Sheet5!$A$3:$D$1335,4,0),0)</f>
        <v>53.1</v>
      </c>
      <c r="H27" s="68">
        <f t="shared" si="0"/>
        <v>1.6992</v>
      </c>
    </row>
    <row r="28" spans="1:8" x14ac:dyDescent="0.3">
      <c r="A28" s="63" t="s">
        <v>450</v>
      </c>
      <c r="B28" s="64" t="s">
        <v>451</v>
      </c>
      <c r="C28" s="64" t="s">
        <v>87</v>
      </c>
      <c r="D28" s="65">
        <v>32</v>
      </c>
      <c r="E28" s="65">
        <v>-179</v>
      </c>
      <c r="F28" s="65">
        <v>179</v>
      </c>
      <c r="G28" s="68">
        <f>+IFERROR(VLOOKUP(A28,[2]Sheet5!$A$3:$D$1335,4,0),0)</f>
        <v>53.1</v>
      </c>
      <c r="H28" s="68">
        <f t="shared" si="0"/>
        <v>9.5048999999999992</v>
      </c>
    </row>
    <row r="29" spans="1:8" x14ac:dyDescent="0.3">
      <c r="A29" s="63" t="s">
        <v>455</v>
      </c>
      <c r="B29" s="64" t="s">
        <v>456</v>
      </c>
      <c r="C29" s="64" t="s">
        <v>87</v>
      </c>
      <c r="D29" s="65">
        <v>32</v>
      </c>
      <c r="E29" s="65">
        <v>-240</v>
      </c>
      <c r="F29" s="65">
        <v>240</v>
      </c>
      <c r="G29" s="68">
        <f>+IFERROR(VLOOKUP(A29,[2]Sheet5!$A$3:$D$1335,4,0),0)</f>
        <v>53.1</v>
      </c>
      <c r="H29" s="68">
        <f t="shared" si="0"/>
        <v>12.744</v>
      </c>
    </row>
    <row r="30" spans="1:8" x14ac:dyDescent="0.3">
      <c r="A30" s="63" t="s">
        <v>460</v>
      </c>
      <c r="B30" s="64" t="s">
        <v>461</v>
      </c>
      <c r="C30" s="64" t="s">
        <v>87</v>
      </c>
      <c r="D30" s="65">
        <v>32</v>
      </c>
      <c r="E30" s="65">
        <v>-14</v>
      </c>
      <c r="F30" s="65">
        <v>14</v>
      </c>
      <c r="G30" s="68">
        <f>+IFERROR(VLOOKUP(A30,[2]Sheet5!$A$3:$D$1335,4,0),0)</f>
        <v>53.1</v>
      </c>
      <c r="H30" s="68">
        <f t="shared" si="0"/>
        <v>0.74339999999999995</v>
      </c>
    </row>
    <row r="31" spans="1:8" x14ac:dyDescent="0.3">
      <c r="A31" s="63" t="s">
        <v>462</v>
      </c>
      <c r="B31" s="64" t="s">
        <v>461</v>
      </c>
      <c r="C31" s="64" t="s">
        <v>87</v>
      </c>
      <c r="D31" s="65">
        <v>32</v>
      </c>
      <c r="E31" s="65">
        <v>-64</v>
      </c>
      <c r="F31" s="65">
        <v>64</v>
      </c>
      <c r="G31" s="68">
        <f>+IFERROR(VLOOKUP(A31,[2]Sheet5!$A$3:$D$1335,4,0),0)</f>
        <v>68.900000000000006</v>
      </c>
      <c r="H31" s="68">
        <f t="shared" si="0"/>
        <v>4.4096000000000002</v>
      </c>
    </row>
    <row r="32" spans="1:8" x14ac:dyDescent="0.3">
      <c r="A32" s="63" t="s">
        <v>463</v>
      </c>
      <c r="B32" s="64" t="s">
        <v>461</v>
      </c>
      <c r="C32" s="64" t="s">
        <v>87</v>
      </c>
      <c r="D32" s="65">
        <v>32</v>
      </c>
      <c r="E32" s="65">
        <v>-34</v>
      </c>
      <c r="F32" s="65">
        <v>34</v>
      </c>
      <c r="G32" s="68">
        <f>+IFERROR(VLOOKUP(A32,[2]Sheet5!$A$3:$D$1335,4,0),0)</f>
        <v>53.1</v>
      </c>
      <c r="H32" s="68">
        <f t="shared" si="0"/>
        <v>1.8054000000000001</v>
      </c>
    </row>
    <row r="33" spans="1:8" x14ac:dyDescent="0.3">
      <c r="A33" s="63" t="s">
        <v>464</v>
      </c>
      <c r="B33" s="64" t="s">
        <v>465</v>
      </c>
      <c r="C33" s="64" t="s">
        <v>87</v>
      </c>
      <c r="D33" s="65">
        <v>50</v>
      </c>
      <c r="E33" s="65">
        <v>-74</v>
      </c>
      <c r="F33" s="65">
        <v>74</v>
      </c>
      <c r="G33" s="68">
        <f>+IFERROR(VLOOKUP(A33,[2]Sheet5!$A$3:$D$1335,4,0),0)</f>
        <v>182.2</v>
      </c>
      <c r="H33" s="68">
        <f t="shared" si="0"/>
        <v>13.482799999999999</v>
      </c>
    </row>
    <row r="34" spans="1:8" x14ac:dyDescent="0.3">
      <c r="A34" s="63" t="s">
        <v>470</v>
      </c>
      <c r="B34" s="64" t="s">
        <v>471</v>
      </c>
      <c r="C34" s="64" t="s">
        <v>87</v>
      </c>
      <c r="D34" s="65">
        <v>20</v>
      </c>
      <c r="E34" s="65">
        <v>-45</v>
      </c>
      <c r="F34" s="65">
        <v>45</v>
      </c>
      <c r="G34" s="68">
        <f>+IFERROR(VLOOKUP(A34,[2]Sheet5!$A$3:$D$1335,4,0),0)</f>
        <v>374.5</v>
      </c>
      <c r="H34" s="68">
        <f t="shared" si="0"/>
        <v>16.852499999999999</v>
      </c>
    </row>
    <row r="35" spans="1:8" x14ac:dyDescent="0.3">
      <c r="A35" s="63" t="s">
        <v>472</v>
      </c>
      <c r="B35" s="64" t="s">
        <v>473</v>
      </c>
      <c r="C35" s="64" t="s">
        <v>87</v>
      </c>
      <c r="D35" s="65">
        <v>20</v>
      </c>
      <c r="E35" s="65">
        <v>-48</v>
      </c>
      <c r="F35" s="65">
        <v>48</v>
      </c>
      <c r="G35" s="68">
        <f>+IFERROR(VLOOKUP(A35,[2]Sheet5!$A$3:$D$1335,4,0),0)</f>
        <v>379</v>
      </c>
      <c r="H35" s="68">
        <f t="shared" si="0"/>
        <v>18.192</v>
      </c>
    </row>
    <row r="36" spans="1:8" x14ac:dyDescent="0.3">
      <c r="A36" s="63" t="s">
        <v>490</v>
      </c>
      <c r="B36" s="64" t="s">
        <v>491</v>
      </c>
      <c r="C36" s="64" t="s">
        <v>87</v>
      </c>
      <c r="D36" s="65">
        <v>50</v>
      </c>
      <c r="E36" s="65">
        <v>-50</v>
      </c>
      <c r="F36" s="65">
        <v>50</v>
      </c>
      <c r="G36" s="68">
        <f>+IFERROR(VLOOKUP(A36,[2]Sheet5!$A$3:$D$1335,4,0),0)</f>
        <v>210</v>
      </c>
      <c r="H36" s="68">
        <f t="shared" si="0"/>
        <v>10.5</v>
      </c>
    </row>
    <row r="37" spans="1:8" x14ac:dyDescent="0.3">
      <c r="A37" s="63" t="s">
        <v>492</v>
      </c>
      <c r="B37" s="64" t="s">
        <v>493</v>
      </c>
      <c r="C37" s="64" t="s">
        <v>87</v>
      </c>
      <c r="D37" s="65">
        <v>50</v>
      </c>
      <c r="E37" s="65">
        <v>-92</v>
      </c>
      <c r="F37" s="65">
        <v>92</v>
      </c>
      <c r="G37" s="68">
        <f>+IFERROR(VLOOKUP(A37,[2]Sheet5!$A$3:$D$1335,4,0),0)</f>
        <v>214.5</v>
      </c>
      <c r="H37" s="68">
        <f t="shared" si="0"/>
        <v>19.734000000000002</v>
      </c>
    </row>
    <row r="38" spans="1:8" x14ac:dyDescent="0.3">
      <c r="A38" s="63" t="s">
        <v>494</v>
      </c>
      <c r="B38" s="64" t="s">
        <v>495</v>
      </c>
      <c r="C38" s="64" t="s">
        <v>87</v>
      </c>
      <c r="D38" s="65">
        <v>50</v>
      </c>
      <c r="E38" s="65">
        <v>-14</v>
      </c>
      <c r="F38" s="65">
        <v>14</v>
      </c>
      <c r="G38" s="68">
        <f>+IFERROR(VLOOKUP(A38,[2]Sheet5!$A$3:$D$1335,4,0),0)</f>
        <v>202.5</v>
      </c>
      <c r="H38" s="68">
        <f t="shared" si="0"/>
        <v>2.835</v>
      </c>
    </row>
    <row r="39" spans="1:8" x14ac:dyDescent="0.3">
      <c r="A39" s="63" t="s">
        <v>508</v>
      </c>
      <c r="B39" s="64" t="s">
        <v>509</v>
      </c>
      <c r="C39" s="64" t="s">
        <v>87</v>
      </c>
      <c r="D39" s="65">
        <v>20</v>
      </c>
      <c r="E39" s="65">
        <v>-51</v>
      </c>
      <c r="F39" s="65">
        <v>51</v>
      </c>
      <c r="G39" s="68">
        <f>+IFERROR(VLOOKUP(A39,[2]Sheet5!$A$3:$D$1335,4,0),0)</f>
        <v>421</v>
      </c>
      <c r="H39" s="68">
        <f t="shared" si="0"/>
        <v>21.471</v>
      </c>
    </row>
    <row r="40" spans="1:8" x14ac:dyDescent="0.3">
      <c r="A40" s="63" t="s">
        <v>518</v>
      </c>
      <c r="B40" s="64" t="s">
        <v>519</v>
      </c>
      <c r="C40" s="64" t="s">
        <v>87</v>
      </c>
      <c r="D40" s="65">
        <v>150</v>
      </c>
      <c r="E40" s="65">
        <v>-50</v>
      </c>
      <c r="F40" s="65">
        <v>50</v>
      </c>
      <c r="G40" s="68">
        <f>+IFERROR(VLOOKUP(A40,[2]Sheet5!$A$3:$D$1335,4,0),0)</f>
        <v>19.25</v>
      </c>
      <c r="H40" s="68">
        <f t="shared" si="0"/>
        <v>0.96250000000000002</v>
      </c>
    </row>
    <row r="41" spans="1:8" x14ac:dyDescent="0.3">
      <c r="A41" s="67" t="s">
        <v>2064</v>
      </c>
      <c r="B41" s="68" t="s">
        <v>2065</v>
      </c>
      <c r="C41" s="64" t="s">
        <v>87</v>
      </c>
      <c r="D41" s="65">
        <v>32</v>
      </c>
      <c r="E41" s="65">
        <v>-23</v>
      </c>
      <c r="F41" s="65">
        <v>23</v>
      </c>
      <c r="G41" s="68">
        <f>+IFERROR(VLOOKUP(A41,[2]Sheet5!$A$3:$D$1335,4,0),0)</f>
        <v>0</v>
      </c>
      <c r="H41" s="68">
        <f t="shared" si="0"/>
        <v>0</v>
      </c>
    </row>
    <row r="42" spans="1:8" x14ac:dyDescent="0.3">
      <c r="A42" s="67" t="s">
        <v>2066</v>
      </c>
      <c r="B42" s="68" t="s">
        <v>2067</v>
      </c>
      <c r="C42" s="64" t="s">
        <v>87</v>
      </c>
      <c r="D42" s="65">
        <v>32</v>
      </c>
      <c r="E42" s="65">
        <v>-32</v>
      </c>
      <c r="F42" s="65">
        <v>32</v>
      </c>
      <c r="G42" s="68">
        <f>+IFERROR(VLOOKUP(A42,[2]Sheet5!$A$3:$D$1335,4,0),0)</f>
        <v>0</v>
      </c>
      <c r="H42" s="68">
        <f t="shared" si="0"/>
        <v>0</v>
      </c>
    </row>
    <row r="43" spans="1:8" x14ac:dyDescent="0.3">
      <c r="A43" s="67" t="s">
        <v>2100</v>
      </c>
      <c r="B43" s="68" t="s">
        <v>2101</v>
      </c>
      <c r="C43" s="64" t="s">
        <v>87</v>
      </c>
      <c r="D43" s="65">
        <v>32</v>
      </c>
      <c r="E43" s="65">
        <v>-160</v>
      </c>
      <c r="F43" s="65">
        <v>160</v>
      </c>
      <c r="G43" s="68">
        <f>+IFERROR(VLOOKUP(A43,[2]Sheet5!$A$3:$D$1335,4,0),0)</f>
        <v>68.900000000000006</v>
      </c>
      <c r="H43" s="68">
        <f t="shared" si="0"/>
        <v>11.023999999999999</v>
      </c>
    </row>
    <row r="44" spans="1:8" s="72" customFormat="1" x14ac:dyDescent="0.3">
      <c r="A44" s="73" t="s">
        <v>2448</v>
      </c>
      <c r="B44" s="73"/>
      <c r="C44" s="73"/>
      <c r="D44" s="74"/>
      <c r="E44" s="74"/>
      <c r="F44" s="74"/>
      <c r="G44" s="74"/>
      <c r="H44" s="74">
        <f>SUM(H2:H43)</f>
        <v>912.26343499999973</v>
      </c>
    </row>
    <row r="45" spans="1:8" x14ac:dyDescent="0.3">
      <c r="A45" s="63" t="s">
        <v>669</v>
      </c>
      <c r="B45" s="64" t="s">
        <v>670</v>
      </c>
      <c r="C45" s="64" t="s">
        <v>666</v>
      </c>
      <c r="D45" s="65">
        <v>40</v>
      </c>
      <c r="E45" s="65">
        <v>-135</v>
      </c>
      <c r="F45" s="65">
        <v>135</v>
      </c>
      <c r="G45" s="68">
        <f>+IFERROR(VLOOKUP(A45,[2]Sheet5!$A$3:$D$1335,4,0),0)</f>
        <v>199.3</v>
      </c>
      <c r="H45" s="68">
        <f t="shared" si="0"/>
        <v>26.9055</v>
      </c>
    </row>
    <row r="46" spans="1:8" x14ac:dyDescent="0.3">
      <c r="A46" s="63" t="s">
        <v>681</v>
      </c>
      <c r="B46" s="64" t="s">
        <v>682</v>
      </c>
      <c r="C46" s="64" t="s">
        <v>666</v>
      </c>
      <c r="D46" s="65">
        <v>40</v>
      </c>
      <c r="E46" s="65">
        <v>-305</v>
      </c>
      <c r="F46" s="65">
        <v>305</v>
      </c>
      <c r="G46" s="68">
        <f>+IFERROR(VLOOKUP(A46,[2]Sheet5!$A$3:$D$1335,4,0),0)</f>
        <v>184.2</v>
      </c>
      <c r="H46" s="68">
        <f t="shared" si="0"/>
        <v>56.180999999999997</v>
      </c>
    </row>
    <row r="47" spans="1:8" x14ac:dyDescent="0.3">
      <c r="A47" s="63" t="s">
        <v>691</v>
      </c>
      <c r="B47" s="64" t="s">
        <v>692</v>
      </c>
      <c r="C47" s="64" t="s">
        <v>666</v>
      </c>
      <c r="D47" s="65">
        <v>80</v>
      </c>
      <c r="E47" s="65">
        <v>-196</v>
      </c>
      <c r="F47" s="65">
        <v>196</v>
      </c>
      <c r="G47" s="68">
        <f>+IFERROR(VLOOKUP(A47,[2]Sheet5!$A$3:$D$1335,4,0),0)</f>
        <v>116.99</v>
      </c>
      <c r="H47" s="68">
        <f t="shared" si="0"/>
        <v>22.930039999999998</v>
      </c>
    </row>
    <row r="48" spans="1:8" x14ac:dyDescent="0.3">
      <c r="A48" s="63" t="s">
        <v>727</v>
      </c>
      <c r="B48" s="64" t="s">
        <v>692</v>
      </c>
      <c r="C48" s="64" t="s">
        <v>666</v>
      </c>
      <c r="D48" s="65">
        <v>80</v>
      </c>
      <c r="E48" s="65">
        <v>-1130</v>
      </c>
      <c r="F48" s="65">
        <v>1130</v>
      </c>
      <c r="G48" s="68">
        <f>+IFERROR(VLOOKUP(A48,[2]Sheet5!$A$3:$D$1335,4,0),0)</f>
        <v>112</v>
      </c>
      <c r="H48" s="68">
        <f t="shared" si="0"/>
        <v>126.56</v>
      </c>
    </row>
    <row r="49" spans="1:8" x14ac:dyDescent="0.3">
      <c r="A49" s="63" t="s">
        <v>728</v>
      </c>
      <c r="B49" s="64" t="s">
        <v>694</v>
      </c>
      <c r="C49" s="64" t="s">
        <v>666</v>
      </c>
      <c r="D49" s="65">
        <v>50</v>
      </c>
      <c r="E49" s="65">
        <v>-970</v>
      </c>
      <c r="F49" s="65">
        <v>970</v>
      </c>
      <c r="G49" s="68">
        <f>+IFERROR(VLOOKUP(A49,[2]Sheet5!$A$3:$D$1335,4,0),0)</f>
        <v>172.8</v>
      </c>
      <c r="H49" s="68">
        <f t="shared" si="0"/>
        <v>167.61600000000001</v>
      </c>
    </row>
    <row r="50" spans="1:8" x14ac:dyDescent="0.3">
      <c r="A50" s="63" t="s">
        <v>729</v>
      </c>
      <c r="B50" s="64" t="s">
        <v>696</v>
      </c>
      <c r="C50" s="64" t="s">
        <v>666</v>
      </c>
      <c r="D50" s="65">
        <v>30</v>
      </c>
      <c r="E50" s="65">
        <v>-1116</v>
      </c>
      <c r="F50" s="65">
        <v>1116</v>
      </c>
      <c r="G50" s="68">
        <f>+IFERROR(VLOOKUP(A50,[2]Sheet5!$A$3:$D$1335,4,0),0)</f>
        <v>276.89999999999998</v>
      </c>
      <c r="H50" s="68">
        <f t="shared" si="0"/>
        <v>309.02039999999994</v>
      </c>
    </row>
    <row r="51" spans="1:8" x14ac:dyDescent="0.3">
      <c r="A51" s="63" t="s">
        <v>732</v>
      </c>
      <c r="B51" s="64" t="s">
        <v>733</v>
      </c>
      <c r="C51" s="64" t="s">
        <v>666</v>
      </c>
      <c r="D51" s="65">
        <v>200</v>
      </c>
      <c r="E51" s="65">
        <v>-1692</v>
      </c>
      <c r="F51" s="65">
        <v>1692</v>
      </c>
      <c r="G51" s="68">
        <f>+IFERROR(VLOOKUP(A51,[2]Sheet5!$A$3:$D$1335,4,0),0)</f>
        <v>56.949999999999996</v>
      </c>
      <c r="H51" s="68">
        <f t="shared" si="0"/>
        <v>96.359399999999994</v>
      </c>
    </row>
    <row r="52" spans="1:8" x14ac:dyDescent="0.3">
      <c r="A52" s="63" t="s">
        <v>736</v>
      </c>
      <c r="B52" s="64" t="s">
        <v>737</v>
      </c>
      <c r="C52" s="64" t="s">
        <v>666</v>
      </c>
      <c r="D52" s="65">
        <v>80</v>
      </c>
      <c r="E52" s="65">
        <v>-12699</v>
      </c>
      <c r="F52" s="65">
        <v>12699</v>
      </c>
      <c r="G52" s="68">
        <f>+IFERROR(VLOOKUP(A52,[2]Sheet5!$A$3:$D$1335,4,0),0)</f>
        <v>107.65</v>
      </c>
      <c r="H52" s="68">
        <f t="shared" si="0"/>
        <v>1367.0473500000001</v>
      </c>
    </row>
    <row r="53" spans="1:8" x14ac:dyDescent="0.3">
      <c r="A53" s="63" t="s">
        <v>738</v>
      </c>
      <c r="B53" s="64" t="s">
        <v>739</v>
      </c>
      <c r="C53" s="64" t="s">
        <v>666</v>
      </c>
      <c r="D53" s="65">
        <v>60</v>
      </c>
      <c r="E53" s="65">
        <v>-348</v>
      </c>
      <c r="F53" s="65">
        <v>348</v>
      </c>
      <c r="G53" s="68">
        <f>+IFERROR(VLOOKUP(A53,[2]Sheet5!$A$3:$D$1335,4,0),0)</f>
        <v>164</v>
      </c>
      <c r="H53" s="68">
        <f t="shared" si="0"/>
        <v>57.072000000000003</v>
      </c>
    </row>
    <row r="54" spans="1:8" x14ac:dyDescent="0.3">
      <c r="A54" s="63" t="s">
        <v>744</v>
      </c>
      <c r="B54" s="64" t="s">
        <v>745</v>
      </c>
      <c r="C54" s="64" t="s">
        <v>666</v>
      </c>
      <c r="D54" s="65">
        <v>500</v>
      </c>
      <c r="E54" s="65">
        <v>-6350</v>
      </c>
      <c r="F54" s="65">
        <v>6350</v>
      </c>
      <c r="G54" s="68">
        <f>+IFERROR(VLOOKUP(A54,[2]Sheet5!$A$3:$D$1335,4,0),0)</f>
        <v>20.75</v>
      </c>
      <c r="H54" s="68">
        <f t="shared" si="0"/>
        <v>131.76249999999999</v>
      </c>
    </row>
    <row r="55" spans="1:8" x14ac:dyDescent="0.3">
      <c r="A55" s="63" t="s">
        <v>746</v>
      </c>
      <c r="B55" s="64" t="s">
        <v>747</v>
      </c>
      <c r="C55" s="64" t="s">
        <v>666</v>
      </c>
      <c r="D55" s="65">
        <v>600</v>
      </c>
      <c r="E55" s="65">
        <v>-4150</v>
      </c>
      <c r="F55" s="65">
        <v>4150</v>
      </c>
      <c r="G55" s="68">
        <f>+IFERROR(VLOOKUP(A55,[2]Sheet5!$A$3:$D$1335,4,0),0)</f>
        <v>29.75</v>
      </c>
      <c r="H55" s="68">
        <f t="shared" si="0"/>
        <v>123.46250000000001</v>
      </c>
    </row>
    <row r="56" spans="1:8" x14ac:dyDescent="0.3">
      <c r="A56" s="63" t="s">
        <v>748</v>
      </c>
      <c r="B56" s="64" t="s">
        <v>749</v>
      </c>
      <c r="C56" s="64" t="s">
        <v>666</v>
      </c>
      <c r="D56" s="65">
        <v>300</v>
      </c>
      <c r="E56" s="65">
        <v>-8625</v>
      </c>
      <c r="F56" s="65">
        <v>8625</v>
      </c>
      <c r="G56" s="68">
        <f>+IFERROR(VLOOKUP(A56,[2]Sheet5!$A$3:$D$1335,4,0),0)</f>
        <v>47.5</v>
      </c>
      <c r="H56" s="68">
        <f t="shared" si="0"/>
        <v>409.6875</v>
      </c>
    </row>
    <row r="57" spans="1:8" x14ac:dyDescent="0.3">
      <c r="A57" s="63" t="s">
        <v>750</v>
      </c>
      <c r="B57" s="64" t="s">
        <v>751</v>
      </c>
      <c r="C57" s="64" t="s">
        <v>666</v>
      </c>
      <c r="D57" s="65">
        <v>200</v>
      </c>
      <c r="E57" s="65">
        <v>-494</v>
      </c>
      <c r="F57" s="65">
        <v>494</v>
      </c>
      <c r="G57" s="68">
        <f>+IFERROR(VLOOKUP(A57,[2]Sheet5!$A$3:$D$1335,4,0),0)</f>
        <v>70.349999999999994</v>
      </c>
      <c r="H57" s="68">
        <f t="shared" si="0"/>
        <v>34.752899999999997</v>
      </c>
    </row>
    <row r="58" spans="1:8" x14ac:dyDescent="0.3">
      <c r="A58" s="63" t="s">
        <v>752</v>
      </c>
      <c r="B58" s="64" t="s">
        <v>753</v>
      </c>
      <c r="C58" s="64" t="s">
        <v>666</v>
      </c>
      <c r="D58" s="65">
        <v>150</v>
      </c>
      <c r="E58" s="65">
        <v>-101</v>
      </c>
      <c r="F58" s="65">
        <v>101</v>
      </c>
      <c r="G58" s="68">
        <f>+IFERROR(VLOOKUP(A58,[2]Sheet5!$A$3:$D$1335,4,0),0)</f>
        <v>90.6</v>
      </c>
      <c r="H58" s="68">
        <f t="shared" si="0"/>
        <v>9.150599999999999</v>
      </c>
    </row>
    <row r="59" spans="1:8" x14ac:dyDescent="0.3">
      <c r="A59" s="63" t="s">
        <v>764</v>
      </c>
      <c r="B59" s="64" t="s">
        <v>765</v>
      </c>
      <c r="C59" s="64" t="s">
        <v>666</v>
      </c>
      <c r="D59" s="65">
        <v>300</v>
      </c>
      <c r="E59" s="65">
        <v>-9656</v>
      </c>
      <c r="F59" s="65">
        <v>9656</v>
      </c>
      <c r="G59" s="68">
        <f>+IFERROR(VLOOKUP(A59,[2]Sheet5!$A$3:$D$1335,4,0),0)</f>
        <v>29.5</v>
      </c>
      <c r="H59" s="68">
        <f t="shared" si="0"/>
        <v>284.85199999999998</v>
      </c>
    </row>
    <row r="60" spans="1:8" x14ac:dyDescent="0.3">
      <c r="A60" s="63" t="s">
        <v>768</v>
      </c>
      <c r="B60" s="64" t="s">
        <v>769</v>
      </c>
      <c r="C60" s="64" t="s">
        <v>666</v>
      </c>
      <c r="D60" s="65">
        <v>250</v>
      </c>
      <c r="E60" s="65">
        <v>-14565</v>
      </c>
      <c r="F60" s="65">
        <v>14565</v>
      </c>
      <c r="G60" s="68">
        <f>+IFERROR(VLOOKUP(A60,[2]Sheet5!$A$3:$D$1335,4,0),0)</f>
        <v>72.95</v>
      </c>
      <c r="H60" s="68">
        <f t="shared" si="0"/>
        <v>1062.51675</v>
      </c>
    </row>
    <row r="61" spans="1:8" x14ac:dyDescent="0.3">
      <c r="A61" s="63" t="s">
        <v>770</v>
      </c>
      <c r="B61" s="64" t="s">
        <v>771</v>
      </c>
      <c r="C61" s="64" t="s">
        <v>666</v>
      </c>
      <c r="D61" s="65">
        <v>150</v>
      </c>
      <c r="E61" s="65">
        <v>-833</v>
      </c>
      <c r="F61" s="65">
        <v>833</v>
      </c>
      <c r="G61" s="68">
        <f>+IFERROR(VLOOKUP(A61,[2]Sheet5!$A$3:$D$1335,4,0),0)</f>
        <v>111.3</v>
      </c>
      <c r="H61" s="68">
        <f t="shared" si="0"/>
        <v>92.712899999999991</v>
      </c>
    </row>
    <row r="62" spans="1:8" x14ac:dyDescent="0.3">
      <c r="A62" s="63" t="s">
        <v>772</v>
      </c>
      <c r="B62" s="64" t="s">
        <v>773</v>
      </c>
      <c r="C62" s="64" t="s">
        <v>666</v>
      </c>
      <c r="D62" s="65">
        <v>100</v>
      </c>
      <c r="E62" s="65">
        <v>-144</v>
      </c>
      <c r="F62" s="65">
        <v>144</v>
      </c>
      <c r="G62" s="68">
        <f>+IFERROR(VLOOKUP(A62,[2]Sheet5!$A$3:$D$1335,4,0),0)</f>
        <v>146.5</v>
      </c>
      <c r="H62" s="68">
        <f t="shared" si="0"/>
        <v>21.096</v>
      </c>
    </row>
    <row r="63" spans="1:8" x14ac:dyDescent="0.3">
      <c r="A63" s="63" t="s">
        <v>782</v>
      </c>
      <c r="B63" s="64" t="s">
        <v>783</v>
      </c>
      <c r="C63" s="64" t="s">
        <v>666</v>
      </c>
      <c r="D63" s="65">
        <v>400</v>
      </c>
      <c r="E63" s="65">
        <v>-7689</v>
      </c>
      <c r="F63" s="65">
        <v>7689</v>
      </c>
      <c r="G63" s="68">
        <f>+IFERROR(VLOOKUP(A63,[2]Sheet5!$A$3:$D$1335,4,0),0)</f>
        <v>41.7</v>
      </c>
      <c r="H63" s="68">
        <f t="shared" si="0"/>
        <v>320.63130000000007</v>
      </c>
    </row>
    <row r="64" spans="1:8" x14ac:dyDescent="0.3">
      <c r="A64" s="63" t="s">
        <v>786</v>
      </c>
      <c r="B64" s="64" t="s">
        <v>787</v>
      </c>
      <c r="C64" s="64" t="s">
        <v>666</v>
      </c>
      <c r="D64" s="65">
        <v>150</v>
      </c>
      <c r="E64" s="65">
        <v>-15320</v>
      </c>
      <c r="F64" s="65">
        <v>15320</v>
      </c>
      <c r="G64" s="68">
        <f>+IFERROR(VLOOKUP(A64,[2]Sheet5!$A$3:$D$1335,4,0),0)</f>
        <v>94</v>
      </c>
      <c r="H64" s="68">
        <f t="shared" si="0"/>
        <v>1440.08</v>
      </c>
    </row>
    <row r="65" spans="1:8" x14ac:dyDescent="0.3">
      <c r="A65" s="63" t="s">
        <v>790</v>
      </c>
      <c r="B65" s="64" t="s">
        <v>791</v>
      </c>
      <c r="C65" s="64" t="s">
        <v>666</v>
      </c>
      <c r="D65" s="65">
        <v>50</v>
      </c>
      <c r="E65" s="65">
        <v>-147</v>
      </c>
      <c r="F65" s="65">
        <v>147</v>
      </c>
      <c r="G65" s="68">
        <f>+IFERROR(VLOOKUP(A65,[2]Sheet5!$A$3:$D$1335,4,0),0)</f>
        <v>194</v>
      </c>
      <c r="H65" s="68">
        <f t="shared" si="0"/>
        <v>28.518000000000001</v>
      </c>
    </row>
    <row r="66" spans="1:8" x14ac:dyDescent="0.3">
      <c r="A66" s="63" t="s">
        <v>802</v>
      </c>
      <c r="B66" s="64" t="s">
        <v>803</v>
      </c>
      <c r="C66" s="64" t="s">
        <v>666</v>
      </c>
      <c r="D66" s="65">
        <v>150</v>
      </c>
      <c r="E66" s="65">
        <v>-947</v>
      </c>
      <c r="F66" s="65">
        <v>947</v>
      </c>
      <c r="G66" s="68">
        <f>+IFERROR(VLOOKUP(A66,[2]Sheet5!$A$3:$D$1335,4,0),0)</f>
        <v>29</v>
      </c>
      <c r="H66" s="68">
        <f t="shared" si="0"/>
        <v>27.463000000000001</v>
      </c>
    </row>
    <row r="67" spans="1:8" x14ac:dyDescent="0.3">
      <c r="A67" s="63" t="s">
        <v>810</v>
      </c>
      <c r="B67" s="64" t="s">
        <v>811</v>
      </c>
      <c r="C67" s="64" t="s">
        <v>666</v>
      </c>
      <c r="D67" s="65">
        <v>30</v>
      </c>
      <c r="E67" s="65">
        <v>-165</v>
      </c>
      <c r="F67" s="65">
        <v>165</v>
      </c>
      <c r="G67" s="68">
        <f>+IFERROR(VLOOKUP(A67,[2]Sheet5!$A$3:$D$1335,4,0),0)</f>
        <v>96</v>
      </c>
      <c r="H67" s="68">
        <f t="shared" ref="H67:H130" si="1">+F67*G67/1000</f>
        <v>15.84</v>
      </c>
    </row>
    <row r="68" spans="1:8" x14ac:dyDescent="0.3">
      <c r="A68" s="63" t="s">
        <v>814</v>
      </c>
      <c r="B68" s="64" t="s">
        <v>815</v>
      </c>
      <c r="C68" s="64" t="s">
        <v>666</v>
      </c>
      <c r="D68" s="65">
        <v>200</v>
      </c>
      <c r="E68" s="65">
        <v>-397</v>
      </c>
      <c r="F68" s="65">
        <v>397</v>
      </c>
      <c r="G68" s="68">
        <f>+IFERROR(VLOOKUP(A68,[2]Sheet5!$A$3:$D$1335,4,0),0)</f>
        <v>26.62</v>
      </c>
      <c r="H68" s="68">
        <f t="shared" si="1"/>
        <v>10.568140000000001</v>
      </c>
    </row>
    <row r="69" spans="1:8" x14ac:dyDescent="0.3">
      <c r="A69" s="63" t="s">
        <v>816</v>
      </c>
      <c r="B69" s="64" t="s">
        <v>817</v>
      </c>
      <c r="C69" s="64" t="s">
        <v>666</v>
      </c>
      <c r="D69" s="65">
        <v>150</v>
      </c>
      <c r="E69" s="65">
        <v>-75</v>
      </c>
      <c r="F69" s="65">
        <v>75</v>
      </c>
      <c r="G69" s="68">
        <f>+IFERROR(VLOOKUP(A69,[2]Sheet5!$A$3:$D$1335,4,0),0)</f>
        <v>29</v>
      </c>
      <c r="H69" s="68">
        <f t="shared" si="1"/>
        <v>2.1749999999999998</v>
      </c>
    </row>
    <row r="70" spans="1:8" x14ac:dyDescent="0.3">
      <c r="A70" s="63" t="s">
        <v>818</v>
      </c>
      <c r="B70" s="64" t="s">
        <v>819</v>
      </c>
      <c r="C70" s="64" t="s">
        <v>666</v>
      </c>
      <c r="D70" s="65">
        <v>75</v>
      </c>
      <c r="E70" s="65">
        <v>-919</v>
      </c>
      <c r="F70" s="65">
        <v>919</v>
      </c>
      <c r="G70" s="68">
        <f>+IFERROR(VLOOKUP(A70,[2]Sheet5!$A$3:$D$1335,4,0),0)</f>
        <v>57</v>
      </c>
      <c r="H70" s="68">
        <f t="shared" si="1"/>
        <v>52.383000000000003</v>
      </c>
    </row>
    <row r="71" spans="1:8" x14ac:dyDescent="0.3">
      <c r="A71" s="63" t="s">
        <v>820</v>
      </c>
      <c r="B71" s="64" t="s">
        <v>821</v>
      </c>
      <c r="C71" s="64" t="s">
        <v>666</v>
      </c>
      <c r="D71" s="65">
        <v>40</v>
      </c>
      <c r="E71" s="65">
        <v>-253</v>
      </c>
      <c r="F71" s="65">
        <v>253</v>
      </c>
      <c r="G71" s="68">
        <f>+IFERROR(VLOOKUP(A71,[2]Sheet5!$A$3:$D$1335,4,0),0)</f>
        <v>80.2</v>
      </c>
      <c r="H71" s="68">
        <f t="shared" si="1"/>
        <v>20.290600000000001</v>
      </c>
    </row>
    <row r="72" spans="1:8" x14ac:dyDescent="0.3">
      <c r="A72" s="63" t="s">
        <v>836</v>
      </c>
      <c r="B72" s="64" t="s">
        <v>837</v>
      </c>
      <c r="C72" s="64" t="s">
        <v>666</v>
      </c>
      <c r="D72" s="65">
        <v>120</v>
      </c>
      <c r="E72" s="65">
        <v>-384</v>
      </c>
      <c r="F72" s="65">
        <v>384</v>
      </c>
      <c r="G72" s="68">
        <f>+IFERROR(VLOOKUP(A72,[2]Sheet5!$A$3:$D$1335,4,0),0)</f>
        <v>68.7</v>
      </c>
      <c r="H72" s="68">
        <f t="shared" si="1"/>
        <v>26.380800000000004</v>
      </c>
    </row>
    <row r="73" spans="1:8" x14ac:dyDescent="0.3">
      <c r="A73" s="63" t="s">
        <v>850</v>
      </c>
      <c r="B73" s="64" t="s">
        <v>851</v>
      </c>
      <c r="C73" s="64" t="s">
        <v>666</v>
      </c>
      <c r="D73" s="65">
        <v>400</v>
      </c>
      <c r="E73" s="65">
        <v>-131</v>
      </c>
      <c r="F73" s="65">
        <v>131</v>
      </c>
      <c r="G73" s="68">
        <f>+IFERROR(VLOOKUP(A73,[2]Sheet5!$A$3:$D$1335,4,0),0)</f>
        <v>23</v>
      </c>
      <c r="H73" s="68">
        <f t="shared" si="1"/>
        <v>3.0129999999999999</v>
      </c>
    </row>
    <row r="74" spans="1:8" x14ac:dyDescent="0.3">
      <c r="A74" s="63" t="s">
        <v>854</v>
      </c>
      <c r="B74" s="64" t="s">
        <v>855</v>
      </c>
      <c r="C74" s="64" t="s">
        <v>666</v>
      </c>
      <c r="D74" s="65">
        <v>120</v>
      </c>
      <c r="E74" s="65">
        <v>-22</v>
      </c>
      <c r="F74" s="65">
        <v>22</v>
      </c>
      <c r="G74" s="68">
        <f>+IFERROR(VLOOKUP(A74,[2]Sheet5!$A$3:$D$1335,4,0),0)</f>
        <v>59.75</v>
      </c>
      <c r="H74" s="68">
        <f t="shared" si="1"/>
        <v>1.3145</v>
      </c>
    </row>
    <row r="75" spans="1:8" x14ac:dyDescent="0.3">
      <c r="A75" s="63" t="s">
        <v>886</v>
      </c>
      <c r="B75" s="64" t="s">
        <v>887</v>
      </c>
      <c r="C75" s="64" t="s">
        <v>666</v>
      </c>
      <c r="D75" s="65">
        <v>50</v>
      </c>
      <c r="E75" s="65">
        <v>-202</v>
      </c>
      <c r="F75" s="65">
        <v>202</v>
      </c>
      <c r="G75" s="68">
        <f>+IFERROR(VLOOKUP(A75,[2]Sheet5!$A$3:$D$1335,4,0),0)</f>
        <v>78.5</v>
      </c>
      <c r="H75" s="68">
        <f t="shared" si="1"/>
        <v>15.856999999999999</v>
      </c>
    </row>
    <row r="76" spans="1:8" x14ac:dyDescent="0.3">
      <c r="A76" s="63" t="s">
        <v>888</v>
      </c>
      <c r="B76" s="64" t="s">
        <v>889</v>
      </c>
      <c r="C76" s="64" t="s">
        <v>666</v>
      </c>
      <c r="D76" s="65">
        <v>40</v>
      </c>
      <c r="E76" s="65">
        <v>-316</v>
      </c>
      <c r="F76" s="65">
        <v>316</v>
      </c>
      <c r="G76" s="68">
        <f>+IFERROR(VLOOKUP(A76,[2]Sheet5!$A$3:$D$1335,4,0),0)</f>
        <v>111.1</v>
      </c>
      <c r="H76" s="68">
        <f t="shared" si="1"/>
        <v>35.107599999999998</v>
      </c>
    </row>
    <row r="77" spans="1:8" x14ac:dyDescent="0.3">
      <c r="A77" s="63" t="s">
        <v>894</v>
      </c>
      <c r="B77" s="64" t="s">
        <v>895</v>
      </c>
      <c r="C77" s="64" t="s">
        <v>666</v>
      </c>
      <c r="D77" s="65">
        <v>50</v>
      </c>
      <c r="E77" s="65">
        <v>-7855</v>
      </c>
      <c r="F77" s="65">
        <v>7855</v>
      </c>
      <c r="G77" s="68">
        <f>+IFERROR(VLOOKUP(A77,[2]Sheet5!$A$3:$D$1335,4,0),0)</f>
        <v>76.5</v>
      </c>
      <c r="H77" s="68">
        <f t="shared" si="1"/>
        <v>600.90750000000003</v>
      </c>
    </row>
    <row r="78" spans="1:8" x14ac:dyDescent="0.3">
      <c r="A78" s="63" t="s">
        <v>902</v>
      </c>
      <c r="B78" s="64" t="s">
        <v>903</v>
      </c>
      <c r="C78" s="64" t="s">
        <v>666</v>
      </c>
      <c r="D78" s="65">
        <v>150</v>
      </c>
      <c r="E78" s="65">
        <v>-262</v>
      </c>
      <c r="F78" s="65">
        <v>262</v>
      </c>
      <c r="G78" s="68">
        <f>+IFERROR(VLOOKUP(A78,[2]Sheet5!$A$3:$D$1335,4,0),0)</f>
        <v>49.77</v>
      </c>
      <c r="H78" s="68">
        <f t="shared" si="1"/>
        <v>13.039740000000002</v>
      </c>
    </row>
    <row r="79" spans="1:8" x14ac:dyDescent="0.3">
      <c r="A79" s="63" t="s">
        <v>904</v>
      </c>
      <c r="B79" s="64" t="s">
        <v>308</v>
      </c>
      <c r="C79" s="64" t="s">
        <v>666</v>
      </c>
      <c r="D79" s="65">
        <v>100</v>
      </c>
      <c r="E79" s="65">
        <v>-373</v>
      </c>
      <c r="F79" s="65">
        <v>373</v>
      </c>
      <c r="G79" s="68">
        <f>+IFERROR(VLOOKUP(A79,[2]Sheet5!$A$3:$D$1335,4,0),0)</f>
        <v>67.150000000000006</v>
      </c>
      <c r="H79" s="68">
        <f t="shared" si="1"/>
        <v>25.046950000000002</v>
      </c>
    </row>
    <row r="80" spans="1:8" x14ac:dyDescent="0.3">
      <c r="A80" s="63" t="s">
        <v>905</v>
      </c>
      <c r="B80" s="64" t="s">
        <v>316</v>
      </c>
      <c r="C80" s="64" t="s">
        <v>666</v>
      </c>
      <c r="D80" s="65">
        <v>50</v>
      </c>
      <c r="E80" s="65">
        <v>-111</v>
      </c>
      <c r="F80" s="65">
        <v>111</v>
      </c>
      <c r="G80" s="68">
        <f>+IFERROR(VLOOKUP(A80,[2]Sheet5!$A$3:$D$1335,4,0),0)</f>
        <v>109.5</v>
      </c>
      <c r="H80" s="68">
        <f t="shared" si="1"/>
        <v>12.154500000000001</v>
      </c>
    </row>
    <row r="81" spans="1:8" x14ac:dyDescent="0.3">
      <c r="A81" s="63" t="s">
        <v>908</v>
      </c>
      <c r="B81" s="64" t="s">
        <v>909</v>
      </c>
      <c r="C81" s="64" t="s">
        <v>666</v>
      </c>
      <c r="D81" s="65">
        <v>75</v>
      </c>
      <c r="E81" s="65">
        <v>-1062</v>
      </c>
      <c r="F81" s="65">
        <v>1062</v>
      </c>
      <c r="G81" s="68">
        <f>+IFERROR(VLOOKUP(A81,[2]Sheet5!$A$3:$D$1335,4,0),0)</f>
        <v>62.62</v>
      </c>
      <c r="H81" s="68">
        <f t="shared" si="1"/>
        <v>66.502440000000007</v>
      </c>
    </row>
    <row r="82" spans="1:8" x14ac:dyDescent="0.3">
      <c r="A82" s="63" t="s">
        <v>910</v>
      </c>
      <c r="B82" s="64" t="s">
        <v>911</v>
      </c>
      <c r="C82" s="64" t="s">
        <v>666</v>
      </c>
      <c r="D82" s="65">
        <v>100</v>
      </c>
      <c r="E82" s="65">
        <v>-518</v>
      </c>
      <c r="F82" s="65">
        <v>518</v>
      </c>
      <c r="G82" s="68">
        <f>+IFERROR(VLOOKUP(A82,[2]Sheet5!$A$3:$D$1335,4,0),0)</f>
        <v>89.75</v>
      </c>
      <c r="H82" s="68">
        <f t="shared" si="1"/>
        <v>46.490499999999997</v>
      </c>
    </row>
    <row r="83" spans="1:8" x14ac:dyDescent="0.3">
      <c r="A83" s="63" t="s">
        <v>916</v>
      </c>
      <c r="B83" s="64" t="s">
        <v>917</v>
      </c>
      <c r="C83" s="64" t="s">
        <v>666</v>
      </c>
      <c r="D83" s="65">
        <v>150</v>
      </c>
      <c r="E83" s="65">
        <v>-591</v>
      </c>
      <c r="F83" s="65">
        <v>591</v>
      </c>
      <c r="G83" s="68">
        <f>+IFERROR(VLOOKUP(A83,[2]Sheet5!$A$3:$D$1335,4,0),0)</f>
        <v>62</v>
      </c>
      <c r="H83" s="68">
        <f t="shared" si="1"/>
        <v>36.642000000000003</v>
      </c>
    </row>
    <row r="84" spans="1:8" x14ac:dyDescent="0.3">
      <c r="A84" s="63" t="s">
        <v>920</v>
      </c>
      <c r="B84" s="64" t="s">
        <v>921</v>
      </c>
      <c r="C84" s="64" t="s">
        <v>666</v>
      </c>
      <c r="D84" s="65">
        <v>75</v>
      </c>
      <c r="E84" s="65">
        <v>-518</v>
      </c>
      <c r="F84" s="65">
        <v>518</v>
      </c>
      <c r="G84" s="68">
        <f>+IFERROR(VLOOKUP(A84,[2]Sheet5!$A$3:$D$1335,4,0),0)</f>
        <v>66.75</v>
      </c>
      <c r="H84" s="68">
        <f t="shared" si="1"/>
        <v>34.576500000000003</v>
      </c>
    </row>
    <row r="85" spans="1:8" x14ac:dyDescent="0.3">
      <c r="A85" s="63" t="s">
        <v>924</v>
      </c>
      <c r="B85" s="64" t="s">
        <v>925</v>
      </c>
      <c r="C85" s="64" t="s">
        <v>666</v>
      </c>
      <c r="D85" s="65">
        <v>150</v>
      </c>
      <c r="E85" s="65">
        <v>-1963</v>
      </c>
      <c r="F85" s="65">
        <v>1963</v>
      </c>
      <c r="G85" s="68">
        <f>+IFERROR(VLOOKUP(A85,[2]Sheet5!$A$3:$D$1335,4,0),0)</f>
        <v>49.25</v>
      </c>
      <c r="H85" s="68">
        <f t="shared" si="1"/>
        <v>96.677750000000003</v>
      </c>
    </row>
    <row r="86" spans="1:8" x14ac:dyDescent="0.3">
      <c r="A86" s="63" t="s">
        <v>926</v>
      </c>
      <c r="B86" s="64" t="s">
        <v>927</v>
      </c>
      <c r="C86" s="64" t="s">
        <v>666</v>
      </c>
      <c r="D86" s="65">
        <v>100</v>
      </c>
      <c r="E86" s="65">
        <v>-43</v>
      </c>
      <c r="F86" s="65">
        <v>43</v>
      </c>
      <c r="G86" s="68">
        <f>+IFERROR(VLOOKUP(A86,[2]Sheet5!$A$3:$D$1335,4,0),0)</f>
        <v>46.25</v>
      </c>
      <c r="H86" s="68">
        <f t="shared" si="1"/>
        <v>1.98875</v>
      </c>
    </row>
    <row r="87" spans="1:8" x14ac:dyDescent="0.3">
      <c r="A87" s="63" t="s">
        <v>950</v>
      </c>
      <c r="B87" s="64" t="s">
        <v>951</v>
      </c>
      <c r="C87" s="64" t="s">
        <v>666</v>
      </c>
      <c r="D87" s="65">
        <v>100</v>
      </c>
      <c r="E87" s="65">
        <v>-107</v>
      </c>
      <c r="F87" s="65">
        <v>107</v>
      </c>
      <c r="G87" s="68">
        <f>+IFERROR(VLOOKUP(A87,[2]Sheet5!$A$3:$D$1335,4,0),0)</f>
        <v>41</v>
      </c>
      <c r="H87" s="68">
        <f t="shared" si="1"/>
        <v>4.3869999999999996</v>
      </c>
    </row>
    <row r="88" spans="1:8" x14ac:dyDescent="0.3">
      <c r="A88" s="63" t="s">
        <v>962</v>
      </c>
      <c r="B88" s="64" t="s">
        <v>963</v>
      </c>
      <c r="C88" s="64" t="s">
        <v>666</v>
      </c>
      <c r="D88" s="65">
        <v>250</v>
      </c>
      <c r="E88" s="65">
        <v>-338</v>
      </c>
      <c r="F88" s="65">
        <v>338</v>
      </c>
      <c r="G88" s="68">
        <f>+IFERROR(VLOOKUP(A88,[2]Sheet5!$A$3:$D$1335,4,0),0)</f>
        <v>28</v>
      </c>
      <c r="H88" s="68">
        <f t="shared" si="1"/>
        <v>9.4640000000000004</v>
      </c>
    </row>
    <row r="89" spans="1:8" x14ac:dyDescent="0.3">
      <c r="A89" s="63" t="s">
        <v>964</v>
      </c>
      <c r="B89" s="64" t="s">
        <v>965</v>
      </c>
      <c r="C89" s="64" t="s">
        <v>666</v>
      </c>
      <c r="D89" s="65">
        <v>200</v>
      </c>
      <c r="E89" s="65">
        <v>-235</v>
      </c>
      <c r="F89" s="65">
        <v>235</v>
      </c>
      <c r="G89" s="68">
        <f>+IFERROR(VLOOKUP(A89,[2]Sheet5!$A$3:$D$1335,4,0),0)</f>
        <v>56.45</v>
      </c>
      <c r="H89" s="68">
        <f t="shared" si="1"/>
        <v>13.265750000000001</v>
      </c>
    </row>
    <row r="90" spans="1:8" x14ac:dyDescent="0.3">
      <c r="A90" s="63" t="s">
        <v>970</v>
      </c>
      <c r="B90" s="64" t="s">
        <v>971</v>
      </c>
      <c r="C90" s="64" t="s">
        <v>666</v>
      </c>
      <c r="D90" s="65">
        <v>100</v>
      </c>
      <c r="E90" s="65">
        <v>-65</v>
      </c>
      <c r="F90" s="65">
        <v>65</v>
      </c>
      <c r="G90" s="68">
        <f>+IFERROR(VLOOKUP(A90,[2]Sheet5!$A$3:$D$1335,4,0),0)</f>
        <v>90.5</v>
      </c>
      <c r="H90" s="68">
        <f t="shared" si="1"/>
        <v>5.8825000000000003</v>
      </c>
    </row>
    <row r="91" spans="1:8" x14ac:dyDescent="0.3">
      <c r="A91" s="63" t="s">
        <v>996</v>
      </c>
      <c r="B91" s="64" t="s">
        <v>997</v>
      </c>
      <c r="C91" s="64" t="s">
        <v>666</v>
      </c>
      <c r="D91" s="65">
        <v>200</v>
      </c>
      <c r="E91" s="65">
        <v>-2559</v>
      </c>
      <c r="F91" s="65">
        <v>2559</v>
      </c>
      <c r="G91" s="68">
        <f>+IFERROR(VLOOKUP(A91,[2]Sheet5!$A$3:$D$1335,4,0),0)</f>
        <v>44.6</v>
      </c>
      <c r="H91" s="68">
        <f t="shared" si="1"/>
        <v>114.13140000000001</v>
      </c>
    </row>
    <row r="92" spans="1:8" x14ac:dyDescent="0.3">
      <c r="A92" s="63" t="s">
        <v>1018</v>
      </c>
      <c r="B92" s="64" t="s">
        <v>1019</v>
      </c>
      <c r="C92" s="64" t="s">
        <v>666</v>
      </c>
      <c r="D92" s="65">
        <v>32</v>
      </c>
      <c r="E92" s="65">
        <v>-32</v>
      </c>
      <c r="F92" s="65">
        <v>32</v>
      </c>
      <c r="G92" s="68">
        <f>+IFERROR(VLOOKUP(A92,[2]Sheet5!$A$3:$D$1335,4,0),0)</f>
        <v>73.8</v>
      </c>
      <c r="H92" s="68">
        <f t="shared" si="1"/>
        <v>2.3615999999999997</v>
      </c>
    </row>
    <row r="93" spans="1:8" x14ac:dyDescent="0.3">
      <c r="A93" s="63" t="s">
        <v>1070</v>
      </c>
      <c r="B93" s="64" t="s">
        <v>1071</v>
      </c>
      <c r="C93" s="64" t="s">
        <v>666</v>
      </c>
      <c r="D93" s="65">
        <v>30</v>
      </c>
      <c r="E93" s="65">
        <v>-68</v>
      </c>
      <c r="F93" s="65">
        <v>68</v>
      </c>
      <c r="G93" s="68">
        <f>+IFERROR(VLOOKUP(A93,[2]Sheet5!$A$3:$D$1335,4,0),0)</f>
        <v>267</v>
      </c>
      <c r="H93" s="68">
        <f t="shared" si="1"/>
        <v>18.155999999999999</v>
      </c>
    </row>
    <row r="94" spans="1:8" x14ac:dyDescent="0.3">
      <c r="A94" s="63" t="s">
        <v>1106</v>
      </c>
      <c r="B94" s="64" t="s">
        <v>1107</v>
      </c>
      <c r="C94" s="64" t="s">
        <v>666</v>
      </c>
      <c r="D94" s="65">
        <v>50</v>
      </c>
      <c r="E94" s="65">
        <v>-100</v>
      </c>
      <c r="F94" s="65">
        <v>100</v>
      </c>
      <c r="G94" s="68">
        <f>+IFERROR(VLOOKUP(A94,[2]Sheet5!$A$3:$D$1335,4,0),0)</f>
        <v>221.45</v>
      </c>
      <c r="H94" s="68">
        <f t="shared" si="1"/>
        <v>22.145</v>
      </c>
    </row>
    <row r="95" spans="1:8" x14ac:dyDescent="0.3">
      <c r="A95" s="63" t="s">
        <v>1114</v>
      </c>
      <c r="B95" s="64" t="s">
        <v>1115</v>
      </c>
      <c r="C95" s="64" t="s">
        <v>666</v>
      </c>
      <c r="D95" s="65">
        <v>80</v>
      </c>
      <c r="E95" s="65">
        <v>-553</v>
      </c>
      <c r="F95" s="65">
        <v>553</v>
      </c>
      <c r="G95" s="68">
        <f>+IFERROR(VLOOKUP(A95,[2]Sheet5!$A$3:$D$1335,4,0),0)</f>
        <v>70.8</v>
      </c>
      <c r="H95" s="68">
        <f t="shared" si="1"/>
        <v>39.1524</v>
      </c>
    </row>
    <row r="96" spans="1:8" x14ac:dyDescent="0.3">
      <c r="A96" s="63" t="s">
        <v>1122</v>
      </c>
      <c r="B96" s="64" t="s">
        <v>1123</v>
      </c>
      <c r="C96" s="64" t="s">
        <v>666</v>
      </c>
      <c r="D96" s="65">
        <v>60</v>
      </c>
      <c r="E96" s="65">
        <v>-341</v>
      </c>
      <c r="F96" s="65">
        <v>341</v>
      </c>
      <c r="G96" s="68">
        <f>+IFERROR(VLOOKUP(A96,[2]Sheet5!$A$3:$D$1335,4,0),0)</f>
        <v>128</v>
      </c>
      <c r="H96" s="68">
        <f t="shared" si="1"/>
        <v>43.648000000000003</v>
      </c>
    </row>
    <row r="97" spans="1:8" x14ac:dyDescent="0.3">
      <c r="A97" s="63" t="s">
        <v>1126</v>
      </c>
      <c r="B97" s="64" t="s">
        <v>1127</v>
      </c>
      <c r="C97" s="64" t="s">
        <v>666</v>
      </c>
      <c r="D97" s="65">
        <v>60</v>
      </c>
      <c r="E97" s="65">
        <v>-53</v>
      </c>
      <c r="F97" s="65">
        <v>53</v>
      </c>
      <c r="G97" s="68">
        <f>+IFERROR(VLOOKUP(A97,[2]Sheet5!$A$3:$D$1335,4,0),0)</f>
        <v>129.5</v>
      </c>
      <c r="H97" s="68">
        <f t="shared" si="1"/>
        <v>6.8635000000000002</v>
      </c>
    </row>
    <row r="98" spans="1:8" x14ac:dyDescent="0.3">
      <c r="A98" s="63" t="s">
        <v>1132</v>
      </c>
      <c r="B98" s="64" t="s">
        <v>1133</v>
      </c>
      <c r="C98" s="64" t="s">
        <v>666</v>
      </c>
      <c r="D98" s="65">
        <v>30</v>
      </c>
      <c r="E98" s="65">
        <v>-20</v>
      </c>
      <c r="F98" s="65">
        <v>20</v>
      </c>
      <c r="G98" s="68">
        <f>+IFERROR(VLOOKUP(A98,[2]Sheet5!$A$3:$D$1335,4,0),0)</f>
        <v>186.5</v>
      </c>
      <c r="H98" s="68">
        <f t="shared" si="1"/>
        <v>3.73</v>
      </c>
    </row>
    <row r="99" spans="1:8" x14ac:dyDescent="0.3">
      <c r="A99" s="63" t="s">
        <v>1142</v>
      </c>
      <c r="B99" s="64" t="s">
        <v>1143</v>
      </c>
      <c r="C99" s="64" t="s">
        <v>666</v>
      </c>
      <c r="D99" s="65">
        <v>50</v>
      </c>
      <c r="E99" s="65">
        <v>-50</v>
      </c>
      <c r="F99" s="65">
        <v>50</v>
      </c>
      <c r="G99" s="68">
        <f>+IFERROR(VLOOKUP(A99,[2]Sheet5!$A$3:$D$1335,4,0),0)</f>
        <v>226.85</v>
      </c>
      <c r="H99" s="68">
        <f t="shared" si="1"/>
        <v>11.342499999999999</v>
      </c>
    </row>
    <row r="100" spans="1:8" x14ac:dyDescent="0.3">
      <c r="A100" s="67" t="s">
        <v>2034</v>
      </c>
      <c r="B100" s="68" t="s">
        <v>2035</v>
      </c>
      <c r="C100" s="64" t="s">
        <v>666</v>
      </c>
      <c r="D100" s="65">
        <v>100</v>
      </c>
      <c r="E100" s="65">
        <v>-200</v>
      </c>
      <c r="F100" s="65">
        <v>200</v>
      </c>
      <c r="G100" s="68">
        <f>+IFERROR(VLOOKUP(A100,[2]Sheet5!$A$3:$D$1335,4,0),0)</f>
        <v>147.05000000000001</v>
      </c>
      <c r="H100" s="68">
        <f t="shared" si="1"/>
        <v>29.410000000000004</v>
      </c>
    </row>
    <row r="101" spans="1:8" x14ac:dyDescent="0.3">
      <c r="A101" s="73" t="s">
        <v>2449</v>
      </c>
      <c r="B101" s="73"/>
      <c r="C101" s="73"/>
      <c r="D101" s="74"/>
      <c r="E101" s="74"/>
      <c r="F101" s="74"/>
      <c r="G101" s="74"/>
      <c r="H101" s="74">
        <f>SUM(H45:H100)</f>
        <v>7657.2735600000005</v>
      </c>
    </row>
    <row r="102" spans="1:8" x14ac:dyDescent="0.3">
      <c r="A102" s="63" t="s">
        <v>1509</v>
      </c>
      <c r="B102" s="64" t="s">
        <v>1510</v>
      </c>
      <c r="C102" s="64" t="s">
        <v>1476</v>
      </c>
      <c r="D102" s="65">
        <v>4</v>
      </c>
      <c r="E102" s="65">
        <v>-8</v>
      </c>
      <c r="F102" s="65">
        <v>8</v>
      </c>
      <c r="G102" s="68">
        <f>+IFERROR(VLOOKUP(A102,[2]Sheet5!$A$3:$D$1335,4,0),0)</f>
        <v>1513</v>
      </c>
      <c r="H102" s="68">
        <f t="shared" si="1"/>
        <v>12.103999999999999</v>
      </c>
    </row>
    <row r="103" spans="1:8" x14ac:dyDescent="0.3">
      <c r="A103" s="63" t="s">
        <v>1513</v>
      </c>
      <c r="B103" s="64" t="s">
        <v>1514</v>
      </c>
      <c r="C103" s="64" t="s">
        <v>1476</v>
      </c>
      <c r="D103" s="65">
        <v>90</v>
      </c>
      <c r="E103" s="65">
        <v>-183</v>
      </c>
      <c r="F103" s="65">
        <v>183</v>
      </c>
      <c r="G103" s="68">
        <f>+IFERROR(VLOOKUP(A103,[2]Sheet5!$A$3:$D$1335,4,0),0)</f>
        <v>141</v>
      </c>
      <c r="H103" s="68">
        <f t="shared" si="1"/>
        <v>25.803000000000001</v>
      </c>
    </row>
    <row r="104" spans="1:8" x14ac:dyDescent="0.3">
      <c r="A104" s="63">
        <v>5102</v>
      </c>
      <c r="B104" s="64" t="s">
        <v>1547</v>
      </c>
      <c r="C104" s="64" t="s">
        <v>1476</v>
      </c>
      <c r="D104" s="65">
        <v>1000</v>
      </c>
      <c r="E104" s="65">
        <v>-300</v>
      </c>
      <c r="F104" s="65">
        <v>300</v>
      </c>
      <c r="G104" s="68">
        <f>+IFERROR(VLOOKUP(A104,[2]Sheet5!$A$3:$D$1335,4,0),0)</f>
        <v>6</v>
      </c>
      <c r="H104" s="68">
        <f t="shared" si="1"/>
        <v>1.8</v>
      </c>
    </row>
    <row r="105" spans="1:8" x14ac:dyDescent="0.3">
      <c r="A105" s="63">
        <v>5104</v>
      </c>
      <c r="B105" s="64" t="s">
        <v>1548</v>
      </c>
      <c r="C105" s="64" t="s">
        <v>1476</v>
      </c>
      <c r="D105" s="65">
        <v>1000</v>
      </c>
      <c r="E105" s="65">
        <v>-200</v>
      </c>
      <c r="F105" s="65">
        <v>200</v>
      </c>
      <c r="G105" s="68">
        <f>+IFERROR(VLOOKUP(A105,[2]Sheet5!$A$3:$D$1335,4,0),0)</f>
        <v>13</v>
      </c>
      <c r="H105" s="68">
        <f t="shared" si="1"/>
        <v>2.6</v>
      </c>
    </row>
    <row r="106" spans="1:8" x14ac:dyDescent="0.3">
      <c r="A106" s="63">
        <v>5110</v>
      </c>
      <c r="B106" s="64" t="s">
        <v>1550</v>
      </c>
      <c r="C106" s="64" t="s">
        <v>1476</v>
      </c>
      <c r="D106" s="65">
        <v>25</v>
      </c>
      <c r="E106" s="65">
        <v>-6602</v>
      </c>
      <c r="F106" s="65">
        <v>6602</v>
      </c>
      <c r="G106" s="68">
        <f>+IFERROR(VLOOKUP(A106,[2]Sheet5!$A$3:$D$1335,4,0),0)</f>
        <v>322</v>
      </c>
      <c r="H106" s="68">
        <f t="shared" si="1"/>
        <v>2125.8440000000001</v>
      </c>
    </row>
    <row r="107" spans="1:8" x14ac:dyDescent="0.3">
      <c r="A107" s="63">
        <v>5111</v>
      </c>
      <c r="B107" s="64" t="s">
        <v>1551</v>
      </c>
      <c r="C107" s="64" t="s">
        <v>1476</v>
      </c>
      <c r="D107" s="65">
        <v>20</v>
      </c>
      <c r="E107" s="65">
        <v>-5895</v>
      </c>
      <c r="F107" s="65">
        <v>5895</v>
      </c>
      <c r="G107" s="68">
        <f>+IFERROR(VLOOKUP(A107,[2]Sheet5!$A$3:$D$1335,4,0),0)</f>
        <v>420.6</v>
      </c>
      <c r="H107" s="68">
        <f t="shared" si="1"/>
        <v>2479.4369999999999</v>
      </c>
    </row>
    <row r="108" spans="1:8" x14ac:dyDescent="0.3">
      <c r="A108" s="63">
        <v>5112</v>
      </c>
      <c r="B108" s="64" t="s">
        <v>1552</v>
      </c>
      <c r="C108" s="64" t="s">
        <v>1476</v>
      </c>
      <c r="D108" s="65">
        <v>18</v>
      </c>
      <c r="E108" s="65">
        <v>-1224</v>
      </c>
      <c r="F108" s="65">
        <v>1224</v>
      </c>
      <c r="G108" s="68">
        <f>+IFERROR(VLOOKUP(A108,[2]Sheet5!$A$3:$D$1335,4,0),0)</f>
        <v>408.5</v>
      </c>
      <c r="H108" s="68">
        <f t="shared" si="1"/>
        <v>500.00400000000002</v>
      </c>
    </row>
    <row r="109" spans="1:8" x14ac:dyDescent="0.3">
      <c r="A109" s="67">
        <v>5115</v>
      </c>
      <c r="B109" s="68" t="s">
        <v>1554</v>
      </c>
      <c r="C109" s="64" t="s">
        <v>1476</v>
      </c>
      <c r="D109" s="65">
        <v>15</v>
      </c>
      <c r="E109" s="65">
        <v>-25</v>
      </c>
      <c r="F109" s="65">
        <v>25</v>
      </c>
      <c r="G109" s="68">
        <f>+IFERROR(VLOOKUP(A109,[2]Sheet5!$A$3:$D$1335,4,0),0)</f>
        <v>401.8</v>
      </c>
      <c r="H109" s="68">
        <f t="shared" si="1"/>
        <v>10.045</v>
      </c>
    </row>
    <row r="110" spans="1:8" x14ac:dyDescent="0.3">
      <c r="A110" s="63">
        <v>5121</v>
      </c>
      <c r="B110" s="64" t="s">
        <v>1555</v>
      </c>
      <c r="C110" s="64" t="s">
        <v>1476</v>
      </c>
      <c r="D110" s="65">
        <v>36</v>
      </c>
      <c r="E110" s="65">
        <v>-56</v>
      </c>
      <c r="F110" s="65">
        <v>56</v>
      </c>
      <c r="G110" s="68">
        <f>+IFERROR(VLOOKUP(A110,[2]Sheet5!$A$3:$D$1335,4,0),0)</f>
        <v>281</v>
      </c>
      <c r="H110" s="68">
        <f t="shared" si="1"/>
        <v>15.736000000000001</v>
      </c>
    </row>
    <row r="111" spans="1:8" x14ac:dyDescent="0.3">
      <c r="A111" s="63">
        <v>5133</v>
      </c>
      <c r="B111" s="64" t="s">
        <v>1559</v>
      </c>
      <c r="C111" s="64" t="s">
        <v>1476</v>
      </c>
      <c r="D111" s="65">
        <v>15</v>
      </c>
      <c r="E111" s="65">
        <v>-568</v>
      </c>
      <c r="F111" s="65">
        <v>568</v>
      </c>
      <c r="G111" s="68">
        <f>+IFERROR(VLOOKUP(A111,[2]Sheet5!$A$3:$D$1335,4,0),0)</f>
        <v>532</v>
      </c>
      <c r="H111" s="68">
        <f t="shared" si="1"/>
        <v>302.17599999999999</v>
      </c>
    </row>
    <row r="112" spans="1:8" x14ac:dyDescent="0.3">
      <c r="A112" s="63">
        <v>5141</v>
      </c>
      <c r="B112" s="64" t="s">
        <v>1561</v>
      </c>
      <c r="C112" s="64" t="s">
        <v>1476</v>
      </c>
      <c r="D112" s="65">
        <v>10</v>
      </c>
      <c r="E112" s="65">
        <v>-1416</v>
      </c>
      <c r="F112" s="65">
        <v>1416</v>
      </c>
      <c r="G112" s="68">
        <f>+IFERROR(VLOOKUP(A112,[2]Sheet5!$A$3:$D$1335,4,0),0)</f>
        <v>669</v>
      </c>
      <c r="H112" s="68">
        <f t="shared" si="1"/>
        <v>947.30399999999997</v>
      </c>
    </row>
    <row r="113" spans="1:8" x14ac:dyDescent="0.3">
      <c r="A113" s="63">
        <v>5143</v>
      </c>
      <c r="B113" s="64" t="s">
        <v>1563</v>
      </c>
      <c r="C113" s="64" t="s">
        <v>1476</v>
      </c>
      <c r="D113" s="65">
        <v>10</v>
      </c>
      <c r="E113" s="65">
        <v>-20</v>
      </c>
      <c r="F113" s="65">
        <v>20</v>
      </c>
      <c r="G113" s="68">
        <f>+IFERROR(VLOOKUP(A113,[2]Sheet5!$A$3:$D$1335,4,0),0)</f>
        <v>0</v>
      </c>
      <c r="H113" s="68">
        <f t="shared" si="1"/>
        <v>0</v>
      </c>
    </row>
    <row r="114" spans="1:8" x14ac:dyDescent="0.3">
      <c r="A114" s="63">
        <v>5157</v>
      </c>
      <c r="B114" s="64" t="s">
        <v>1570</v>
      </c>
      <c r="C114" s="64" t="s">
        <v>1476</v>
      </c>
      <c r="D114" s="65">
        <v>60</v>
      </c>
      <c r="E114" s="65">
        <v>-783</v>
      </c>
      <c r="F114" s="65">
        <v>783</v>
      </c>
      <c r="G114" s="68">
        <f>+IFERROR(VLOOKUP(A114,[2]Sheet5!$A$3:$D$1335,4,0),0)</f>
        <v>225.3</v>
      </c>
      <c r="H114" s="68">
        <f t="shared" si="1"/>
        <v>176.40990000000002</v>
      </c>
    </row>
    <row r="115" spans="1:8" x14ac:dyDescent="0.3">
      <c r="A115" s="63">
        <v>5161</v>
      </c>
      <c r="B115" s="64" t="s">
        <v>1572</v>
      </c>
      <c r="C115" s="64" t="s">
        <v>1476</v>
      </c>
      <c r="D115" s="65">
        <v>108</v>
      </c>
      <c r="E115" s="65">
        <v>-484</v>
      </c>
      <c r="F115" s="65">
        <v>484</v>
      </c>
      <c r="G115" s="68">
        <f>+IFERROR(VLOOKUP(A115,[2]Sheet5!$A$3:$D$1335,4,0),0)</f>
        <v>76.099999999999994</v>
      </c>
      <c r="H115" s="68">
        <f t="shared" si="1"/>
        <v>36.832399999999993</v>
      </c>
    </row>
    <row r="116" spans="1:8" x14ac:dyDescent="0.3">
      <c r="A116" s="63">
        <v>5162</v>
      </c>
      <c r="B116" s="64" t="s">
        <v>1573</v>
      </c>
      <c r="C116" s="64" t="s">
        <v>1476</v>
      </c>
      <c r="D116" s="65">
        <v>150</v>
      </c>
      <c r="E116" s="65">
        <v>-7380</v>
      </c>
      <c r="F116" s="65">
        <v>7380</v>
      </c>
      <c r="G116" s="68">
        <f>+IFERROR(VLOOKUP(A116,[2]Sheet5!$A$3:$D$1335,4,0),0)</f>
        <v>55</v>
      </c>
      <c r="H116" s="68">
        <f t="shared" si="1"/>
        <v>405.9</v>
      </c>
    </row>
    <row r="117" spans="1:8" x14ac:dyDescent="0.3">
      <c r="A117" s="63">
        <v>5163</v>
      </c>
      <c r="B117" s="64" t="s">
        <v>1574</v>
      </c>
      <c r="C117" s="64" t="s">
        <v>1476</v>
      </c>
      <c r="D117" s="65">
        <v>24</v>
      </c>
      <c r="E117" s="65">
        <v>-236</v>
      </c>
      <c r="F117" s="65">
        <v>236</v>
      </c>
      <c r="G117" s="68">
        <f>+IFERROR(VLOOKUP(A117,[2]Sheet5!$A$3:$D$1335,4,0),0)</f>
        <v>423</v>
      </c>
      <c r="H117" s="68">
        <f t="shared" si="1"/>
        <v>99.828000000000003</v>
      </c>
    </row>
    <row r="118" spans="1:8" x14ac:dyDescent="0.3">
      <c r="A118" s="63">
        <v>5164</v>
      </c>
      <c r="B118" s="64" t="s">
        <v>1577</v>
      </c>
      <c r="C118" s="64" t="s">
        <v>1476</v>
      </c>
      <c r="D118" s="65">
        <v>150</v>
      </c>
      <c r="E118" s="65">
        <v>-600</v>
      </c>
      <c r="F118" s="65">
        <v>600</v>
      </c>
      <c r="G118" s="68">
        <f>+IFERROR(VLOOKUP(A118,[2]Sheet5!$A$3:$D$1335,4,0),0)</f>
        <v>82.3</v>
      </c>
      <c r="H118" s="68">
        <f t="shared" si="1"/>
        <v>49.38</v>
      </c>
    </row>
    <row r="119" spans="1:8" x14ac:dyDescent="0.3">
      <c r="A119" s="63">
        <v>5171</v>
      </c>
      <c r="B119" s="64" t="s">
        <v>1578</v>
      </c>
      <c r="C119" s="64" t="s">
        <v>1476</v>
      </c>
      <c r="D119" s="65">
        <v>10</v>
      </c>
      <c r="E119" s="65">
        <v>-98</v>
      </c>
      <c r="F119" s="65">
        <v>98</v>
      </c>
      <c r="G119" s="68">
        <f>+IFERROR(VLOOKUP(A119,[2]Sheet5!$A$3:$D$1335,4,0),0)</f>
        <v>802</v>
      </c>
      <c r="H119" s="68">
        <f t="shared" si="1"/>
        <v>78.596000000000004</v>
      </c>
    </row>
    <row r="120" spans="1:8" x14ac:dyDescent="0.3">
      <c r="A120" s="63">
        <v>5173</v>
      </c>
      <c r="B120" s="64" t="s">
        <v>1580</v>
      </c>
      <c r="C120" s="64" t="s">
        <v>1476</v>
      </c>
      <c r="D120" s="65">
        <v>10</v>
      </c>
      <c r="E120" s="65">
        <v>-58</v>
      </c>
      <c r="F120" s="65">
        <v>58</v>
      </c>
      <c r="G120" s="68">
        <f>+IFERROR(VLOOKUP(A120,[2]Sheet5!$A$3:$D$1335,4,0),0)</f>
        <v>960</v>
      </c>
      <c r="H120" s="68">
        <f t="shared" si="1"/>
        <v>55.68</v>
      </c>
    </row>
    <row r="121" spans="1:8" x14ac:dyDescent="0.3">
      <c r="A121" s="63">
        <v>5710</v>
      </c>
      <c r="B121" s="64" t="s">
        <v>1581</v>
      </c>
      <c r="C121" s="64" t="s">
        <v>1476</v>
      </c>
      <c r="D121" s="65">
        <v>75</v>
      </c>
      <c r="E121" s="65">
        <v>-80</v>
      </c>
      <c r="F121" s="65">
        <v>80</v>
      </c>
      <c r="G121" s="68">
        <f>+IFERROR(VLOOKUP(A121,[2]Sheet5!$A$3:$D$1335,4,0),0)</f>
        <v>165</v>
      </c>
      <c r="H121" s="68">
        <f t="shared" si="1"/>
        <v>13.2</v>
      </c>
    </row>
    <row r="122" spans="1:8" x14ac:dyDescent="0.3">
      <c r="A122" s="63">
        <v>5741</v>
      </c>
      <c r="B122" s="64" t="s">
        <v>1592</v>
      </c>
      <c r="C122" s="64" t="s">
        <v>1476</v>
      </c>
      <c r="D122" s="65">
        <v>32</v>
      </c>
      <c r="E122" s="65">
        <v>-431</v>
      </c>
      <c r="F122" s="65">
        <v>431</v>
      </c>
      <c r="G122" s="68">
        <f>+IFERROR(VLOOKUP(A122,[2]Sheet5!$A$3:$D$1335,4,0),0)</f>
        <v>319</v>
      </c>
      <c r="H122" s="68">
        <f t="shared" si="1"/>
        <v>137.489</v>
      </c>
    </row>
    <row r="123" spans="1:8" x14ac:dyDescent="0.3">
      <c r="A123" s="63">
        <v>5761</v>
      </c>
      <c r="B123" s="64" t="s">
        <v>1601</v>
      </c>
      <c r="C123" s="64" t="s">
        <v>1476</v>
      </c>
      <c r="D123" s="65">
        <v>266</v>
      </c>
      <c r="E123" s="65">
        <v>-3917</v>
      </c>
      <c r="F123" s="65">
        <v>3917</v>
      </c>
      <c r="G123" s="68">
        <f>+IFERROR(VLOOKUP(A123,[2]Sheet5!$A$3:$D$1335,4,0),0)</f>
        <v>38.6</v>
      </c>
      <c r="H123" s="68">
        <f t="shared" si="1"/>
        <v>151.1962</v>
      </c>
    </row>
    <row r="124" spans="1:8" x14ac:dyDescent="0.3">
      <c r="A124" s="63">
        <v>5762</v>
      </c>
      <c r="B124" s="64" t="s">
        <v>1602</v>
      </c>
      <c r="C124" s="64" t="s">
        <v>1476</v>
      </c>
      <c r="D124" s="65">
        <v>200</v>
      </c>
      <c r="E124" s="65">
        <v>-12667</v>
      </c>
      <c r="F124" s="65">
        <v>12667</v>
      </c>
      <c r="G124" s="68">
        <f>+IFERROR(VLOOKUP(A124,[2]Sheet5!$A$3:$D$1335,4,0),0)</f>
        <v>42.3</v>
      </c>
      <c r="H124" s="68">
        <f t="shared" si="1"/>
        <v>535.81409999999994</v>
      </c>
    </row>
    <row r="125" spans="1:8" x14ac:dyDescent="0.3">
      <c r="A125" s="63">
        <v>5763</v>
      </c>
      <c r="B125" s="64" t="s">
        <v>1603</v>
      </c>
      <c r="C125" s="64" t="s">
        <v>1476</v>
      </c>
      <c r="D125" s="65">
        <v>36</v>
      </c>
      <c r="E125" s="65">
        <v>-1044</v>
      </c>
      <c r="F125" s="65">
        <v>1044</v>
      </c>
      <c r="G125" s="68">
        <f>+IFERROR(VLOOKUP(A125,[2]Sheet5!$A$3:$D$1335,4,0),0)</f>
        <v>344</v>
      </c>
      <c r="H125" s="68">
        <f t="shared" si="1"/>
        <v>359.13600000000002</v>
      </c>
    </row>
    <row r="126" spans="1:8" x14ac:dyDescent="0.3">
      <c r="A126" s="63">
        <v>5771</v>
      </c>
      <c r="B126" s="64" t="s">
        <v>1607</v>
      </c>
      <c r="C126" s="64" t="s">
        <v>1476</v>
      </c>
      <c r="D126" s="65">
        <v>10</v>
      </c>
      <c r="E126" s="65">
        <v>-710</v>
      </c>
      <c r="F126" s="65">
        <v>710</v>
      </c>
      <c r="G126" s="68">
        <f>+IFERROR(VLOOKUP(A126,[2]Sheet5!$A$3:$D$1335,4,0),0)</f>
        <v>896</v>
      </c>
      <c r="H126" s="68">
        <f t="shared" si="1"/>
        <v>636.16</v>
      </c>
    </row>
    <row r="127" spans="1:8" x14ac:dyDescent="0.3">
      <c r="A127" s="63">
        <v>5773</v>
      </c>
      <c r="B127" s="64" t="s">
        <v>1609</v>
      </c>
      <c r="C127" s="64" t="s">
        <v>1476</v>
      </c>
      <c r="D127" s="65">
        <v>8</v>
      </c>
      <c r="E127" s="65">
        <v>-51</v>
      </c>
      <c r="F127" s="65">
        <v>51</v>
      </c>
      <c r="G127" s="68">
        <f>+IFERROR(VLOOKUP(A127,[2]Sheet5!$A$3:$D$1335,4,0),0)</f>
        <v>1054</v>
      </c>
      <c r="H127" s="68">
        <f t="shared" si="1"/>
        <v>53.753999999999998</v>
      </c>
    </row>
    <row r="128" spans="1:8" x14ac:dyDescent="0.3">
      <c r="A128" s="63">
        <v>5933</v>
      </c>
      <c r="B128" s="64" t="s">
        <v>1540</v>
      </c>
      <c r="C128" s="64" t="s">
        <v>1476</v>
      </c>
      <c r="D128" s="65">
        <v>20</v>
      </c>
      <c r="E128" s="65">
        <v>-40</v>
      </c>
      <c r="F128" s="65">
        <v>40</v>
      </c>
      <c r="G128" s="68">
        <f>+IFERROR(VLOOKUP(A128,[2]Sheet5!$A$3:$D$1335,4,0),0)</f>
        <v>368</v>
      </c>
      <c r="H128" s="68">
        <f t="shared" si="1"/>
        <v>14.72</v>
      </c>
    </row>
    <row r="129" spans="1:8" x14ac:dyDescent="0.3">
      <c r="A129" s="63" t="s">
        <v>1634</v>
      </c>
      <c r="B129" s="64" t="s">
        <v>1635</v>
      </c>
      <c r="C129" s="64" t="s">
        <v>1476</v>
      </c>
      <c r="D129" s="65">
        <v>28</v>
      </c>
      <c r="E129" s="65">
        <v>-252</v>
      </c>
      <c r="F129" s="65">
        <v>252</v>
      </c>
      <c r="G129" s="68">
        <f>+IFERROR(VLOOKUP(A129,[2]Sheet5!$A$3:$D$1335,4,0),0)</f>
        <v>404</v>
      </c>
      <c r="H129" s="68">
        <f t="shared" si="1"/>
        <v>101.80800000000001</v>
      </c>
    </row>
    <row r="130" spans="1:8" x14ac:dyDescent="0.3">
      <c r="A130" s="63">
        <v>5963</v>
      </c>
      <c r="B130" s="64" t="s">
        <v>1636</v>
      </c>
      <c r="C130" s="64" t="s">
        <v>1476</v>
      </c>
      <c r="D130" s="65">
        <v>28</v>
      </c>
      <c r="E130" s="65">
        <v>-21</v>
      </c>
      <c r="F130" s="65">
        <v>21</v>
      </c>
      <c r="G130" s="68">
        <f>+IFERROR(VLOOKUP(A130,[2]Sheet5!$A$3:$D$1335,4,0),0)</f>
        <v>404</v>
      </c>
      <c r="H130" s="68">
        <f t="shared" si="1"/>
        <v>8.484</v>
      </c>
    </row>
    <row r="131" spans="1:8" x14ac:dyDescent="0.3">
      <c r="A131" s="67">
        <v>5792</v>
      </c>
      <c r="B131" s="68" t="s">
        <v>2083</v>
      </c>
      <c r="C131" s="64" t="s">
        <v>1476</v>
      </c>
      <c r="D131" s="65">
        <v>25</v>
      </c>
      <c r="E131" s="65">
        <v>-416</v>
      </c>
      <c r="F131" s="65">
        <v>416</v>
      </c>
      <c r="G131" s="68">
        <f>+IFERROR(VLOOKUP(A131,[2]Sheet5!$A$3:$D$1335,4,0),0)</f>
        <v>473</v>
      </c>
      <c r="H131" s="68">
        <f t="shared" ref="H131:H174" si="2">+F131*G131/1000</f>
        <v>196.768</v>
      </c>
    </row>
    <row r="132" spans="1:8" x14ac:dyDescent="0.3">
      <c r="A132" s="67">
        <v>5793</v>
      </c>
      <c r="B132" s="68" t="s">
        <v>2200</v>
      </c>
      <c r="C132" s="64" t="s">
        <v>1476</v>
      </c>
      <c r="D132" s="65">
        <v>18</v>
      </c>
      <c r="E132" s="65">
        <v>-500</v>
      </c>
      <c r="F132" s="65">
        <v>500</v>
      </c>
      <c r="G132" s="68">
        <f>+IFERROR(VLOOKUP(A132,[2]Sheet5!$A$3:$D$1335,4,0),0)</f>
        <v>269.7</v>
      </c>
      <c r="H132" s="68">
        <f t="shared" si="2"/>
        <v>134.85</v>
      </c>
    </row>
    <row r="133" spans="1:8" x14ac:dyDescent="0.3">
      <c r="A133" s="63">
        <v>5106</v>
      </c>
      <c r="B133" s="64" t="s">
        <v>2236</v>
      </c>
      <c r="C133" s="64" t="s">
        <v>1476</v>
      </c>
      <c r="D133" s="65">
        <v>120</v>
      </c>
      <c r="E133" s="65">
        <v>-1134</v>
      </c>
      <c r="F133" s="65">
        <v>1134</v>
      </c>
      <c r="G133" s="68">
        <f>+IFERROR(VLOOKUP(A133,[2]Sheet5!$A$3:$D$1335,4,0),0)</f>
        <v>76</v>
      </c>
      <c r="H133" s="68">
        <f t="shared" si="2"/>
        <v>86.183999999999997</v>
      </c>
    </row>
    <row r="134" spans="1:8" x14ac:dyDescent="0.3">
      <c r="A134" s="63">
        <v>5606</v>
      </c>
      <c r="B134" s="64" t="s">
        <v>2237</v>
      </c>
      <c r="C134" s="64" t="s">
        <v>1476</v>
      </c>
      <c r="D134" s="65">
        <v>32</v>
      </c>
      <c r="E134" s="65">
        <v>-841</v>
      </c>
      <c r="F134" s="65">
        <v>841</v>
      </c>
      <c r="G134" s="68">
        <f>+IFERROR(VLOOKUP(A134,[2]Sheet5!$A$3:$D$1335,4,0),0)</f>
        <v>296</v>
      </c>
      <c r="H134" s="68">
        <f t="shared" si="2"/>
        <v>248.93600000000001</v>
      </c>
    </row>
    <row r="135" spans="1:8" x14ac:dyDescent="0.3">
      <c r="A135" s="63">
        <v>4763</v>
      </c>
      <c r="B135" s="67" t="s">
        <v>2268</v>
      </c>
      <c r="C135" s="64" t="s">
        <v>1476</v>
      </c>
      <c r="D135" s="65">
        <v>40</v>
      </c>
      <c r="E135" s="65">
        <v>-19</v>
      </c>
      <c r="F135" s="65">
        <v>19</v>
      </c>
      <c r="G135" s="68">
        <f>+IFERROR(VLOOKUP(A135,[2]Sheet5!$A$3:$D$1335,4,0),0)</f>
        <v>311</v>
      </c>
      <c r="H135" s="68">
        <f t="shared" si="2"/>
        <v>5.9089999999999998</v>
      </c>
    </row>
    <row r="136" spans="1:8" x14ac:dyDescent="0.3">
      <c r="A136" s="63">
        <v>4507</v>
      </c>
      <c r="B136" s="67" t="s">
        <v>2269</v>
      </c>
      <c r="C136" s="64" t="s">
        <v>1476</v>
      </c>
      <c r="D136" s="65">
        <v>40</v>
      </c>
      <c r="E136" s="65">
        <v>-20</v>
      </c>
      <c r="F136" s="65">
        <v>20</v>
      </c>
      <c r="G136" s="68">
        <f>+IFERROR(VLOOKUP(A136,[2]Sheet5!$A$3:$D$1335,4,0),0)</f>
        <v>0</v>
      </c>
      <c r="H136" s="68">
        <f t="shared" si="2"/>
        <v>0</v>
      </c>
    </row>
    <row r="137" spans="1:8" x14ac:dyDescent="0.3">
      <c r="A137" s="73" t="s">
        <v>2450</v>
      </c>
      <c r="B137" s="73"/>
      <c r="C137" s="73"/>
      <c r="D137" s="74"/>
      <c r="E137" s="74"/>
      <c r="F137" s="74"/>
      <c r="G137" s="74"/>
      <c r="H137" s="74">
        <f>SUM(H102:H136)</f>
        <v>10009.8876</v>
      </c>
    </row>
    <row r="138" spans="1:8" x14ac:dyDescent="0.3">
      <c r="A138" s="63" t="s">
        <v>1731</v>
      </c>
      <c r="B138" s="64" t="s">
        <v>1732</v>
      </c>
      <c r="C138" s="64" t="s">
        <v>1726</v>
      </c>
      <c r="D138" s="65">
        <v>75</v>
      </c>
      <c r="E138" s="65">
        <v>-583</v>
      </c>
      <c r="F138" s="65">
        <v>583</v>
      </c>
      <c r="G138" s="68">
        <f>+IFERROR(VLOOKUP(A138,[2]Sheet5!$A$3:$D$1335,4,0),0)</f>
        <v>155</v>
      </c>
      <c r="H138" s="68">
        <f t="shared" si="2"/>
        <v>90.364999999999995</v>
      </c>
    </row>
    <row r="139" spans="1:8" x14ac:dyDescent="0.3">
      <c r="A139" s="63" t="s">
        <v>1733</v>
      </c>
      <c r="B139" s="64" t="s">
        <v>1734</v>
      </c>
      <c r="C139" s="64" t="s">
        <v>1726</v>
      </c>
      <c r="D139" s="65">
        <v>50</v>
      </c>
      <c r="E139" s="65">
        <v>-270</v>
      </c>
      <c r="F139" s="65">
        <v>270</v>
      </c>
      <c r="G139" s="68">
        <f>+IFERROR(VLOOKUP(A139,[2]Sheet5!$A$3:$D$1335,4,0),0)</f>
        <v>242</v>
      </c>
      <c r="H139" s="68">
        <f t="shared" si="2"/>
        <v>65.34</v>
      </c>
    </row>
    <row r="140" spans="1:8" x14ac:dyDescent="0.3">
      <c r="A140" s="63" t="s">
        <v>1735</v>
      </c>
      <c r="B140" s="64" t="s">
        <v>1736</v>
      </c>
      <c r="C140" s="64" t="s">
        <v>1726</v>
      </c>
      <c r="D140" s="65">
        <v>400</v>
      </c>
      <c r="E140" s="65">
        <v>-105</v>
      </c>
      <c r="F140" s="65">
        <v>105</v>
      </c>
      <c r="G140" s="68">
        <f>+IFERROR(VLOOKUP(A140,[2]Sheet5!$A$3:$D$1335,4,0),0)</f>
        <v>33.700000000000003</v>
      </c>
      <c r="H140" s="68">
        <f t="shared" si="2"/>
        <v>3.5385000000000004</v>
      </c>
    </row>
    <row r="141" spans="1:8" x14ac:dyDescent="0.3">
      <c r="A141" s="63" t="s">
        <v>1745</v>
      </c>
      <c r="B141" s="64" t="s">
        <v>1746</v>
      </c>
      <c r="C141" s="64" t="s">
        <v>1726</v>
      </c>
      <c r="D141" s="65">
        <v>50</v>
      </c>
      <c r="E141" s="65">
        <v>-63</v>
      </c>
      <c r="F141" s="65">
        <v>63</v>
      </c>
      <c r="G141" s="68">
        <f>+IFERROR(VLOOKUP(A141,[2]Sheet5!$A$3:$D$1335,4,0),0)</f>
        <v>295.60000000000002</v>
      </c>
      <c r="H141" s="68">
        <f t="shared" si="2"/>
        <v>18.622800000000002</v>
      </c>
    </row>
    <row r="142" spans="1:8" x14ac:dyDescent="0.3">
      <c r="A142" s="63" t="s">
        <v>1749</v>
      </c>
      <c r="B142" s="64" t="s">
        <v>1750</v>
      </c>
      <c r="C142" s="64" t="s">
        <v>1726</v>
      </c>
      <c r="D142" s="65">
        <v>22</v>
      </c>
      <c r="E142" s="65">
        <v>-14</v>
      </c>
      <c r="F142" s="65">
        <v>14</v>
      </c>
      <c r="G142" s="68">
        <f>+IFERROR(VLOOKUP(A142,[2]Sheet5!$A$3:$D$1335,4,0),0)</f>
        <v>543.5</v>
      </c>
      <c r="H142" s="68">
        <f t="shared" si="2"/>
        <v>7.609</v>
      </c>
    </row>
    <row r="143" spans="1:8" x14ac:dyDescent="0.3">
      <c r="A143" s="63" t="s">
        <v>1753</v>
      </c>
      <c r="B143" s="64" t="s">
        <v>1754</v>
      </c>
      <c r="C143" s="64" t="s">
        <v>1726</v>
      </c>
      <c r="D143" s="65">
        <v>5</v>
      </c>
      <c r="E143" s="65">
        <v>-3</v>
      </c>
      <c r="F143" s="65">
        <v>3</v>
      </c>
      <c r="G143" s="68">
        <f>+IFERROR(VLOOKUP(A143,[2]Sheet5!$A$3:$D$1335,4,0),0)</f>
        <v>1576</v>
      </c>
      <c r="H143" s="68">
        <f t="shared" si="2"/>
        <v>4.7279999999999998</v>
      </c>
    </row>
    <row r="144" spans="1:8" x14ac:dyDescent="0.3">
      <c r="A144" s="63" t="s">
        <v>1767</v>
      </c>
      <c r="B144" s="64" t="s">
        <v>1768</v>
      </c>
      <c r="C144" s="64" t="s">
        <v>1726</v>
      </c>
      <c r="D144" s="65">
        <v>40</v>
      </c>
      <c r="E144" s="65">
        <v>-182</v>
      </c>
      <c r="F144" s="65">
        <v>182</v>
      </c>
      <c r="G144" s="68">
        <f>+IFERROR(VLOOKUP(A144,[2]Sheet5!$A$3:$D$1335,4,0),0)</f>
        <v>200.2</v>
      </c>
      <c r="H144" s="68">
        <f t="shared" si="2"/>
        <v>36.436399999999999</v>
      </c>
    </row>
    <row r="145" spans="1:8" x14ac:dyDescent="0.3">
      <c r="A145" s="63" t="s">
        <v>1771</v>
      </c>
      <c r="B145" s="64" t="s">
        <v>1772</v>
      </c>
      <c r="C145" s="64" t="s">
        <v>1726</v>
      </c>
      <c r="D145" s="65">
        <v>25</v>
      </c>
      <c r="E145" s="65">
        <v>-252</v>
      </c>
      <c r="F145" s="65">
        <v>252</v>
      </c>
      <c r="G145" s="68">
        <f>+IFERROR(VLOOKUP(A145,[2]Sheet5!$A$3:$D$1335,4,0),0)</f>
        <v>461</v>
      </c>
      <c r="H145" s="68">
        <f t="shared" si="2"/>
        <v>116.172</v>
      </c>
    </row>
    <row r="146" spans="1:8" x14ac:dyDescent="0.3">
      <c r="A146" s="63" t="s">
        <v>1783</v>
      </c>
      <c r="B146" s="64" t="s">
        <v>1784</v>
      </c>
      <c r="C146" s="64" t="s">
        <v>1726</v>
      </c>
      <c r="D146" s="65">
        <v>120</v>
      </c>
      <c r="E146" s="65">
        <v>-930</v>
      </c>
      <c r="F146" s="65">
        <v>930</v>
      </c>
      <c r="G146" s="68">
        <f>+IFERROR(VLOOKUP(A146,[2]Sheet5!$A$3:$D$1335,4,0),0)</f>
        <v>128.5</v>
      </c>
      <c r="H146" s="68">
        <f t="shared" si="2"/>
        <v>119.505</v>
      </c>
    </row>
    <row r="147" spans="1:8" x14ac:dyDescent="0.3">
      <c r="A147" s="63" t="s">
        <v>1789</v>
      </c>
      <c r="B147" s="64" t="s">
        <v>1790</v>
      </c>
      <c r="C147" s="64" t="s">
        <v>1726</v>
      </c>
      <c r="D147" s="65">
        <v>25</v>
      </c>
      <c r="E147" s="65">
        <v>-841</v>
      </c>
      <c r="F147" s="65">
        <v>841</v>
      </c>
      <c r="G147" s="68">
        <f>+IFERROR(VLOOKUP(A147,[2]Sheet5!$A$3:$D$1335,4,0),0)</f>
        <v>463</v>
      </c>
      <c r="H147" s="68">
        <f t="shared" si="2"/>
        <v>389.38299999999998</v>
      </c>
    </row>
    <row r="148" spans="1:8" x14ac:dyDescent="0.3">
      <c r="A148" s="63" t="s">
        <v>1791</v>
      </c>
      <c r="B148" s="64" t="s">
        <v>1792</v>
      </c>
      <c r="C148" s="64" t="s">
        <v>1726</v>
      </c>
      <c r="D148" s="65">
        <v>250</v>
      </c>
      <c r="E148" s="65">
        <v>-2419</v>
      </c>
      <c r="F148" s="65">
        <v>2419</v>
      </c>
      <c r="G148" s="68">
        <f>+IFERROR(VLOOKUP(A148,[2]Sheet5!$A$3:$D$1335,4,0),0)</f>
        <v>61.5</v>
      </c>
      <c r="H148" s="68">
        <f t="shared" si="2"/>
        <v>148.76849999999999</v>
      </c>
    </row>
    <row r="149" spans="1:8" x14ac:dyDescent="0.3">
      <c r="A149" s="63" t="s">
        <v>1797</v>
      </c>
      <c r="B149" s="64" t="s">
        <v>1798</v>
      </c>
      <c r="C149" s="64" t="s">
        <v>1726</v>
      </c>
      <c r="D149" s="65">
        <v>70</v>
      </c>
      <c r="E149" s="65">
        <v>-163</v>
      </c>
      <c r="F149" s="65">
        <v>163</v>
      </c>
      <c r="G149" s="68">
        <f>+IFERROR(VLOOKUP(A149,[2]Sheet5!$A$3:$D$1335,4,0),0)</f>
        <v>232.8</v>
      </c>
      <c r="H149" s="68">
        <f t="shared" si="2"/>
        <v>37.946400000000004</v>
      </c>
    </row>
    <row r="150" spans="1:8" x14ac:dyDescent="0.3">
      <c r="A150" s="63" t="s">
        <v>1801</v>
      </c>
      <c r="B150" s="64" t="s">
        <v>1802</v>
      </c>
      <c r="C150" s="64" t="s">
        <v>1726</v>
      </c>
      <c r="D150" s="65">
        <v>24</v>
      </c>
      <c r="E150" s="65">
        <v>-435</v>
      </c>
      <c r="F150" s="65">
        <v>435</v>
      </c>
      <c r="G150" s="68">
        <f>+IFERROR(VLOOKUP(A150,[2]Sheet5!$A$3:$D$1335,4,0),0)</f>
        <v>533</v>
      </c>
      <c r="H150" s="68">
        <f t="shared" si="2"/>
        <v>231.85499999999999</v>
      </c>
    </row>
    <row r="151" spans="1:8" x14ac:dyDescent="0.3">
      <c r="A151" s="63" t="s">
        <v>1821</v>
      </c>
      <c r="B151" s="64" t="s">
        <v>1822</v>
      </c>
      <c r="C151" s="64" t="s">
        <v>1726</v>
      </c>
      <c r="D151" s="65">
        <v>400</v>
      </c>
      <c r="E151" s="65">
        <v>-1370</v>
      </c>
      <c r="F151" s="65">
        <v>1370</v>
      </c>
      <c r="G151" s="68">
        <f>+IFERROR(VLOOKUP(A151,[2]Sheet5!$A$3:$D$1335,4,0),0)</f>
        <v>40</v>
      </c>
      <c r="H151" s="68">
        <f t="shared" si="2"/>
        <v>54.8</v>
      </c>
    </row>
    <row r="152" spans="1:8" x14ac:dyDescent="0.3">
      <c r="A152" s="63" t="s">
        <v>1829</v>
      </c>
      <c r="B152" s="64" t="s">
        <v>1830</v>
      </c>
      <c r="C152" s="64" t="s">
        <v>1726</v>
      </c>
      <c r="D152" s="65">
        <v>75</v>
      </c>
      <c r="E152" s="65">
        <v>-409</v>
      </c>
      <c r="F152" s="65">
        <v>409</v>
      </c>
      <c r="G152" s="68">
        <f>+IFERROR(VLOOKUP(A152,[2]Sheet5!$A$3:$D$1335,4,0),0)</f>
        <v>218</v>
      </c>
      <c r="H152" s="68">
        <f t="shared" si="2"/>
        <v>89.162000000000006</v>
      </c>
    </row>
    <row r="153" spans="1:8" x14ac:dyDescent="0.3">
      <c r="A153" s="63" t="s">
        <v>1849</v>
      </c>
      <c r="B153" s="64" t="s">
        <v>1850</v>
      </c>
      <c r="C153" s="64" t="s">
        <v>1726</v>
      </c>
      <c r="D153" s="65">
        <v>18</v>
      </c>
      <c r="E153" s="65">
        <v>-191</v>
      </c>
      <c r="F153" s="65">
        <v>191</v>
      </c>
      <c r="G153" s="68">
        <f>+IFERROR(VLOOKUP(A153,[2]Sheet5!$A$3:$D$1335,4,0),0)</f>
        <v>618</v>
      </c>
      <c r="H153" s="68">
        <f t="shared" si="2"/>
        <v>118.038</v>
      </c>
    </row>
    <row r="154" spans="1:8" x14ac:dyDescent="0.3">
      <c r="A154" s="63" t="s">
        <v>1853</v>
      </c>
      <c r="B154" s="64" t="s">
        <v>1854</v>
      </c>
      <c r="C154" s="64" t="s">
        <v>1726</v>
      </c>
      <c r="D154" s="65">
        <v>10</v>
      </c>
      <c r="E154" s="65">
        <v>-32</v>
      </c>
      <c r="F154" s="65">
        <v>32</v>
      </c>
      <c r="G154" s="68">
        <f>+IFERROR(VLOOKUP(A154,[2]Sheet5!$A$3:$D$1335,4,0),0)</f>
        <v>972</v>
      </c>
      <c r="H154" s="68">
        <f t="shared" si="2"/>
        <v>31.103999999999999</v>
      </c>
    </row>
    <row r="155" spans="1:8" x14ac:dyDescent="0.3">
      <c r="A155" s="63" t="s">
        <v>1861</v>
      </c>
      <c r="B155" s="64" t="s">
        <v>1862</v>
      </c>
      <c r="C155" s="64" t="s">
        <v>1726</v>
      </c>
      <c r="D155" s="65">
        <v>150</v>
      </c>
      <c r="E155" s="65">
        <v>-325</v>
      </c>
      <c r="F155" s="65">
        <v>325</v>
      </c>
      <c r="G155" s="68">
        <f>+IFERROR(VLOOKUP(A155,[2]Sheet5!$A$3:$D$1335,4,0),0)</f>
        <v>1005</v>
      </c>
      <c r="H155" s="68">
        <f t="shared" si="2"/>
        <v>326.625</v>
      </c>
    </row>
    <row r="156" spans="1:8" x14ac:dyDescent="0.3">
      <c r="A156" s="63" t="s">
        <v>1869</v>
      </c>
      <c r="B156" s="64" t="s">
        <v>1870</v>
      </c>
      <c r="C156" s="64" t="s">
        <v>1726</v>
      </c>
      <c r="D156" s="65">
        <v>100</v>
      </c>
      <c r="E156" s="65">
        <v>-1123</v>
      </c>
      <c r="F156" s="65">
        <v>1123</v>
      </c>
      <c r="G156" s="68">
        <f>+IFERROR(VLOOKUP(A156,[2]Sheet5!$A$3:$D$1335,4,0),0)</f>
        <v>166.5</v>
      </c>
      <c r="H156" s="68">
        <f t="shared" si="2"/>
        <v>186.9795</v>
      </c>
    </row>
    <row r="157" spans="1:8" x14ac:dyDescent="0.3">
      <c r="A157" s="63" t="s">
        <v>1875</v>
      </c>
      <c r="B157" s="64" t="s">
        <v>1876</v>
      </c>
      <c r="C157" s="64" t="s">
        <v>1726</v>
      </c>
      <c r="D157" s="65">
        <v>75</v>
      </c>
      <c r="E157" s="65">
        <v>-34</v>
      </c>
      <c r="F157" s="65">
        <v>34</v>
      </c>
      <c r="G157" s="68">
        <f>+IFERROR(VLOOKUP(A157,[2]Sheet5!$A$3:$D$1335,4,0),0)</f>
        <v>256.8</v>
      </c>
      <c r="H157" s="68">
        <f t="shared" si="2"/>
        <v>8.7312000000000012</v>
      </c>
    </row>
    <row r="158" spans="1:8" x14ac:dyDescent="0.3">
      <c r="A158" s="63" t="s">
        <v>1879</v>
      </c>
      <c r="B158" s="64" t="s">
        <v>1880</v>
      </c>
      <c r="C158" s="64" t="s">
        <v>1726</v>
      </c>
      <c r="D158" s="65">
        <v>21</v>
      </c>
      <c r="E158" s="65">
        <v>-6</v>
      </c>
      <c r="F158" s="65">
        <v>6</v>
      </c>
      <c r="G158" s="68">
        <f>+IFERROR(VLOOKUP(A158,[2]Sheet5!$A$3:$D$1335,4,0),0)</f>
        <v>625</v>
      </c>
      <c r="H158" s="68">
        <f t="shared" si="2"/>
        <v>3.75</v>
      </c>
    </row>
    <row r="159" spans="1:8" x14ac:dyDescent="0.3">
      <c r="A159" s="67" t="s">
        <v>2028</v>
      </c>
      <c r="B159" s="68" t="s">
        <v>2029</v>
      </c>
      <c r="C159" s="64" t="s">
        <v>1726</v>
      </c>
      <c r="D159" s="65">
        <v>75</v>
      </c>
      <c r="E159" s="65">
        <v>-372</v>
      </c>
      <c r="F159" s="65">
        <v>372</v>
      </c>
      <c r="G159" s="68">
        <f>+IFERROR(VLOOKUP(A159,[2]Sheet5!$A$3:$D$1335,4,0),0)</f>
        <v>120</v>
      </c>
      <c r="H159" s="68">
        <f t="shared" si="2"/>
        <v>44.64</v>
      </c>
    </row>
    <row r="160" spans="1:8" x14ac:dyDescent="0.3">
      <c r="A160" s="68" t="s">
        <v>2030</v>
      </c>
      <c r="B160" s="68" t="s">
        <v>2031</v>
      </c>
      <c r="C160" s="64" t="s">
        <v>1726</v>
      </c>
      <c r="D160" s="65">
        <v>150</v>
      </c>
      <c r="E160" s="65">
        <v>-1919</v>
      </c>
      <c r="F160" s="65">
        <v>1919</v>
      </c>
      <c r="G160" s="68">
        <f>+IFERROR(VLOOKUP(A160,[2]Sheet5!$A$3:$D$1335,4,0),0)</f>
        <v>70</v>
      </c>
      <c r="H160" s="68">
        <f t="shared" si="2"/>
        <v>134.33000000000001</v>
      </c>
    </row>
    <row r="161" spans="1:8" x14ac:dyDescent="0.3">
      <c r="A161" s="67" t="s">
        <v>2038</v>
      </c>
      <c r="B161" s="68" t="s">
        <v>2039</v>
      </c>
      <c r="C161" s="64" t="s">
        <v>1726</v>
      </c>
      <c r="D161" s="65">
        <v>50</v>
      </c>
      <c r="E161" s="65">
        <v>-51</v>
      </c>
      <c r="F161" s="65">
        <v>51</v>
      </c>
      <c r="G161" s="68">
        <f>+IFERROR(VLOOKUP(A161,[2]Sheet5!$A$3:$D$1335,4,0),0)</f>
        <v>130</v>
      </c>
      <c r="H161" s="68">
        <f t="shared" si="2"/>
        <v>6.63</v>
      </c>
    </row>
    <row r="162" spans="1:8" x14ac:dyDescent="0.3">
      <c r="A162" s="67" t="s">
        <v>2054</v>
      </c>
      <c r="B162" s="68" t="s">
        <v>2055</v>
      </c>
      <c r="C162" s="64" t="s">
        <v>1726</v>
      </c>
      <c r="D162" s="65">
        <v>100</v>
      </c>
      <c r="E162" s="65">
        <v>-38</v>
      </c>
      <c r="F162" s="65">
        <v>38</v>
      </c>
      <c r="G162" s="68">
        <f>+IFERROR(VLOOKUP(A162,[2]Sheet5!$A$3:$D$1335,4,0),0)</f>
        <v>74</v>
      </c>
      <c r="H162" s="68">
        <f t="shared" si="2"/>
        <v>2.8119999999999998</v>
      </c>
    </row>
    <row r="163" spans="1:8" x14ac:dyDescent="0.3">
      <c r="A163" s="67" t="s">
        <v>2077</v>
      </c>
      <c r="B163" s="69" t="s">
        <v>2078</v>
      </c>
      <c r="C163" s="64" t="s">
        <v>1726</v>
      </c>
      <c r="D163" s="65">
        <v>50</v>
      </c>
      <c r="E163" s="65">
        <v>-66</v>
      </c>
      <c r="F163" s="65">
        <v>66</v>
      </c>
      <c r="G163" s="68">
        <f>+IFERROR(VLOOKUP(A163,[2]Sheet5!$A$3:$D$1335,4,0),0)</f>
        <v>130</v>
      </c>
      <c r="H163" s="68">
        <f t="shared" si="2"/>
        <v>8.58</v>
      </c>
    </row>
    <row r="164" spans="1:8" x14ac:dyDescent="0.3">
      <c r="A164" s="67" t="s">
        <v>2114</v>
      </c>
      <c r="B164" s="68" t="s">
        <v>2115</v>
      </c>
      <c r="C164" s="64" t="s">
        <v>1726</v>
      </c>
      <c r="D164" s="65">
        <v>120</v>
      </c>
      <c r="E164" s="65">
        <v>-60</v>
      </c>
      <c r="F164" s="65">
        <v>60</v>
      </c>
      <c r="G164" s="68">
        <f>+IFERROR(VLOOKUP(A164,[2]Sheet5!$A$3:$D$1335,4,0),0)</f>
        <v>128.5</v>
      </c>
      <c r="H164" s="68">
        <f t="shared" si="2"/>
        <v>7.71</v>
      </c>
    </row>
    <row r="165" spans="1:8" x14ac:dyDescent="0.3">
      <c r="A165" s="70" t="s">
        <v>2131</v>
      </c>
      <c r="B165" s="69" t="s">
        <v>2132</v>
      </c>
      <c r="C165" s="64" t="s">
        <v>1726</v>
      </c>
      <c r="D165" s="65">
        <v>32</v>
      </c>
      <c r="E165" s="65">
        <v>-256</v>
      </c>
      <c r="F165" s="65">
        <v>256</v>
      </c>
      <c r="G165" s="68">
        <f>+IFERROR(VLOOKUP(A165,[2]Sheet5!$A$3:$D$1335,4,0),0)</f>
        <v>397</v>
      </c>
      <c r="H165" s="68">
        <f t="shared" si="2"/>
        <v>101.63200000000001</v>
      </c>
    </row>
    <row r="166" spans="1:8" x14ac:dyDescent="0.3">
      <c r="A166" s="67" t="s">
        <v>2154</v>
      </c>
      <c r="B166" s="67" t="s">
        <v>1732</v>
      </c>
      <c r="C166" s="64" t="s">
        <v>1726</v>
      </c>
      <c r="D166" s="65">
        <v>75</v>
      </c>
      <c r="E166" s="65">
        <v>-10</v>
      </c>
      <c r="F166" s="65">
        <v>10</v>
      </c>
      <c r="G166" s="68">
        <f>+IFERROR(VLOOKUP(A166,[2]Sheet5!$A$3:$D$1335,4,0),0)</f>
        <v>190</v>
      </c>
      <c r="H166" s="68">
        <f t="shared" si="2"/>
        <v>1.9</v>
      </c>
    </row>
    <row r="167" spans="1:8" x14ac:dyDescent="0.3">
      <c r="A167" s="63" t="s">
        <v>2280</v>
      </c>
      <c r="B167" s="67" t="s">
        <v>2281</v>
      </c>
      <c r="C167" s="64" t="s">
        <v>1726</v>
      </c>
      <c r="D167" s="65">
        <v>150</v>
      </c>
      <c r="E167" s="65">
        <v>-21</v>
      </c>
      <c r="F167" s="65">
        <v>21</v>
      </c>
      <c r="G167" s="68">
        <f>+IFERROR(VLOOKUP(A167,[2]Sheet5!$A$3:$D$1335,4,0),0)</f>
        <v>46</v>
      </c>
      <c r="H167" s="68">
        <f t="shared" si="2"/>
        <v>0.96599999999999997</v>
      </c>
    </row>
    <row r="168" spans="1:8" x14ac:dyDescent="0.3">
      <c r="A168" s="63" t="s">
        <v>2302</v>
      </c>
      <c r="B168" s="67" t="s">
        <v>2303</v>
      </c>
      <c r="C168" s="64" t="s">
        <v>1726</v>
      </c>
      <c r="D168" s="65">
        <v>0</v>
      </c>
      <c r="E168" s="65">
        <v>-190</v>
      </c>
      <c r="F168" s="65">
        <v>190</v>
      </c>
      <c r="G168" s="68">
        <f>+IFERROR(VLOOKUP(A168,[2]Sheet5!$A$3:$D$1335,4,0),0)</f>
        <v>0</v>
      </c>
      <c r="H168" s="68">
        <f t="shared" si="2"/>
        <v>0</v>
      </c>
    </row>
    <row r="169" spans="1:8" x14ac:dyDescent="0.3">
      <c r="A169" s="73" t="s">
        <v>2451</v>
      </c>
      <c r="B169" s="73"/>
      <c r="C169" s="73"/>
      <c r="D169" s="74"/>
      <c r="E169" s="74"/>
      <c r="F169" s="74"/>
      <c r="G169" s="74"/>
      <c r="H169" s="74">
        <f>SUM(H138:H168)</f>
        <v>2398.6592999999998</v>
      </c>
    </row>
    <row r="170" spans="1:8" x14ac:dyDescent="0.3">
      <c r="A170" s="63" t="s">
        <v>539</v>
      </c>
      <c r="B170" s="64" t="s">
        <v>540</v>
      </c>
      <c r="C170" s="64" t="s">
        <v>536</v>
      </c>
      <c r="D170" s="65">
        <v>240</v>
      </c>
      <c r="E170" s="65">
        <v>-792</v>
      </c>
      <c r="F170" s="65">
        <v>792</v>
      </c>
      <c r="G170" s="68">
        <f>+IFERROR(VLOOKUP(A170,[2]Sheet5!$A$3:$D$1335,4,0),0)</f>
        <v>30</v>
      </c>
      <c r="H170" s="68">
        <f t="shared" si="2"/>
        <v>23.76</v>
      </c>
    </row>
    <row r="171" spans="1:8" x14ac:dyDescent="0.3">
      <c r="A171" s="63" t="s">
        <v>541</v>
      </c>
      <c r="B171" s="64" t="s">
        <v>542</v>
      </c>
      <c r="C171" s="64" t="s">
        <v>536</v>
      </c>
      <c r="D171" s="65">
        <v>144</v>
      </c>
      <c r="E171" s="65">
        <v>-3437</v>
      </c>
      <c r="F171" s="65">
        <v>3437</v>
      </c>
      <c r="G171" s="68">
        <f>+IFERROR(VLOOKUP(A171,[2]Sheet5!$A$3:$D$1335,4,0),0)</f>
        <v>23.86</v>
      </c>
      <c r="H171" s="68">
        <f t="shared" si="2"/>
        <v>82.006819999999991</v>
      </c>
    </row>
    <row r="172" spans="1:8" x14ac:dyDescent="0.3">
      <c r="A172" s="63" t="s">
        <v>559</v>
      </c>
      <c r="B172" s="64" t="s">
        <v>560</v>
      </c>
      <c r="C172" s="64" t="s">
        <v>536</v>
      </c>
      <c r="D172" s="65">
        <v>400</v>
      </c>
      <c r="E172" s="65">
        <v>-233</v>
      </c>
      <c r="F172" s="65">
        <v>233</v>
      </c>
      <c r="G172" s="68">
        <f>+IFERROR(VLOOKUP(A172,[2]Sheet5!$A$3:$D$1335,4,0),0)</f>
        <v>31.36</v>
      </c>
      <c r="H172" s="68">
        <f t="shared" si="2"/>
        <v>7.3068800000000005</v>
      </c>
    </row>
    <row r="173" spans="1:8" x14ac:dyDescent="0.3">
      <c r="A173" s="63" t="s">
        <v>1889</v>
      </c>
      <c r="B173" s="64" t="s">
        <v>1890</v>
      </c>
      <c r="C173" s="64" t="s">
        <v>1891</v>
      </c>
      <c r="D173" s="65">
        <v>96</v>
      </c>
      <c r="E173" s="65">
        <v>-48</v>
      </c>
      <c r="F173" s="65">
        <v>48</v>
      </c>
      <c r="G173" s="68">
        <f>+IFERROR(VLOOKUP(A173,[2]Sheet5!$A$3:$D$1335,4,0),0)</f>
        <v>20</v>
      </c>
      <c r="H173" s="68">
        <f t="shared" si="2"/>
        <v>0.96</v>
      </c>
    </row>
    <row r="174" spans="1:8" x14ac:dyDescent="0.3">
      <c r="A174" s="68" t="s">
        <v>2138</v>
      </c>
      <c r="B174" s="68" t="s">
        <v>2139</v>
      </c>
      <c r="C174" s="68" t="s">
        <v>2135</v>
      </c>
      <c r="D174" s="65">
        <v>2</v>
      </c>
      <c r="E174" s="65">
        <v>-43</v>
      </c>
      <c r="F174" s="65">
        <v>43</v>
      </c>
      <c r="G174" s="68">
        <f>+IFERROR(VLOOKUP(A174,[2]Sheet5!$A$3:$D$1335,4,0),0)</f>
        <v>14.6</v>
      </c>
      <c r="H174" s="68">
        <f t="shared" si="2"/>
        <v>0.62779999999999991</v>
      </c>
    </row>
    <row r="175" spans="1:8" x14ac:dyDescent="0.3">
      <c r="A175" s="75" t="s">
        <v>2135</v>
      </c>
      <c r="B175" s="76"/>
      <c r="C175" s="77"/>
      <c r="D175" s="74"/>
      <c r="E175" s="74"/>
      <c r="F175" s="74"/>
      <c r="G175" s="74"/>
      <c r="H175" s="74">
        <f>SUM(H170:H174)</f>
        <v>114.66149999999999</v>
      </c>
    </row>
    <row r="176" spans="1:8" x14ac:dyDescent="0.3">
      <c r="A176" s="63" t="s">
        <v>19</v>
      </c>
      <c r="B176" s="64" t="s">
        <v>20</v>
      </c>
      <c r="C176" s="64" t="s">
        <v>18</v>
      </c>
      <c r="D176" s="65">
        <v>55</v>
      </c>
      <c r="E176" s="65">
        <v>-8259</v>
      </c>
      <c r="F176" s="65">
        <v>8259</v>
      </c>
      <c r="G176" s="68">
        <f>+IFERROR(VLOOKUP(A176,[2]Sheet5!$A$3:$D$1335,4,0),0)</f>
        <v>0.62</v>
      </c>
      <c r="H176" s="68">
        <f>+F176*G176</f>
        <v>5120.58</v>
      </c>
    </row>
    <row r="177" spans="1:8" x14ac:dyDescent="0.3">
      <c r="A177" s="63" t="s">
        <v>21</v>
      </c>
      <c r="B177" s="64" t="s">
        <v>22</v>
      </c>
      <c r="C177" s="64" t="s">
        <v>18</v>
      </c>
      <c r="D177" s="65">
        <v>30</v>
      </c>
      <c r="E177" s="65">
        <v>-4670</v>
      </c>
      <c r="F177" s="65">
        <v>4670</v>
      </c>
      <c r="G177" s="68">
        <f>+IFERROR(VLOOKUP(A177,[2]Sheet5!$A$3:$D$1335,4,0),0)</f>
        <v>0.99</v>
      </c>
      <c r="H177" s="68">
        <f t="shared" ref="H177:H225" si="3">+F177*G177</f>
        <v>4623.3</v>
      </c>
    </row>
    <row r="178" spans="1:8" x14ac:dyDescent="0.3">
      <c r="A178" s="63" t="s">
        <v>41</v>
      </c>
      <c r="B178" s="64" t="s">
        <v>42</v>
      </c>
      <c r="C178" s="64" t="s">
        <v>18</v>
      </c>
      <c r="D178" s="65">
        <v>30</v>
      </c>
      <c r="E178" s="65">
        <v>-1599</v>
      </c>
      <c r="F178" s="65">
        <v>1599</v>
      </c>
      <c r="G178" s="68">
        <f>+IFERROR(VLOOKUP(A178,[2]Sheet5!$A$3:$D$1335,4,0),0)</f>
        <v>0.8</v>
      </c>
      <c r="H178" s="68">
        <f t="shared" si="3"/>
        <v>1279.2</v>
      </c>
    </row>
    <row r="179" spans="1:8" x14ac:dyDescent="0.3">
      <c r="A179" s="63" t="s">
        <v>57</v>
      </c>
      <c r="B179" s="64" t="s">
        <v>20</v>
      </c>
      <c r="C179" s="64" t="s">
        <v>18</v>
      </c>
      <c r="D179" s="65">
        <v>55</v>
      </c>
      <c r="E179" s="65">
        <v>-346</v>
      </c>
      <c r="F179" s="65">
        <v>346</v>
      </c>
      <c r="G179" s="68">
        <f>+IFERROR(VLOOKUP(A179,[2]Sheet5!$A$3:$D$1335,4,0),0)</f>
        <v>1.0333333333333332</v>
      </c>
      <c r="H179" s="68">
        <f t="shared" si="3"/>
        <v>357.5333333333333</v>
      </c>
    </row>
    <row r="180" spans="1:8" x14ac:dyDescent="0.3">
      <c r="A180" s="73" t="s">
        <v>2452</v>
      </c>
      <c r="B180" s="73"/>
      <c r="C180" s="73"/>
      <c r="D180" s="74"/>
      <c r="E180" s="74"/>
      <c r="F180" s="74"/>
      <c r="G180" s="74"/>
      <c r="H180" s="74">
        <f>SUM(H176:H179)</f>
        <v>11380.613333333335</v>
      </c>
    </row>
    <row r="181" spans="1:8" x14ac:dyDescent="0.3">
      <c r="A181" s="63" t="s">
        <v>598</v>
      </c>
      <c r="B181" s="64" t="s">
        <v>599</v>
      </c>
      <c r="C181" s="64" t="s">
        <v>579</v>
      </c>
      <c r="D181" s="65">
        <v>30</v>
      </c>
      <c r="E181" s="65">
        <v>-8760</v>
      </c>
      <c r="F181" s="65">
        <v>8760</v>
      </c>
      <c r="G181" s="68">
        <f>+IFERROR(VLOOKUP(A181,[2]Sheet5!$A$3:$D$1335,4,0),0)</f>
        <v>0.85</v>
      </c>
      <c r="H181" s="68">
        <f t="shared" si="3"/>
        <v>7446</v>
      </c>
    </row>
    <row r="182" spans="1:8" x14ac:dyDescent="0.3">
      <c r="A182" s="63" t="s">
        <v>604</v>
      </c>
      <c r="B182" s="64" t="s">
        <v>605</v>
      </c>
      <c r="C182" s="64" t="s">
        <v>579</v>
      </c>
      <c r="D182" s="65">
        <v>15</v>
      </c>
      <c r="E182" s="65">
        <v>-265</v>
      </c>
      <c r="F182" s="65">
        <v>265</v>
      </c>
      <c r="G182" s="68">
        <f>+IFERROR(VLOOKUP(A182,[2]Sheet5!$A$3:$D$1335,4,0),0)</f>
        <v>2.2200000000000002</v>
      </c>
      <c r="H182" s="68">
        <f t="shared" si="3"/>
        <v>588.30000000000007</v>
      </c>
    </row>
    <row r="183" spans="1:8" x14ac:dyDescent="0.3">
      <c r="A183" s="63" t="s">
        <v>631</v>
      </c>
      <c r="B183" s="64" t="s">
        <v>603</v>
      </c>
      <c r="C183" s="64" t="s">
        <v>579</v>
      </c>
      <c r="D183" s="65">
        <v>20</v>
      </c>
      <c r="E183" s="65">
        <v>-780</v>
      </c>
      <c r="F183" s="65">
        <v>780</v>
      </c>
      <c r="G183" s="68">
        <f>+IFERROR(VLOOKUP(A183,[2]Sheet5!$A$3:$D$1335,4,0),0)</f>
        <v>3.2200000000000006</v>
      </c>
      <c r="H183" s="68">
        <f t="shared" si="3"/>
        <v>2511.6000000000004</v>
      </c>
    </row>
    <row r="184" spans="1:8" x14ac:dyDescent="0.3">
      <c r="A184" s="73" t="s">
        <v>2453</v>
      </c>
      <c r="B184" s="73"/>
      <c r="C184" s="73"/>
      <c r="D184" s="74"/>
      <c r="E184" s="74"/>
      <c r="F184" s="74"/>
      <c r="G184" s="74"/>
      <c r="H184" s="74">
        <f>SUM(H181:H183)</f>
        <v>10545.900000000001</v>
      </c>
    </row>
    <row r="185" spans="1:8" x14ac:dyDescent="0.3">
      <c r="A185" s="63" t="s">
        <v>1170</v>
      </c>
      <c r="B185" s="64" t="s">
        <v>1171</v>
      </c>
      <c r="C185" s="64" t="s">
        <v>1172</v>
      </c>
      <c r="D185" s="65">
        <v>1</v>
      </c>
      <c r="E185" s="65">
        <v>-7118</v>
      </c>
      <c r="F185" s="65">
        <v>7118</v>
      </c>
      <c r="G185" s="68">
        <f>+IFERROR(VLOOKUP(A185,[2]Sheet5!$A$3:$D$1335,4,0),0)</f>
        <v>3.8</v>
      </c>
      <c r="H185" s="68">
        <f t="shared" si="3"/>
        <v>27048.399999999998</v>
      </c>
    </row>
    <row r="186" spans="1:8" x14ac:dyDescent="0.3">
      <c r="A186" s="63" t="s">
        <v>1173</v>
      </c>
      <c r="B186" s="64" t="s">
        <v>1174</v>
      </c>
      <c r="C186" s="64" t="s">
        <v>1172</v>
      </c>
      <c r="D186" s="65">
        <v>1</v>
      </c>
      <c r="E186" s="65">
        <v>-444</v>
      </c>
      <c r="F186" s="65">
        <v>444</v>
      </c>
      <c r="G186" s="68">
        <f>+IFERROR(VLOOKUP(A186,[2]Sheet5!$A$3:$D$1335,4,0),0)</f>
        <v>3.8</v>
      </c>
      <c r="H186" s="68">
        <f t="shared" si="3"/>
        <v>1687.1999999999998</v>
      </c>
    </row>
    <row r="187" spans="1:8" x14ac:dyDescent="0.3">
      <c r="A187" s="63" t="s">
        <v>1175</v>
      </c>
      <c r="B187" s="64" t="s">
        <v>1176</v>
      </c>
      <c r="C187" s="64" t="s">
        <v>1172</v>
      </c>
      <c r="D187" s="65">
        <v>1</v>
      </c>
      <c r="E187" s="65">
        <v>-160</v>
      </c>
      <c r="F187" s="65">
        <v>160</v>
      </c>
      <c r="G187" s="68">
        <f>+IFERROR(VLOOKUP(A187,[2]Sheet5!$A$3:$D$1335,4,0),0)</f>
        <v>7.5</v>
      </c>
      <c r="H187" s="68">
        <f t="shared" si="3"/>
        <v>1200</v>
      </c>
    </row>
    <row r="188" spans="1:8" x14ac:dyDescent="0.3">
      <c r="A188" s="63" t="s">
        <v>1177</v>
      </c>
      <c r="B188" s="64" t="s">
        <v>1178</v>
      </c>
      <c r="C188" s="64" t="s">
        <v>1172</v>
      </c>
      <c r="D188" s="65">
        <v>1</v>
      </c>
      <c r="E188" s="65">
        <v>-50</v>
      </c>
      <c r="F188" s="65">
        <v>50</v>
      </c>
      <c r="G188" s="68">
        <f>+IFERROR(VLOOKUP(A188,[2]Sheet5!$A$3:$D$1335,4,0),0)</f>
        <v>7.5</v>
      </c>
      <c r="H188" s="68">
        <f t="shared" si="3"/>
        <v>375</v>
      </c>
    </row>
    <row r="189" spans="1:8" x14ac:dyDescent="0.3">
      <c r="A189" s="63" t="s">
        <v>1181</v>
      </c>
      <c r="B189" s="64" t="s">
        <v>1182</v>
      </c>
      <c r="C189" s="64" t="s">
        <v>1172</v>
      </c>
      <c r="D189" s="65">
        <v>1</v>
      </c>
      <c r="E189" s="65">
        <v>-35</v>
      </c>
      <c r="F189" s="65">
        <v>35</v>
      </c>
      <c r="G189" s="68">
        <f>+IFERROR(VLOOKUP(A189,[2]Sheet5!$A$3:$D$1335,4,0),0)</f>
        <v>1.1400000000000001</v>
      </c>
      <c r="H189" s="68">
        <f t="shared" si="3"/>
        <v>39.900000000000006</v>
      </c>
    </row>
    <row r="190" spans="1:8" x14ac:dyDescent="0.3">
      <c r="A190" s="63" t="s">
        <v>1183</v>
      </c>
      <c r="B190" s="64" t="s">
        <v>1184</v>
      </c>
      <c r="C190" s="64" t="s">
        <v>1172</v>
      </c>
      <c r="D190" s="65">
        <v>1</v>
      </c>
      <c r="E190" s="65">
        <v>-169</v>
      </c>
      <c r="F190" s="65">
        <v>169</v>
      </c>
      <c r="G190" s="68">
        <f>+IFERROR(VLOOKUP(A190,[2]Sheet5!$A$3:$D$1335,4,0),0)</f>
        <v>1.52</v>
      </c>
      <c r="H190" s="68">
        <f t="shared" si="3"/>
        <v>256.88</v>
      </c>
    </row>
    <row r="191" spans="1:8" x14ac:dyDescent="0.3">
      <c r="A191" s="63" t="s">
        <v>1185</v>
      </c>
      <c r="B191" s="64" t="s">
        <v>1186</v>
      </c>
      <c r="C191" s="64" t="s">
        <v>1172</v>
      </c>
      <c r="D191" s="65">
        <v>1</v>
      </c>
      <c r="E191" s="65">
        <v>-22</v>
      </c>
      <c r="F191" s="65">
        <v>22</v>
      </c>
      <c r="G191" s="68">
        <f>+IFERROR(VLOOKUP(A191,[2]Sheet5!$A$3:$D$1335,4,0),0)</f>
        <v>2.2800000000000002</v>
      </c>
      <c r="H191" s="68">
        <f t="shared" si="3"/>
        <v>50.160000000000004</v>
      </c>
    </row>
    <row r="192" spans="1:8" x14ac:dyDescent="0.3">
      <c r="A192" s="63" t="s">
        <v>1187</v>
      </c>
      <c r="B192" s="64" t="s">
        <v>1188</v>
      </c>
      <c r="C192" s="64" t="s">
        <v>1172</v>
      </c>
      <c r="D192" s="65">
        <v>1</v>
      </c>
      <c r="E192" s="65">
        <v>-25</v>
      </c>
      <c r="F192" s="65">
        <v>25</v>
      </c>
      <c r="G192" s="68">
        <f>+IFERROR(VLOOKUP(A192,[2]Sheet5!$A$3:$D$1335,4,0),0)</f>
        <v>2.2800000000000002</v>
      </c>
      <c r="H192" s="68">
        <f t="shared" si="3"/>
        <v>57.000000000000007</v>
      </c>
    </row>
    <row r="193" spans="1:8" x14ac:dyDescent="0.3">
      <c r="A193" s="63" t="s">
        <v>1242</v>
      </c>
      <c r="B193" s="64" t="s">
        <v>1243</v>
      </c>
      <c r="C193" s="64" t="s">
        <v>1172</v>
      </c>
      <c r="D193" s="65">
        <v>1</v>
      </c>
      <c r="E193" s="65">
        <v>-50</v>
      </c>
      <c r="F193" s="65">
        <v>50</v>
      </c>
      <c r="G193" s="68">
        <f>+IFERROR(VLOOKUP(A193,[2]Sheet5!$A$3:$D$1335,4,0),0)</f>
        <v>7.6</v>
      </c>
      <c r="H193" s="68">
        <f t="shared" si="3"/>
        <v>380</v>
      </c>
    </row>
    <row r="194" spans="1:8" x14ac:dyDescent="0.3">
      <c r="A194" s="63" t="s">
        <v>1244</v>
      </c>
      <c r="B194" s="64" t="s">
        <v>1245</v>
      </c>
      <c r="C194" s="64" t="s">
        <v>1172</v>
      </c>
      <c r="D194" s="65">
        <v>1</v>
      </c>
      <c r="E194" s="65">
        <v>-70</v>
      </c>
      <c r="F194" s="65">
        <v>70</v>
      </c>
      <c r="G194" s="68">
        <f>+IFERROR(VLOOKUP(A194,[2]Sheet5!$A$3:$D$1335,4,0),0)</f>
        <v>7.6</v>
      </c>
      <c r="H194" s="68">
        <f t="shared" si="3"/>
        <v>532</v>
      </c>
    </row>
    <row r="195" spans="1:8" x14ac:dyDescent="0.3">
      <c r="A195" s="63" t="s">
        <v>1246</v>
      </c>
      <c r="B195" s="64" t="s">
        <v>1247</v>
      </c>
      <c r="C195" s="64" t="s">
        <v>1172</v>
      </c>
      <c r="D195" s="65">
        <v>1</v>
      </c>
      <c r="E195" s="65">
        <v>-38</v>
      </c>
      <c r="F195" s="65">
        <v>38</v>
      </c>
      <c r="G195" s="68">
        <f>+IFERROR(VLOOKUP(A195,[2]Sheet5!$A$3:$D$1335,4,0),0)</f>
        <v>15.1</v>
      </c>
      <c r="H195" s="68">
        <f t="shared" si="3"/>
        <v>573.79999999999995</v>
      </c>
    </row>
    <row r="196" spans="1:8" x14ac:dyDescent="0.3">
      <c r="A196" s="63" t="s">
        <v>1260</v>
      </c>
      <c r="B196" s="64" t="s">
        <v>1261</v>
      </c>
      <c r="C196" s="64" t="s">
        <v>1172</v>
      </c>
      <c r="D196" s="65">
        <v>1</v>
      </c>
      <c r="E196" s="65">
        <v>-4714</v>
      </c>
      <c r="F196" s="65">
        <v>4714</v>
      </c>
      <c r="G196" s="68">
        <f>+IFERROR(VLOOKUP(A196,[2]Sheet5!$A$3:$D$1335,4,0),0)</f>
        <v>2.4</v>
      </c>
      <c r="H196" s="68">
        <f t="shared" si="3"/>
        <v>11313.6</v>
      </c>
    </row>
    <row r="197" spans="1:8" x14ac:dyDescent="0.3">
      <c r="A197" s="63" t="s">
        <v>1262</v>
      </c>
      <c r="B197" s="64" t="s">
        <v>1263</v>
      </c>
      <c r="C197" s="64" t="s">
        <v>1172</v>
      </c>
      <c r="D197" s="65">
        <v>1</v>
      </c>
      <c r="E197" s="65">
        <v>-1600</v>
      </c>
      <c r="F197" s="65">
        <v>1600</v>
      </c>
      <c r="G197" s="68">
        <f>+IFERROR(VLOOKUP(A197,[2]Sheet5!$A$3:$D$1335,4,0),0)</f>
        <v>2.4</v>
      </c>
      <c r="H197" s="68">
        <f t="shared" si="3"/>
        <v>3840</v>
      </c>
    </row>
    <row r="198" spans="1:8" x14ac:dyDescent="0.3">
      <c r="A198" s="63" t="s">
        <v>1264</v>
      </c>
      <c r="B198" s="64" t="s">
        <v>1265</v>
      </c>
      <c r="C198" s="64" t="s">
        <v>1172</v>
      </c>
      <c r="D198" s="65">
        <v>1</v>
      </c>
      <c r="E198" s="65">
        <v>-90</v>
      </c>
      <c r="F198" s="65">
        <v>90</v>
      </c>
      <c r="G198" s="68">
        <f>+IFERROR(VLOOKUP(A198,[2]Sheet5!$A$3:$D$1335,4,0),0)</f>
        <v>4.7</v>
      </c>
      <c r="H198" s="68">
        <f t="shared" si="3"/>
        <v>423</v>
      </c>
    </row>
    <row r="199" spans="1:8" x14ac:dyDescent="0.3">
      <c r="A199" s="63" t="s">
        <v>1274</v>
      </c>
      <c r="B199" s="64" t="s">
        <v>1275</v>
      </c>
      <c r="C199" s="64" t="s">
        <v>1172</v>
      </c>
      <c r="D199" s="65">
        <v>1</v>
      </c>
      <c r="E199" s="65">
        <v>-435</v>
      </c>
      <c r="F199" s="65">
        <v>435</v>
      </c>
      <c r="G199" s="68">
        <f>+IFERROR(VLOOKUP(A199,[2]Sheet5!$A$3:$D$1335,4,0),0)</f>
        <v>1.44</v>
      </c>
      <c r="H199" s="68">
        <f t="shared" si="3"/>
        <v>626.4</v>
      </c>
    </row>
    <row r="200" spans="1:8" x14ac:dyDescent="0.3">
      <c r="A200" s="63" t="s">
        <v>1276</v>
      </c>
      <c r="B200" s="64" t="s">
        <v>1277</v>
      </c>
      <c r="C200" s="64" t="s">
        <v>1172</v>
      </c>
      <c r="D200" s="65">
        <v>1</v>
      </c>
      <c r="E200" s="65">
        <v>-68</v>
      </c>
      <c r="F200" s="65">
        <v>68</v>
      </c>
      <c r="G200" s="68">
        <f>+IFERROR(VLOOKUP(A200,[2]Sheet5!$A$3:$D$1335,4,0),0)</f>
        <v>1.44</v>
      </c>
      <c r="H200" s="68">
        <f t="shared" si="3"/>
        <v>97.92</v>
      </c>
    </row>
    <row r="201" spans="1:8" x14ac:dyDescent="0.3">
      <c r="A201" s="63" t="s">
        <v>1296</v>
      </c>
      <c r="B201" s="64" t="s">
        <v>1297</v>
      </c>
      <c r="C201" s="64" t="s">
        <v>1172</v>
      </c>
      <c r="D201" s="65">
        <v>1</v>
      </c>
      <c r="E201" s="65">
        <v>-188</v>
      </c>
      <c r="F201" s="65">
        <v>188</v>
      </c>
      <c r="G201" s="68">
        <f>+IFERROR(VLOOKUP(A201,[2]Sheet5!$A$3:$D$1335,4,0),0)</f>
        <v>2.6</v>
      </c>
      <c r="H201" s="68">
        <f t="shared" si="3"/>
        <v>488.8</v>
      </c>
    </row>
    <row r="202" spans="1:8" x14ac:dyDescent="0.3">
      <c r="A202" s="63" t="s">
        <v>1308</v>
      </c>
      <c r="B202" s="64" t="s">
        <v>1309</v>
      </c>
      <c r="C202" s="64" t="s">
        <v>1172</v>
      </c>
      <c r="D202" s="65">
        <v>1</v>
      </c>
      <c r="E202" s="65">
        <v>-14</v>
      </c>
      <c r="F202" s="65">
        <v>14</v>
      </c>
      <c r="G202" s="68">
        <f>+IFERROR(VLOOKUP(A202,[2]Sheet5!$A$3:$D$1335,4,0),0)</f>
        <v>1.04</v>
      </c>
      <c r="H202" s="68">
        <f t="shared" si="3"/>
        <v>14.56</v>
      </c>
    </row>
    <row r="203" spans="1:8" x14ac:dyDescent="0.3">
      <c r="A203" s="63" t="s">
        <v>1320</v>
      </c>
      <c r="B203" s="64" t="s">
        <v>1321</v>
      </c>
      <c r="C203" s="64" t="s">
        <v>1172</v>
      </c>
      <c r="D203" s="65">
        <v>1</v>
      </c>
      <c r="E203" s="65">
        <v>-308</v>
      </c>
      <c r="F203" s="65">
        <v>308</v>
      </c>
      <c r="G203" s="68">
        <f>+IFERROR(VLOOKUP(A203,[2]Sheet5!$A$3:$D$1335,4,0),0)</f>
        <v>7.5</v>
      </c>
      <c r="H203" s="68">
        <f t="shared" si="3"/>
        <v>2310</v>
      </c>
    </row>
    <row r="204" spans="1:8" x14ac:dyDescent="0.3">
      <c r="A204" s="63" t="s">
        <v>1396</v>
      </c>
      <c r="B204" s="64" t="s">
        <v>1397</v>
      </c>
      <c r="C204" s="64" t="s">
        <v>1172</v>
      </c>
      <c r="D204" s="65">
        <v>1</v>
      </c>
      <c r="E204" s="65">
        <v>-24</v>
      </c>
      <c r="F204" s="65">
        <v>24</v>
      </c>
      <c r="G204" s="68">
        <f>+IFERROR(VLOOKUP(A204,[2]Sheet5!$A$3:$D$1335,4,0),0)</f>
        <v>7.6</v>
      </c>
      <c r="H204" s="68">
        <f t="shared" si="3"/>
        <v>182.39999999999998</v>
      </c>
    </row>
    <row r="205" spans="1:8" x14ac:dyDescent="0.3">
      <c r="A205" s="63" t="s">
        <v>1400</v>
      </c>
      <c r="B205" s="64" t="s">
        <v>1401</v>
      </c>
      <c r="C205" s="64" t="s">
        <v>1172</v>
      </c>
      <c r="D205" s="65">
        <v>1</v>
      </c>
      <c r="E205" s="65">
        <v>-110</v>
      </c>
      <c r="F205" s="65">
        <v>110</v>
      </c>
      <c r="G205" s="68">
        <f>+IFERROR(VLOOKUP(A205,[2]Sheet5!$A$3:$D$1335,4,0),0)</f>
        <v>15.1</v>
      </c>
      <c r="H205" s="68">
        <f t="shared" si="3"/>
        <v>1661</v>
      </c>
    </row>
    <row r="206" spans="1:8" x14ac:dyDescent="0.3">
      <c r="A206" s="63" t="s">
        <v>1456</v>
      </c>
      <c r="B206" s="64" t="s">
        <v>1457</v>
      </c>
      <c r="C206" s="64" t="s">
        <v>1172</v>
      </c>
      <c r="D206" s="65">
        <v>1</v>
      </c>
      <c r="E206" s="65">
        <v>-5</v>
      </c>
      <c r="F206" s="65">
        <v>5</v>
      </c>
      <c r="G206" s="68">
        <f>+IFERROR(VLOOKUP(A206,[2]Sheet5!$A$3:$D$1335,4,0),0)</f>
        <v>2.6</v>
      </c>
      <c r="H206" s="68">
        <f t="shared" si="3"/>
        <v>13</v>
      </c>
    </row>
    <row r="207" spans="1:8" x14ac:dyDescent="0.3">
      <c r="A207" s="63" t="s">
        <v>1460</v>
      </c>
      <c r="B207" s="64" t="s">
        <v>1461</v>
      </c>
      <c r="C207" s="64" t="s">
        <v>1172</v>
      </c>
      <c r="D207" s="65">
        <v>1</v>
      </c>
      <c r="E207" s="65">
        <v>-233</v>
      </c>
      <c r="F207" s="65">
        <v>233</v>
      </c>
      <c r="G207" s="68">
        <f>+IFERROR(VLOOKUP(A207,[2]Sheet5!$A$3:$D$1335,4,0),0)</f>
        <v>5.0999999999999996</v>
      </c>
      <c r="H207" s="68">
        <f t="shared" si="3"/>
        <v>1188.3</v>
      </c>
    </row>
    <row r="208" spans="1:8" x14ac:dyDescent="0.3">
      <c r="A208" s="67" t="s">
        <v>2084</v>
      </c>
      <c r="B208" s="67" t="s">
        <v>2085</v>
      </c>
      <c r="C208" s="68" t="s">
        <v>1172</v>
      </c>
      <c r="D208" s="65">
        <v>1</v>
      </c>
      <c r="E208" s="65">
        <v>-50</v>
      </c>
      <c r="F208" s="65">
        <v>50</v>
      </c>
      <c r="G208" s="68">
        <f>+IFERROR(VLOOKUP(A208,[2]Sheet5!$A$3:$D$1335,4,0),0)</f>
        <v>1.1200000000000001</v>
      </c>
      <c r="H208" s="68">
        <f t="shared" si="3"/>
        <v>56.000000000000007</v>
      </c>
    </row>
    <row r="209" spans="1:8" x14ac:dyDescent="0.3">
      <c r="A209" s="67" t="s">
        <v>2086</v>
      </c>
      <c r="B209" s="67" t="s">
        <v>2087</v>
      </c>
      <c r="C209" s="68" t="s">
        <v>1172</v>
      </c>
      <c r="D209" s="65">
        <v>1</v>
      </c>
      <c r="E209" s="65">
        <v>-100</v>
      </c>
      <c r="F209" s="65">
        <v>100</v>
      </c>
      <c r="G209" s="68">
        <f>+IFERROR(VLOOKUP(A209,[2]Sheet5!$A$3:$D$1335,4,0),0)</f>
        <v>1.52</v>
      </c>
      <c r="H209" s="68">
        <f t="shared" si="3"/>
        <v>152</v>
      </c>
    </row>
    <row r="210" spans="1:8" x14ac:dyDescent="0.3">
      <c r="A210" s="73" t="s">
        <v>2454</v>
      </c>
      <c r="B210" s="73"/>
      <c r="C210" s="73"/>
      <c r="D210" s="74"/>
      <c r="E210" s="74"/>
      <c r="F210" s="74"/>
      <c r="G210" s="74"/>
      <c r="H210" s="74">
        <f>SUM(H185:H209)</f>
        <v>54567.320000000007</v>
      </c>
    </row>
    <row r="211" spans="1:8" x14ac:dyDescent="0.3">
      <c r="A211" s="67" t="s">
        <v>1658</v>
      </c>
      <c r="B211" s="64" t="s">
        <v>1659</v>
      </c>
      <c r="C211" s="64" t="s">
        <v>1647</v>
      </c>
      <c r="D211" s="65">
        <v>1</v>
      </c>
      <c r="E211" s="65">
        <v>-30</v>
      </c>
      <c r="F211" s="65">
        <v>30</v>
      </c>
      <c r="G211" s="68">
        <f>+IFERROR(VLOOKUP(A211,[2]Sheet5!$A$3:$D$1335,4,0),0)</f>
        <v>5.3019999999999996</v>
      </c>
      <c r="H211" s="68">
        <f t="shared" si="3"/>
        <v>159.06</v>
      </c>
    </row>
    <row r="212" spans="1:8" x14ac:dyDescent="0.3">
      <c r="A212" s="63" t="s">
        <v>1672</v>
      </c>
      <c r="B212" s="64" t="s">
        <v>1673</v>
      </c>
      <c r="C212" s="64" t="s">
        <v>1647</v>
      </c>
      <c r="D212" s="65">
        <v>1</v>
      </c>
      <c r="E212" s="65">
        <v>-309</v>
      </c>
      <c r="F212" s="65">
        <v>309</v>
      </c>
      <c r="G212" s="68">
        <f>+IFERROR(VLOOKUP(A212,[2]Sheet5!$A$3:$D$1335,4,0),0)</f>
        <v>4.7</v>
      </c>
      <c r="H212" s="68">
        <f t="shared" si="3"/>
        <v>1452.3</v>
      </c>
    </row>
    <row r="213" spans="1:8" x14ac:dyDescent="0.3">
      <c r="A213" s="63" t="s">
        <v>1716</v>
      </c>
      <c r="B213" s="64" t="s">
        <v>1717</v>
      </c>
      <c r="C213" s="64" t="s">
        <v>1647</v>
      </c>
      <c r="D213" s="65">
        <v>1</v>
      </c>
      <c r="E213" s="65">
        <v>-150</v>
      </c>
      <c r="F213" s="65">
        <v>150</v>
      </c>
      <c r="G213" s="68">
        <f>+IFERROR(VLOOKUP(A213,[2]Sheet5!$A$3:$D$1335,4,0),0)</f>
        <v>2.6</v>
      </c>
      <c r="H213" s="68">
        <f t="shared" si="3"/>
        <v>390</v>
      </c>
    </row>
    <row r="214" spans="1:8" x14ac:dyDescent="0.3">
      <c r="A214" s="63" t="s">
        <v>1970</v>
      </c>
      <c r="B214" s="64" t="s">
        <v>1971</v>
      </c>
      <c r="C214" s="64" t="s">
        <v>1647</v>
      </c>
      <c r="D214" s="65">
        <v>1</v>
      </c>
      <c r="E214" s="65">
        <v>-100</v>
      </c>
      <c r="F214" s="65">
        <v>100</v>
      </c>
      <c r="G214" s="68">
        <f>+IFERROR(VLOOKUP(A214,[2]Sheet5!$A$3:$D$1335,4,0),0)</f>
        <v>1.65</v>
      </c>
      <c r="H214" s="68">
        <f t="shared" si="3"/>
        <v>165</v>
      </c>
    </row>
    <row r="215" spans="1:8" x14ac:dyDescent="0.3">
      <c r="A215" s="73" t="s">
        <v>2455</v>
      </c>
      <c r="B215" s="73"/>
      <c r="C215" s="73"/>
      <c r="D215" s="74"/>
      <c r="E215" s="74"/>
      <c r="F215" s="74"/>
      <c r="G215" s="74"/>
      <c r="H215" s="74">
        <f>SUM(H211:H214)</f>
        <v>2166.3599999999997</v>
      </c>
    </row>
    <row r="216" spans="1:8" x14ac:dyDescent="0.3">
      <c r="A216" s="63" t="s">
        <v>2162</v>
      </c>
      <c r="B216" s="64" t="s">
        <v>2163</v>
      </c>
      <c r="C216" s="64" t="s">
        <v>2157</v>
      </c>
      <c r="D216" s="65">
        <v>15</v>
      </c>
      <c r="E216" s="65">
        <v>-570</v>
      </c>
      <c r="F216" s="65">
        <v>570</v>
      </c>
      <c r="G216" s="68">
        <f>+IFERROR(VLOOKUP(A216,[2]Sheet5!$A$3:$D$1335,4,0),0)</f>
        <v>1.32</v>
      </c>
      <c r="H216" s="68">
        <f t="shared" si="3"/>
        <v>752.40000000000009</v>
      </c>
    </row>
    <row r="217" spans="1:8" x14ac:dyDescent="0.3">
      <c r="A217" s="63" t="s">
        <v>2164</v>
      </c>
      <c r="B217" s="64" t="s">
        <v>2165</v>
      </c>
      <c r="C217" s="64" t="s">
        <v>2157</v>
      </c>
      <c r="D217" s="65">
        <v>15</v>
      </c>
      <c r="E217" s="65">
        <v>-585</v>
      </c>
      <c r="F217" s="65">
        <v>585</v>
      </c>
      <c r="G217" s="68">
        <f>+IFERROR(VLOOKUP(A217,[2]Sheet5!$A$3:$D$1335,4,0),0)</f>
        <v>1.49</v>
      </c>
      <c r="H217" s="68">
        <f t="shared" si="3"/>
        <v>871.65</v>
      </c>
    </row>
    <row r="218" spans="1:8" x14ac:dyDescent="0.3">
      <c r="A218" s="67" t="s">
        <v>2219</v>
      </c>
      <c r="B218" s="68" t="s">
        <v>2220</v>
      </c>
      <c r="C218" s="68" t="s">
        <v>2157</v>
      </c>
      <c r="D218" s="65">
        <v>15</v>
      </c>
      <c r="E218" s="65">
        <v>-150</v>
      </c>
      <c r="F218" s="65">
        <v>150</v>
      </c>
      <c r="G218" s="68">
        <f>+IFERROR(VLOOKUP(A218,[2]Sheet5!$A$3:$D$1335,4,0),0)</f>
        <v>1.32</v>
      </c>
      <c r="H218" s="68">
        <f t="shared" si="3"/>
        <v>198</v>
      </c>
    </row>
    <row r="219" spans="1:8" x14ac:dyDescent="0.3">
      <c r="A219" s="73" t="s">
        <v>2456</v>
      </c>
      <c r="B219" s="73"/>
      <c r="C219" s="73"/>
      <c r="D219" s="74"/>
      <c r="E219" s="74"/>
      <c r="F219" s="74"/>
      <c r="G219" s="74"/>
      <c r="H219" s="74">
        <f>SUM(H216:H218)</f>
        <v>1822.0500000000002</v>
      </c>
    </row>
    <row r="220" spans="1:8" x14ac:dyDescent="0.3">
      <c r="A220" s="63" t="s">
        <v>1909</v>
      </c>
      <c r="B220" s="64" t="s">
        <v>1910</v>
      </c>
      <c r="C220" s="64" t="s">
        <v>1898</v>
      </c>
      <c r="D220" s="65">
        <v>1</v>
      </c>
      <c r="E220" s="65">
        <v>-1</v>
      </c>
      <c r="F220" s="65">
        <v>1</v>
      </c>
      <c r="G220" s="68">
        <f>+IFERROR(VLOOKUP(A220,[2]Sheet5!$A$3:$D$1335,4,0),0)</f>
        <v>41.7</v>
      </c>
      <c r="H220" s="68">
        <f t="shared" si="3"/>
        <v>41.7</v>
      </c>
    </row>
    <row r="221" spans="1:8" x14ac:dyDescent="0.3">
      <c r="A221" s="63" t="s">
        <v>1931</v>
      </c>
      <c r="B221" s="64" t="s">
        <v>1932</v>
      </c>
      <c r="C221" s="64" t="s">
        <v>1898</v>
      </c>
      <c r="D221" s="65">
        <v>1</v>
      </c>
      <c r="E221" s="65">
        <v>-5</v>
      </c>
      <c r="F221" s="65">
        <v>5</v>
      </c>
      <c r="G221" s="68">
        <f>+IFERROR(VLOOKUP(A221,[2]Sheet5!$A$3:$D$1335,4,0),0)</f>
        <v>20.5</v>
      </c>
      <c r="H221" s="68">
        <f t="shared" si="3"/>
        <v>102.5</v>
      </c>
    </row>
    <row r="222" spans="1:8" x14ac:dyDescent="0.3">
      <c r="A222" s="63" t="s">
        <v>1957</v>
      </c>
      <c r="B222" s="64" t="s">
        <v>1958</v>
      </c>
      <c r="C222" s="64" t="s">
        <v>1898</v>
      </c>
      <c r="D222" s="65">
        <v>1</v>
      </c>
      <c r="E222" s="65">
        <v>-23</v>
      </c>
      <c r="F222" s="65">
        <v>23</v>
      </c>
      <c r="G222" s="68">
        <f>+IFERROR(VLOOKUP(A222,[2]Sheet5!$A$3:$D$1335,4,0),0)</f>
        <v>18.5</v>
      </c>
      <c r="H222" s="68">
        <f t="shared" si="3"/>
        <v>425.5</v>
      </c>
    </row>
    <row r="223" spans="1:8" x14ac:dyDescent="0.3">
      <c r="A223" s="68" t="s">
        <v>2391</v>
      </c>
      <c r="B223" s="68" t="s">
        <v>2392</v>
      </c>
      <c r="C223" s="67" t="s">
        <v>2070</v>
      </c>
      <c r="D223" s="65">
        <v>1</v>
      </c>
      <c r="E223" s="65">
        <v>-9</v>
      </c>
      <c r="F223" s="65">
        <v>9</v>
      </c>
      <c r="G223" s="68">
        <f>+IFERROR(VLOOKUP(A223,[2]Sheet5!$A$3:$D$1335,4,0),0)</f>
        <v>18</v>
      </c>
      <c r="H223" s="68">
        <f t="shared" si="3"/>
        <v>162</v>
      </c>
    </row>
    <row r="224" spans="1:8" x14ac:dyDescent="0.3">
      <c r="A224" s="68" t="s">
        <v>2393</v>
      </c>
      <c r="B224" s="68" t="s">
        <v>2394</v>
      </c>
      <c r="C224" s="67" t="s">
        <v>2070</v>
      </c>
      <c r="D224" s="65">
        <v>1</v>
      </c>
      <c r="E224" s="65">
        <v>-25</v>
      </c>
      <c r="F224" s="65">
        <v>25</v>
      </c>
      <c r="G224" s="68">
        <f>+IFERROR(VLOOKUP(A224,[2]Sheet5!$A$3:$D$1335,4,0),0)</f>
        <v>22.5</v>
      </c>
      <c r="H224" s="68">
        <f t="shared" si="3"/>
        <v>562.5</v>
      </c>
    </row>
    <row r="225" spans="1:8" x14ac:dyDescent="0.3">
      <c r="A225" s="71" t="s">
        <v>2408</v>
      </c>
      <c r="B225" s="68" t="s">
        <v>2392</v>
      </c>
      <c r="C225" s="67" t="s">
        <v>2070</v>
      </c>
      <c r="D225" s="65">
        <v>1</v>
      </c>
      <c r="E225" s="65">
        <v>-4</v>
      </c>
      <c r="F225" s="65">
        <v>4</v>
      </c>
      <c r="G225" s="68">
        <f>+IFERROR(VLOOKUP(A225,[2]Sheet5!$A$3:$D$1335,4,0),0)</f>
        <v>18</v>
      </c>
      <c r="H225" s="68">
        <f t="shared" si="3"/>
        <v>72</v>
      </c>
    </row>
    <row r="226" spans="1:8" x14ac:dyDescent="0.3">
      <c r="A226" s="73" t="s">
        <v>2457</v>
      </c>
      <c r="B226" s="73"/>
      <c r="C226" s="73"/>
      <c r="D226" s="74"/>
      <c r="E226" s="74"/>
      <c r="F226" s="74"/>
      <c r="G226" s="74"/>
      <c r="H226" s="74">
        <f>SUM(H220:H225)</f>
        <v>1366.2</v>
      </c>
    </row>
    <row r="229" spans="1:8" x14ac:dyDescent="0.3">
      <c r="A229" s="73" t="s">
        <v>2448</v>
      </c>
      <c r="B229" s="73"/>
      <c r="C229" s="73"/>
      <c r="D229" s="74"/>
      <c r="E229" s="74"/>
      <c r="F229" s="74"/>
      <c r="G229" s="74">
        <v>912.26343499999973</v>
      </c>
      <c r="H229" s="74"/>
    </row>
    <row r="230" spans="1:8" x14ac:dyDescent="0.3">
      <c r="A230" s="73" t="s">
        <v>2449</v>
      </c>
      <c r="B230" s="73"/>
      <c r="C230" s="73"/>
      <c r="D230" s="74"/>
      <c r="E230" s="74"/>
      <c r="F230" s="74"/>
      <c r="G230" s="74">
        <v>7657.2735600000005</v>
      </c>
      <c r="H230" s="74"/>
    </row>
    <row r="231" spans="1:8" x14ac:dyDescent="0.3">
      <c r="A231" s="73" t="s">
        <v>2450</v>
      </c>
      <c r="B231" s="73"/>
      <c r="C231" s="73"/>
      <c r="D231" s="74"/>
      <c r="E231" s="74"/>
      <c r="F231" s="74"/>
      <c r="G231" s="74">
        <v>10009.8876</v>
      </c>
      <c r="H231" s="74"/>
    </row>
    <row r="232" spans="1:8" x14ac:dyDescent="0.3">
      <c r="A232" s="73" t="s">
        <v>2451</v>
      </c>
      <c r="B232" s="73"/>
      <c r="C232" s="73"/>
      <c r="D232" s="74"/>
      <c r="E232" s="74"/>
      <c r="F232" s="74"/>
      <c r="G232" s="74">
        <v>2398.6592999999998</v>
      </c>
      <c r="H232" s="74"/>
    </row>
    <row r="233" spans="1:8" x14ac:dyDescent="0.3">
      <c r="A233" s="75" t="s">
        <v>2135</v>
      </c>
      <c r="B233" s="76"/>
      <c r="C233" s="77"/>
      <c r="D233" s="74"/>
      <c r="E233" s="74"/>
      <c r="F233" s="74"/>
      <c r="G233" s="74">
        <v>114.66149999999999</v>
      </c>
      <c r="H233" s="74"/>
    </row>
    <row r="234" spans="1:8" x14ac:dyDescent="0.3">
      <c r="A234" s="79"/>
      <c r="B234" s="78" t="s">
        <v>2458</v>
      </c>
      <c r="C234" s="80"/>
      <c r="D234" s="81"/>
      <c r="E234" s="81"/>
      <c r="F234" s="81"/>
      <c r="G234" s="81">
        <f>SUM(G229:G233)</f>
        <v>21092.745394999998</v>
      </c>
      <c r="H234" s="81" t="s">
        <v>2459</v>
      </c>
    </row>
    <row r="235" spans="1:8" x14ac:dyDescent="0.3">
      <c r="A235" s="73" t="s">
        <v>2452</v>
      </c>
      <c r="B235" s="73"/>
      <c r="C235" s="73"/>
      <c r="D235" s="74"/>
      <c r="E235" s="74"/>
      <c r="F235" s="74"/>
      <c r="G235" s="74">
        <v>11380.613333333335</v>
      </c>
      <c r="H235" s="74"/>
    </row>
    <row r="236" spans="1:8" x14ac:dyDescent="0.3">
      <c r="A236" s="73" t="s">
        <v>2453</v>
      </c>
      <c r="B236" s="73"/>
      <c r="C236" s="73"/>
      <c r="D236" s="74"/>
      <c r="E236" s="74"/>
      <c r="F236" s="74"/>
      <c r="G236" s="74">
        <v>10545.900000000001</v>
      </c>
      <c r="H236" s="74"/>
    </row>
    <row r="237" spans="1:8" x14ac:dyDescent="0.3">
      <c r="A237" s="73" t="s">
        <v>2454</v>
      </c>
      <c r="B237" s="73"/>
      <c r="C237" s="73"/>
      <c r="D237" s="74"/>
      <c r="E237" s="74"/>
      <c r="F237" s="74"/>
      <c r="G237" s="74">
        <v>54567.320000000007</v>
      </c>
      <c r="H237" s="74"/>
    </row>
    <row r="238" spans="1:8" x14ac:dyDescent="0.3">
      <c r="A238" s="73" t="s">
        <v>2455</v>
      </c>
      <c r="B238" s="73"/>
      <c r="C238" s="73"/>
      <c r="D238" s="74"/>
      <c r="E238" s="74"/>
      <c r="F238" s="74"/>
      <c r="G238" s="74">
        <v>2166.3599999999997</v>
      </c>
      <c r="H238" s="74"/>
    </row>
    <row r="239" spans="1:8" x14ac:dyDescent="0.3">
      <c r="A239" s="73" t="s">
        <v>2456</v>
      </c>
      <c r="B239" s="73"/>
      <c r="C239" s="73"/>
      <c r="D239" s="74"/>
      <c r="E239" s="74"/>
      <c r="F239" s="74"/>
      <c r="G239" s="74">
        <v>1822.0500000000002</v>
      </c>
      <c r="H239" s="74"/>
    </row>
    <row r="240" spans="1:8" x14ac:dyDescent="0.3">
      <c r="A240" s="73" t="s">
        <v>2457</v>
      </c>
      <c r="B240" s="73"/>
      <c r="C240" s="73"/>
      <c r="D240" s="74"/>
      <c r="E240" s="74"/>
      <c r="F240" s="74"/>
      <c r="G240" s="74">
        <v>1366.2</v>
      </c>
      <c r="H240" s="74"/>
    </row>
    <row r="241" spans="1:8" x14ac:dyDescent="0.3">
      <c r="A241" s="79"/>
      <c r="B241" s="78" t="s">
        <v>2458</v>
      </c>
      <c r="C241" s="80"/>
      <c r="D241" s="81"/>
      <c r="E241" s="81"/>
      <c r="F241" s="81"/>
      <c r="G241" s="81">
        <f>SUM(G235:G240)</f>
        <v>81848.443333333344</v>
      </c>
      <c r="H241" s="81" t="s">
        <v>2460</v>
      </c>
    </row>
  </sheetData>
  <autoFilter ref="A1:H226" xr:uid="{CE520790-ADAE-4EF4-80FE-22423C6410BC}"/>
  <mergeCells count="22">
    <mergeCell ref="A237:C237"/>
    <mergeCell ref="A238:C238"/>
    <mergeCell ref="A239:C239"/>
    <mergeCell ref="A240:C240"/>
    <mergeCell ref="A230:C230"/>
    <mergeCell ref="A231:C231"/>
    <mergeCell ref="A232:C232"/>
    <mergeCell ref="A233:C233"/>
    <mergeCell ref="A235:C235"/>
    <mergeCell ref="A236:C236"/>
    <mergeCell ref="A210:C210"/>
    <mergeCell ref="A215:C215"/>
    <mergeCell ref="A219:C219"/>
    <mergeCell ref="A226:C226"/>
    <mergeCell ref="A175:C175"/>
    <mergeCell ref="A229:C229"/>
    <mergeCell ref="A44:C44"/>
    <mergeCell ref="A101:C101"/>
    <mergeCell ref="A137:C137"/>
    <mergeCell ref="A169:C169"/>
    <mergeCell ref="A180:C180"/>
    <mergeCell ref="A184:C184"/>
  </mergeCells>
  <conditionalFormatting sqref="A1">
    <cfRule type="duplicateValues" dxfId="85" priority="88"/>
  </conditionalFormatting>
  <conditionalFormatting sqref="E1:E43 E170:E174">
    <cfRule type="cellIs" dxfId="84" priority="87" operator="lessThan">
      <formula>0</formula>
    </cfRule>
  </conditionalFormatting>
  <conditionalFormatting sqref="A2:A43">
    <cfRule type="duplicateValues" dxfId="83" priority="86"/>
  </conditionalFormatting>
  <conditionalFormatting sqref="A2:A43">
    <cfRule type="duplicateValues" dxfId="82" priority="85"/>
  </conditionalFormatting>
  <conditionalFormatting sqref="A2:A43">
    <cfRule type="duplicateValues" dxfId="81" priority="84"/>
  </conditionalFormatting>
  <conditionalFormatting sqref="A2:A43">
    <cfRule type="duplicateValues" dxfId="80" priority="83"/>
  </conditionalFormatting>
  <conditionalFormatting sqref="A41">
    <cfRule type="duplicateValues" dxfId="79" priority="82"/>
  </conditionalFormatting>
  <conditionalFormatting sqref="A42">
    <cfRule type="duplicateValues" dxfId="78" priority="81"/>
  </conditionalFormatting>
  <conditionalFormatting sqref="A43">
    <cfRule type="duplicateValues" dxfId="77" priority="80"/>
  </conditionalFormatting>
  <conditionalFormatting sqref="E45:E100">
    <cfRule type="cellIs" dxfId="76" priority="79" operator="lessThan">
      <formula>0</formula>
    </cfRule>
  </conditionalFormatting>
  <conditionalFormatting sqref="A45:A100">
    <cfRule type="duplicateValues" dxfId="75" priority="78"/>
  </conditionalFormatting>
  <conditionalFormatting sqref="A45:A100">
    <cfRule type="duplicateValues" dxfId="74" priority="77"/>
  </conditionalFormatting>
  <conditionalFormatting sqref="A45:A100">
    <cfRule type="duplicateValues" dxfId="73" priority="76"/>
  </conditionalFormatting>
  <conditionalFormatting sqref="A45:A100">
    <cfRule type="duplicateValues" dxfId="72" priority="75"/>
  </conditionalFormatting>
  <conditionalFormatting sqref="E102:E136">
    <cfRule type="cellIs" dxfId="71" priority="74" operator="lessThan">
      <formula>0</formula>
    </cfRule>
  </conditionalFormatting>
  <conditionalFormatting sqref="A110:A132 A102:A108">
    <cfRule type="duplicateValues" dxfId="70" priority="73"/>
  </conditionalFormatting>
  <conditionalFormatting sqref="A102:A132">
    <cfRule type="duplicateValues" dxfId="69" priority="72"/>
  </conditionalFormatting>
  <conditionalFormatting sqref="A102:A132">
    <cfRule type="duplicateValues" dxfId="68" priority="71"/>
  </conditionalFormatting>
  <conditionalFormatting sqref="A102:A136">
    <cfRule type="duplicateValues" dxfId="67" priority="70"/>
  </conditionalFormatting>
  <conditionalFormatting sqref="A109">
    <cfRule type="duplicateValues" dxfId="66" priority="69"/>
  </conditionalFormatting>
  <conditionalFormatting sqref="A131">
    <cfRule type="duplicateValues" dxfId="65" priority="68"/>
  </conditionalFormatting>
  <conditionalFormatting sqref="A133:A134">
    <cfRule type="duplicateValues" dxfId="64" priority="66"/>
    <cfRule type="duplicateValues" dxfId="63" priority="67"/>
  </conditionalFormatting>
  <conditionalFormatting sqref="A135:A136">
    <cfRule type="duplicateValues" dxfId="62" priority="64"/>
    <cfRule type="duplicateValues" dxfId="61" priority="65"/>
  </conditionalFormatting>
  <conditionalFormatting sqref="E138:E168">
    <cfRule type="cellIs" dxfId="60" priority="63" operator="lessThan">
      <formula>0</formula>
    </cfRule>
  </conditionalFormatting>
  <conditionalFormatting sqref="A138:A165">
    <cfRule type="duplicateValues" dxfId="59" priority="62"/>
  </conditionalFormatting>
  <conditionalFormatting sqref="A138:A165">
    <cfRule type="duplicateValues" dxfId="58" priority="61"/>
  </conditionalFormatting>
  <conditionalFormatting sqref="A138:A166">
    <cfRule type="duplicateValues" dxfId="57" priority="60"/>
  </conditionalFormatting>
  <conditionalFormatting sqref="A138:A168">
    <cfRule type="duplicateValues" dxfId="56" priority="59"/>
  </conditionalFormatting>
  <conditionalFormatting sqref="A161">
    <cfRule type="duplicateValues" dxfId="55" priority="58"/>
  </conditionalFormatting>
  <conditionalFormatting sqref="A166">
    <cfRule type="duplicateValues" dxfId="54" priority="57"/>
  </conditionalFormatting>
  <conditionalFormatting sqref="A167:A168">
    <cfRule type="duplicateValues" dxfId="53" priority="55"/>
    <cfRule type="duplicateValues" dxfId="52" priority="56"/>
  </conditionalFormatting>
  <conditionalFormatting sqref="A170:A173">
    <cfRule type="duplicateValues" dxfId="51" priority="52"/>
  </conditionalFormatting>
  <conditionalFormatting sqref="A170:A173">
    <cfRule type="duplicateValues" dxfId="50" priority="51"/>
  </conditionalFormatting>
  <conditionalFormatting sqref="A170:A174">
    <cfRule type="duplicateValues" dxfId="49" priority="50"/>
  </conditionalFormatting>
  <conditionalFormatting sqref="A170:A174">
    <cfRule type="duplicateValues" dxfId="48" priority="49"/>
  </conditionalFormatting>
  <conditionalFormatting sqref="A174">
    <cfRule type="duplicateValues" dxfId="47" priority="47"/>
    <cfRule type="duplicateValues" dxfId="46" priority="48"/>
  </conditionalFormatting>
  <conditionalFormatting sqref="E176:E179">
    <cfRule type="cellIs" dxfId="45" priority="46" operator="lessThan">
      <formula>0</formula>
    </cfRule>
  </conditionalFormatting>
  <conditionalFormatting sqref="A176:A179">
    <cfRule type="duplicateValues" dxfId="44" priority="45"/>
  </conditionalFormatting>
  <conditionalFormatting sqref="A176:A179">
    <cfRule type="duplicateValues" dxfId="43" priority="44"/>
  </conditionalFormatting>
  <conditionalFormatting sqref="A176:A179">
    <cfRule type="duplicateValues" dxfId="42" priority="43"/>
  </conditionalFormatting>
  <conditionalFormatting sqref="A176:A179">
    <cfRule type="duplicateValues" dxfId="41" priority="42"/>
  </conditionalFormatting>
  <conditionalFormatting sqref="E181:E183">
    <cfRule type="cellIs" dxfId="40" priority="41" operator="lessThan">
      <formula>0</formula>
    </cfRule>
  </conditionalFormatting>
  <conditionalFormatting sqref="A181:A183">
    <cfRule type="duplicateValues" dxfId="39" priority="40"/>
  </conditionalFormatting>
  <conditionalFormatting sqref="A181:A183">
    <cfRule type="duplicateValues" dxfId="38" priority="39"/>
  </conditionalFormatting>
  <conditionalFormatting sqref="A181:A183">
    <cfRule type="duplicateValues" dxfId="37" priority="38"/>
  </conditionalFormatting>
  <conditionalFormatting sqref="A181:A183">
    <cfRule type="duplicateValues" dxfId="36" priority="37"/>
  </conditionalFormatting>
  <conditionalFormatting sqref="E185:E209">
    <cfRule type="cellIs" dxfId="35" priority="36" operator="lessThan">
      <formula>0</formula>
    </cfRule>
  </conditionalFormatting>
  <conditionalFormatting sqref="A185:A209">
    <cfRule type="duplicateValues" dxfId="34" priority="35"/>
  </conditionalFormatting>
  <conditionalFormatting sqref="A185:A209">
    <cfRule type="duplicateValues" dxfId="33" priority="34"/>
  </conditionalFormatting>
  <conditionalFormatting sqref="A185:A209">
    <cfRule type="duplicateValues" dxfId="32" priority="33"/>
  </conditionalFormatting>
  <conditionalFormatting sqref="A185:A209">
    <cfRule type="duplicateValues" dxfId="31" priority="32"/>
  </conditionalFormatting>
  <conditionalFormatting sqref="E211:E214">
    <cfRule type="cellIs" dxfId="30" priority="31" operator="lessThan">
      <formula>0</formula>
    </cfRule>
  </conditionalFormatting>
  <conditionalFormatting sqref="A211:A214">
    <cfRule type="duplicateValues" dxfId="29" priority="30"/>
  </conditionalFormatting>
  <conditionalFormatting sqref="A211:A214">
    <cfRule type="duplicateValues" dxfId="28" priority="29"/>
  </conditionalFormatting>
  <conditionalFormatting sqref="A211:A214">
    <cfRule type="duplicateValues" dxfId="27" priority="28"/>
  </conditionalFormatting>
  <conditionalFormatting sqref="A211:A214">
    <cfRule type="duplicateValues" dxfId="26" priority="27"/>
  </conditionalFormatting>
  <conditionalFormatting sqref="E216:E218">
    <cfRule type="cellIs" dxfId="25" priority="26" operator="lessThan">
      <formula>0</formula>
    </cfRule>
  </conditionalFormatting>
  <conditionalFormatting sqref="A216:A218">
    <cfRule type="duplicateValues" dxfId="24" priority="25"/>
  </conditionalFormatting>
  <conditionalFormatting sqref="A216:A218">
    <cfRule type="duplicateValues" dxfId="23" priority="24"/>
  </conditionalFormatting>
  <conditionalFormatting sqref="A216:A217">
    <cfRule type="duplicateValues" dxfId="22" priority="23"/>
  </conditionalFormatting>
  <conditionalFormatting sqref="A218">
    <cfRule type="duplicateValues" dxfId="21" priority="22"/>
  </conditionalFormatting>
  <conditionalFormatting sqref="A218">
    <cfRule type="duplicateValues" dxfId="20" priority="21"/>
  </conditionalFormatting>
  <conditionalFormatting sqref="E220:E225">
    <cfRule type="cellIs" dxfId="19" priority="20" operator="lessThan">
      <formula>0</formula>
    </cfRule>
  </conditionalFormatting>
  <conditionalFormatting sqref="A220:A222">
    <cfRule type="duplicateValues" dxfId="18" priority="19"/>
  </conditionalFormatting>
  <conditionalFormatting sqref="A220:A222">
    <cfRule type="duplicateValues" dxfId="17" priority="18"/>
  </conditionalFormatting>
  <conditionalFormatting sqref="A220:A222">
    <cfRule type="duplicateValues" dxfId="16" priority="17"/>
  </conditionalFormatting>
  <conditionalFormatting sqref="A220:A224">
    <cfRule type="duplicateValues" dxfId="15" priority="16"/>
  </conditionalFormatting>
  <conditionalFormatting sqref="A223:A224">
    <cfRule type="duplicateValues" dxfId="14" priority="15"/>
  </conditionalFormatting>
  <conditionalFormatting sqref="A225">
    <cfRule type="duplicateValues" dxfId="13" priority="13"/>
    <cfRule type="duplicateValues" dxfId="12" priority="14"/>
  </conditionalFormatting>
  <conditionalFormatting sqref="G1:H1">
    <cfRule type="cellIs" dxfId="11" priority="12" operator="lessThan">
      <formula>0</formula>
    </cfRule>
  </conditionalFormatting>
  <conditionalFormatting sqref="F2:F43 F170:F174">
    <cfRule type="cellIs" dxfId="9" priority="10" operator="lessThan">
      <formula>0</formula>
    </cfRule>
  </conditionalFormatting>
  <conditionalFormatting sqref="F45:F100">
    <cfRule type="cellIs" dxfId="8" priority="9" operator="lessThan">
      <formula>0</formula>
    </cfRule>
  </conditionalFormatting>
  <conditionalFormatting sqref="F102:F136">
    <cfRule type="cellIs" dxfId="7" priority="8" operator="lessThan">
      <formula>0</formula>
    </cfRule>
  </conditionalFormatting>
  <conditionalFormatting sqref="F138:F168">
    <cfRule type="cellIs" dxfId="6" priority="7" operator="lessThan">
      <formula>0</formula>
    </cfRule>
  </conditionalFormatting>
  <conditionalFormatting sqref="F176:F179">
    <cfRule type="cellIs" dxfId="5" priority="6" operator="lessThan">
      <formula>0</formula>
    </cfRule>
  </conditionalFormatting>
  <conditionalFormatting sqref="F181:F183">
    <cfRule type="cellIs" dxfId="4" priority="5" operator="lessThan">
      <formula>0</formula>
    </cfRule>
  </conditionalFormatting>
  <conditionalFormatting sqref="F185:F209">
    <cfRule type="cellIs" dxfId="3" priority="4" operator="lessThan">
      <formula>0</formula>
    </cfRule>
  </conditionalFormatting>
  <conditionalFormatting sqref="F211:F214">
    <cfRule type="cellIs" dxfId="2" priority="3" operator="lessThan">
      <formula>0</formula>
    </cfRule>
  </conditionalFormatting>
  <conditionalFormatting sqref="F216:F218">
    <cfRule type="cellIs" dxfId="1" priority="2" operator="lessThan">
      <formula>0</formula>
    </cfRule>
  </conditionalFormatting>
  <conditionalFormatting sqref="F220:F225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FG Stock</vt:lpstr>
      <vt:lpstr>Pending Prod.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2026-09-04T09:10:02Z</dcterms:modified>
</cp:coreProperties>
</file>