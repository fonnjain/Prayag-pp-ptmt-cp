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TRA 2026-27\"/>
    </mc:Choice>
  </mc:AlternateContent>
  <xr:revisionPtr revIDLastSave="0" documentId="13_ncr:1_{FA1F0291-3DDB-462C-BB23-83B91998A3A5}" xr6:coauthVersionLast="47" xr6:coauthVersionMax="47" xr10:uidLastSave="{00000000-0000-0000-0000-000000000000}"/>
  <bookViews>
    <workbookView xWindow="-110" yWindow="-110" windowWidth="19420" windowHeight="10420" xr2:uid="{0B9A3564-E845-4C7A-9A24-D081FAF20902}"/>
  </bookViews>
  <sheets>
    <sheet name="CP" sheetId="1" r:id="rId1"/>
    <sheet name="PTMT" sheetId="2" r:id="rId2"/>
    <sheet name="SINK" sheetId="3" r:id="rId3"/>
    <sheet name="PLUMBING" sheetId="4" r:id="rId4"/>
  </sheets>
  <definedNames>
    <definedName name="_xlnm._FilterDatabase" localSheetId="0" hidden="1">CP!$A$2:$G$2</definedName>
    <definedName name="_xlnm._FilterDatabase" localSheetId="3" hidden="1">PLUMBING!$A$2:$E$318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  <c r="C1" i="1"/>
  <c r="H17" i="4" l="1"/>
  <c r="E1" i="4" l="1"/>
  <c r="C1" i="2"/>
  <c r="F7" i="3"/>
  <c r="C1" i="3"/>
</calcChain>
</file>

<file path=xl/sharedStrings.xml><?xml version="1.0" encoding="utf-8"?>
<sst xmlns="http://schemas.openxmlformats.org/spreadsheetml/2006/main" count="1893" uniqueCount="1011">
  <si>
    <t> Item Code</t>
  </si>
  <si>
    <t>Color</t>
  </si>
  <si>
    <t>Qty</t>
  </si>
  <si>
    <t>1220D</t>
  </si>
  <si>
    <t>B/D</t>
  </si>
  <si>
    <t>1224XD</t>
  </si>
  <si>
    <t>1225D</t>
  </si>
  <si>
    <t>1239D</t>
  </si>
  <si>
    <t>SINK</t>
  </si>
  <si>
    <t>1242D</t>
  </si>
  <si>
    <t>H.MADE</t>
  </si>
  <si>
    <t>616-D</t>
  </si>
  <si>
    <t>620-D</t>
  </si>
  <si>
    <t>624-D</t>
  </si>
  <si>
    <t>624XD</t>
  </si>
  <si>
    <t>816-D</t>
  </si>
  <si>
    <t>818-D</t>
  </si>
  <si>
    <t>822-D</t>
  </si>
  <si>
    <t>824-D</t>
  </si>
  <si>
    <t>824-DM</t>
  </si>
  <si>
    <t>824XD</t>
  </si>
  <si>
    <t>825-D</t>
  </si>
  <si>
    <t>916-D</t>
  </si>
  <si>
    <t>924-D</t>
  </si>
  <si>
    <t>924XD</t>
  </si>
  <si>
    <t>940-D</t>
  </si>
  <si>
    <t>942-D</t>
  </si>
  <si>
    <t>944-D</t>
  </si>
  <si>
    <t>944DM</t>
  </si>
  <si>
    <t>H817-D</t>
  </si>
  <si>
    <t>H817-DD</t>
  </si>
  <si>
    <t>H821-D</t>
  </si>
  <si>
    <t>H821-DD</t>
  </si>
  <si>
    <t>H826-D</t>
  </si>
  <si>
    <t>H826-DD</t>
  </si>
  <si>
    <t>H843-D</t>
  </si>
  <si>
    <t>H843-DD</t>
  </si>
  <si>
    <t>H852-D</t>
  </si>
  <si>
    <t>H852-DD</t>
  </si>
  <si>
    <t>PSS-16</t>
  </si>
  <si>
    <t>PSS-5</t>
  </si>
  <si>
    <t>Item Code</t>
  </si>
  <si>
    <t>Colour</t>
  </si>
  <si>
    <t>IVORY</t>
  </si>
  <si>
    <t>WHITE</t>
  </si>
  <si>
    <t>PINK</t>
  </si>
  <si>
    <t>BLUE</t>
  </si>
  <si>
    <t>GOLD</t>
  </si>
  <si>
    <t>121-A</t>
  </si>
  <si>
    <t>131-A</t>
  </si>
  <si>
    <t>144-A</t>
  </si>
  <si>
    <t>121-AP</t>
  </si>
  <si>
    <t>124-AP</t>
  </si>
  <si>
    <t>129-AP</t>
  </si>
  <si>
    <t>144-AP</t>
  </si>
  <si>
    <t>145-AP</t>
  </si>
  <si>
    <t>147-AP</t>
  </si>
  <si>
    <t>1322-AP</t>
  </si>
  <si>
    <t>123-AF</t>
  </si>
  <si>
    <t>127-B</t>
  </si>
  <si>
    <t>129-B</t>
  </si>
  <si>
    <t>132-B</t>
  </si>
  <si>
    <t>147-B</t>
  </si>
  <si>
    <t>1375-B</t>
  </si>
  <si>
    <t>1813-B</t>
  </si>
  <si>
    <t>120-C</t>
  </si>
  <si>
    <t>132-C</t>
  </si>
  <si>
    <t>134-C</t>
  </si>
  <si>
    <t>181-C</t>
  </si>
  <si>
    <t>1311-C</t>
  </si>
  <si>
    <t>1375-C</t>
  </si>
  <si>
    <t>1491-C</t>
  </si>
  <si>
    <t>1813-C</t>
  </si>
  <si>
    <t>1817-C</t>
  </si>
  <si>
    <t>1821-C</t>
  </si>
  <si>
    <t>1813-CR</t>
  </si>
  <si>
    <t>R BLUE</t>
  </si>
  <si>
    <t>123-D</t>
  </si>
  <si>
    <t>129-D</t>
  </si>
  <si>
    <t>130-D</t>
  </si>
  <si>
    <t>132-D</t>
  </si>
  <si>
    <t>147-D</t>
  </si>
  <si>
    <t>1322-D</t>
  </si>
  <si>
    <t>123-DG</t>
  </si>
  <si>
    <t>134-DG</t>
  </si>
  <si>
    <t>145-DG</t>
  </si>
  <si>
    <t>1322-DG</t>
  </si>
  <si>
    <t>1375-DG</t>
  </si>
  <si>
    <t>123-DR</t>
  </si>
  <si>
    <t>134-DR</t>
  </si>
  <si>
    <t>121-E</t>
  </si>
  <si>
    <t>124-F</t>
  </si>
  <si>
    <t>551-F</t>
  </si>
  <si>
    <t>123-FP</t>
  </si>
  <si>
    <t>123-FH</t>
  </si>
  <si>
    <t>124-FH</t>
  </si>
  <si>
    <t>124-H</t>
  </si>
  <si>
    <t>127-H</t>
  </si>
  <si>
    <t>129-H</t>
  </si>
  <si>
    <t>132-H</t>
  </si>
  <si>
    <t>BURGUNDY</t>
  </si>
  <si>
    <t>143-H</t>
  </si>
  <si>
    <t>144-H</t>
  </si>
  <si>
    <t>1311-H</t>
  </si>
  <si>
    <t>1375-H</t>
  </si>
  <si>
    <t>1491-H</t>
  </si>
  <si>
    <t>121-HR</t>
  </si>
  <si>
    <t>129-HR</t>
  </si>
  <si>
    <t>123-I</t>
  </si>
  <si>
    <t>130-I</t>
  </si>
  <si>
    <t>133-I</t>
  </si>
  <si>
    <t>150-I</t>
  </si>
  <si>
    <t>400-I</t>
  </si>
  <si>
    <t>130-L</t>
  </si>
  <si>
    <t>120-M</t>
  </si>
  <si>
    <t>123-N</t>
  </si>
  <si>
    <t>131-N</t>
  </si>
  <si>
    <t>149-N</t>
  </si>
  <si>
    <t>127-NR</t>
  </si>
  <si>
    <t>129-NR</t>
  </si>
  <si>
    <t>144-NR</t>
  </si>
  <si>
    <t>145-NR</t>
  </si>
  <si>
    <t>121-O</t>
  </si>
  <si>
    <t>124-O</t>
  </si>
  <si>
    <t>125-O</t>
  </si>
  <si>
    <t>127-O</t>
  </si>
  <si>
    <t>130-O</t>
  </si>
  <si>
    <t>132-O</t>
  </si>
  <si>
    <t>147-O</t>
  </si>
  <si>
    <t>123-P</t>
  </si>
  <si>
    <t>129-P</t>
  </si>
  <si>
    <t>145-P</t>
  </si>
  <si>
    <t>123-Q</t>
  </si>
  <si>
    <t>124-Q</t>
  </si>
  <si>
    <t>127-Q</t>
  </si>
  <si>
    <t>130-Q</t>
  </si>
  <si>
    <t>133-Q</t>
  </si>
  <si>
    <t>144-Q</t>
  </si>
  <si>
    <t>147-Q</t>
  </si>
  <si>
    <t>1322-Q</t>
  </si>
  <si>
    <t>1375-Q</t>
  </si>
  <si>
    <t>228-QT</t>
  </si>
  <si>
    <t>123-QG</t>
  </si>
  <si>
    <t>1375-QG</t>
  </si>
  <si>
    <t>123-QR</t>
  </si>
  <si>
    <t>129-QR</t>
  </si>
  <si>
    <t>130-QR</t>
  </si>
  <si>
    <t>132-QR</t>
  </si>
  <si>
    <t>145-QR</t>
  </si>
  <si>
    <t>1375-QR</t>
  </si>
  <si>
    <t>133-QB</t>
  </si>
  <si>
    <t>BLACK</t>
  </si>
  <si>
    <t>134-QB</t>
  </si>
  <si>
    <t>135-QB</t>
  </si>
  <si>
    <t>147-R</t>
  </si>
  <si>
    <t>187-R</t>
  </si>
  <si>
    <t>1322-R</t>
  </si>
  <si>
    <t>123-RG</t>
  </si>
  <si>
    <t>1375-RG</t>
  </si>
  <si>
    <t>132-RW</t>
  </si>
  <si>
    <t>WINE</t>
  </si>
  <si>
    <t>134-RR</t>
  </si>
  <si>
    <t>135-RR</t>
  </si>
  <si>
    <t>144-RR</t>
  </si>
  <si>
    <t>1375-RR</t>
  </si>
  <si>
    <t>130-RN</t>
  </si>
  <si>
    <t>120-S</t>
  </si>
  <si>
    <t>125-S</t>
  </si>
  <si>
    <t>129-S</t>
  </si>
  <si>
    <t>130-S</t>
  </si>
  <si>
    <t>132-S</t>
  </si>
  <si>
    <t>145-S</t>
  </si>
  <si>
    <t>147-S</t>
  </si>
  <si>
    <t>1375-S</t>
  </si>
  <si>
    <t>1375-SF</t>
  </si>
  <si>
    <t>147-SQ</t>
  </si>
  <si>
    <t>1375-SFR</t>
  </si>
  <si>
    <t>132-T</t>
  </si>
  <si>
    <t>144-T</t>
  </si>
  <si>
    <t>123-U</t>
  </si>
  <si>
    <t>129-U</t>
  </si>
  <si>
    <t>130-U</t>
  </si>
  <si>
    <t>145-U</t>
  </si>
  <si>
    <t>123-UB</t>
  </si>
  <si>
    <t>124-UB</t>
  </si>
  <si>
    <t>129-UB</t>
  </si>
  <si>
    <t>130-UB</t>
  </si>
  <si>
    <t>144-UB</t>
  </si>
  <si>
    <t>145-UB</t>
  </si>
  <si>
    <t>1375-UB</t>
  </si>
  <si>
    <t>124-UP</t>
  </si>
  <si>
    <t>PEACH</t>
  </si>
  <si>
    <t>130-UP</t>
  </si>
  <si>
    <t>123-UR</t>
  </si>
  <si>
    <t>124-UR</t>
  </si>
  <si>
    <t>130-UR</t>
  </si>
  <si>
    <t>132-UR</t>
  </si>
  <si>
    <t>144-UR</t>
  </si>
  <si>
    <t>145-UR</t>
  </si>
  <si>
    <t>147-UR</t>
  </si>
  <si>
    <t>1375-UR</t>
  </si>
  <si>
    <t>124-VP</t>
  </si>
  <si>
    <t>129-VP</t>
  </si>
  <si>
    <t>130-VP</t>
  </si>
  <si>
    <t>144-VP</t>
  </si>
  <si>
    <t>149-VP</t>
  </si>
  <si>
    <t>1375-VP</t>
  </si>
  <si>
    <t>124-W</t>
  </si>
  <si>
    <t>183-W</t>
  </si>
  <si>
    <t>187-W</t>
  </si>
  <si>
    <t>123-K</t>
  </si>
  <si>
    <t>124-K</t>
  </si>
  <si>
    <t>132-K</t>
  </si>
  <si>
    <t>144-K</t>
  </si>
  <si>
    <t>1311-K</t>
  </si>
  <si>
    <t>1491-K</t>
  </si>
  <si>
    <t>HF-190</t>
  </si>
  <si>
    <t>HF-191</t>
  </si>
  <si>
    <t>LF-153</t>
  </si>
  <si>
    <t>.</t>
  </si>
  <si>
    <t>LF-154</t>
  </si>
  <si>
    <t>LF-155</t>
  </si>
  <si>
    <t>LF-156</t>
  </si>
  <si>
    <t>PR-18</t>
  </si>
  <si>
    <t>DB-02L</t>
  </si>
  <si>
    <t>GREEN</t>
  </si>
  <si>
    <t>LB-01</t>
  </si>
  <si>
    <t>323-K</t>
  </si>
  <si>
    <t>PTA-18</t>
  </si>
  <si>
    <t>PTA-54</t>
  </si>
  <si>
    <t>PTA-73</t>
  </si>
  <si>
    <t>PTA-79</t>
  </si>
  <si>
    <t>CWP-02</t>
  </si>
  <si>
    <t>151-S</t>
  </si>
  <si>
    <t>P-121</t>
  </si>
  <si>
    <t>GREY</t>
  </si>
  <si>
    <t>P-124</t>
  </si>
  <si>
    <t>P-144</t>
  </si>
  <si>
    <t>PS-121</t>
  </si>
  <si>
    <t>PS-124</t>
  </si>
  <si>
    <t>PS-144</t>
  </si>
  <si>
    <t>1322-VP</t>
  </si>
  <si>
    <t>133-VP</t>
  </si>
  <si>
    <t>135-DG</t>
  </si>
  <si>
    <t>TOTAL</t>
  </si>
  <si>
    <t>Item Name</t>
  </si>
  <si>
    <t>Category</t>
  </si>
  <si>
    <t>Packing</t>
  </si>
  <si>
    <t>Pending Prod.</t>
  </si>
  <si>
    <t>PS-2</t>
  </si>
  <si>
    <t>3/4" CPVC SDR 11 CLASS 1</t>
  </si>
  <si>
    <t>PS-3</t>
  </si>
  <si>
    <t>1" CPVC SDR 11 CLASS 1</t>
  </si>
  <si>
    <t>PS-4</t>
  </si>
  <si>
    <t>1-1/4" CPVC SDR 11 CLASS 1</t>
  </si>
  <si>
    <t>PS-5</t>
  </si>
  <si>
    <t>1-1/2" CPVC SDR 11 CLASS 1</t>
  </si>
  <si>
    <t>PS-12</t>
  </si>
  <si>
    <t>3/4" CPVC SDR 13.5 CLASS 2</t>
  </si>
  <si>
    <t>PS-13</t>
  </si>
  <si>
    <t>1" CPVC SDR 13.5 CLASS 2</t>
  </si>
  <si>
    <t>PS-14</t>
  </si>
  <si>
    <t>1-1/4" CPVC SDR 13.5 CLASS 2</t>
  </si>
  <si>
    <t>PS-16</t>
  </si>
  <si>
    <t>1-1/2" CPVC SDR 13.5 CLASS 2</t>
  </si>
  <si>
    <t>PS-1S</t>
  </si>
  <si>
    <t>1/2" CPVC SDR 11 CLASS 1</t>
  </si>
  <si>
    <t>PS-2S</t>
  </si>
  <si>
    <t>CM21</t>
  </si>
  <si>
    <t>3/4" X 1/2" CPVC BRASS WALL MIXTURE INLET UPPER</t>
  </si>
  <si>
    <t>C23</t>
  </si>
  <si>
    <t>1" CPVC CTS BALL VALVE</t>
  </si>
  <si>
    <t>C22L</t>
  </si>
  <si>
    <t>3/4" CPVC CTS  BALL VALVE WITH LEVER HANDEL</t>
  </si>
  <si>
    <t>C23L</t>
  </si>
  <si>
    <t>1" CPVC CTS  BALL VALVE WITH LEVER HANDEL</t>
  </si>
  <si>
    <t>C24L</t>
  </si>
  <si>
    <t>1-1/4" CPVC CTS  BALL VALVE WITH LEVER HANDEL</t>
  </si>
  <si>
    <t>C26L</t>
  </si>
  <si>
    <t>2" CPVC CTS  BALL VALVE WITH LEVER HANDEL</t>
  </si>
  <si>
    <t>C32</t>
  </si>
  <si>
    <t>3/4" CPVC UNION</t>
  </si>
  <si>
    <t>C33</t>
  </si>
  <si>
    <t>1" CPVC UNION</t>
  </si>
  <si>
    <t>C42</t>
  </si>
  <si>
    <t>3/4" CPVC COUPLING</t>
  </si>
  <si>
    <t>C43</t>
  </si>
  <si>
    <t>1" CPVC COUPLING</t>
  </si>
  <si>
    <t>C45</t>
  </si>
  <si>
    <t>1-1/2" CPVC COUPLING</t>
  </si>
  <si>
    <t>C48</t>
  </si>
  <si>
    <t>3" CPVC COUPLING</t>
  </si>
  <si>
    <t>C52</t>
  </si>
  <si>
    <t>3/4" CPVC 90 DEG ELBOW(NEW)</t>
  </si>
  <si>
    <t>C53</t>
  </si>
  <si>
    <t>1" CPVC  90 DEG ELBOW(NEW)</t>
  </si>
  <si>
    <t>C62</t>
  </si>
  <si>
    <t>3/4" CPVC  TEE</t>
  </si>
  <si>
    <t>C63</t>
  </si>
  <si>
    <t>1" CPVC TEE</t>
  </si>
  <si>
    <t>C72</t>
  </si>
  <si>
    <t>3/4" CPVC MALE ADAPTER BRASS THD</t>
  </si>
  <si>
    <t>C73</t>
  </si>
  <si>
    <t>1" CPVC MALE ADAPTER BRASS THD</t>
  </si>
  <si>
    <t>C74</t>
  </si>
  <si>
    <t>1-1/4" CPVC MALE ADAPTER BRASS THD</t>
  </si>
  <si>
    <t>C93</t>
  </si>
  <si>
    <t>1" CPVC  FEMALE ADAPTER PLASTIC THD</t>
  </si>
  <si>
    <t>C103</t>
  </si>
  <si>
    <t>1" CPVC MALE ADAPTER PLASTIC THD</t>
  </si>
  <si>
    <t>C242</t>
  </si>
  <si>
    <t>1-1/4" X 3/4" CPVC RED. TEE</t>
  </si>
  <si>
    <t>C273N</t>
  </si>
  <si>
    <t>1" CPVC THREDED TANK NIPPLE</t>
  </si>
  <si>
    <t>C274N</t>
  </si>
  <si>
    <t>1-1/4" CPVC THREDED TANK NIPPLE</t>
  </si>
  <si>
    <t>C275N</t>
  </si>
  <si>
    <t>1-1/2" CPVC THREDED TANK NIPPLE</t>
  </si>
  <si>
    <t>C276N</t>
  </si>
  <si>
    <t>2" CPVC THREDED TANK NIPPLE</t>
  </si>
  <si>
    <t>C273</t>
  </si>
  <si>
    <t>1" CPVC TANK NIPPLE</t>
  </si>
  <si>
    <t>C274</t>
  </si>
  <si>
    <t>1-1/4" CPVC TANK NIPPLE</t>
  </si>
  <si>
    <t>C275</t>
  </si>
  <si>
    <t>1-1/2" CPVC TANK NIPPLE</t>
  </si>
  <si>
    <t>C322</t>
  </si>
  <si>
    <t>3/4" X 1/2" CPVC RED. BRASS FPT TEE</t>
  </si>
  <si>
    <t>C323</t>
  </si>
  <si>
    <t>1" X 1/2" CPVC RED. BRASS FPT TEE</t>
  </si>
  <si>
    <t>C502</t>
  </si>
  <si>
    <t>3/4" CPVC 45 DEG. ELBOW SOC.(NEW)</t>
  </si>
  <si>
    <t>C504</t>
  </si>
  <si>
    <t>1-1/4" CPVC 45 DEG. ELBOW SOC(NEW)</t>
  </si>
  <si>
    <t>C521</t>
  </si>
  <si>
    <t>3/4" X 1/2" CPVC BRASS FPT 90 DEG. ELBOW(NEW)</t>
  </si>
  <si>
    <t>C523</t>
  </si>
  <si>
    <t>1"X1/2" CPVC BRASS FPT 90 DEG.ELBOW</t>
  </si>
  <si>
    <t>C528</t>
  </si>
  <si>
    <t>1" CPVC BRASS FPT 90 DEG.ELBOW</t>
  </si>
  <si>
    <t>C529</t>
  </si>
  <si>
    <t>1-1/4" CPVC BRASS FPT 90 DEG.ELBOW</t>
  </si>
  <si>
    <t>C702</t>
  </si>
  <si>
    <t>3/4" CPVC TRANSITION BUSHING</t>
  </si>
  <si>
    <t>C731</t>
  </si>
  <si>
    <t>1"X1/2" MABT</t>
  </si>
  <si>
    <t>C732</t>
  </si>
  <si>
    <t>1"X3/4" MABT</t>
  </si>
  <si>
    <t>C832</t>
  </si>
  <si>
    <t>1" X 3/4" CPVC RED. BUSHING</t>
  </si>
  <si>
    <t>C843</t>
  </si>
  <si>
    <t>1-1/4" X 1" CPVC  RED. BUSHING</t>
  </si>
  <si>
    <t>C853</t>
  </si>
  <si>
    <t>1-1/2" X 1" CPVC  RED. BUSHING</t>
  </si>
  <si>
    <t>C920</t>
  </si>
  <si>
    <t>3/4" X 1/2" CPVC RED. COUPLING BRASS THD</t>
  </si>
  <si>
    <t>C932</t>
  </si>
  <si>
    <t>1" X 3/4" CPVC RED. COUPLING</t>
  </si>
  <si>
    <t>C943</t>
  </si>
  <si>
    <t>1-1/4" X 1" CPVC RED. COUPLING</t>
  </si>
  <si>
    <t>CH72</t>
  </si>
  <si>
    <t>3/4" CPVC TRIANGULAR CONCEALED VALVE</t>
  </si>
  <si>
    <t>CH72F</t>
  </si>
  <si>
    <t>CH72QS</t>
  </si>
  <si>
    <t>CH74</t>
  </si>
  <si>
    <t>3/4" CPVC GREACIA-CONCEALED VALVE</t>
  </si>
  <si>
    <t>CH76</t>
  </si>
  <si>
    <t>3/4" CPVC MACASA-CONCEALED VALVE</t>
  </si>
  <si>
    <t>CH78</t>
  </si>
  <si>
    <t>3/4" CPVC URBONA-CONCEALED VALVE</t>
  </si>
  <si>
    <t>CH79</t>
  </si>
  <si>
    <t>3/4" CPVC SAGA-CONCEALED VALVE</t>
  </si>
  <si>
    <t>CH80F</t>
  </si>
  <si>
    <t>3/4" CPVC VIVA-CONCEALED VALVE</t>
  </si>
  <si>
    <t>C254</t>
  </si>
  <si>
    <t>1-1/2X1-1/4" RED TEE</t>
  </si>
  <si>
    <t>C263</t>
  </si>
  <si>
    <t>2X1" RED TEE</t>
  </si>
  <si>
    <t>C264</t>
  </si>
  <si>
    <t>2X1-1/4" RED TEE</t>
  </si>
  <si>
    <t>C265</t>
  </si>
  <si>
    <t>2X1-1/2" RED TEE</t>
  </si>
  <si>
    <t>C963</t>
  </si>
  <si>
    <t>2X1" RED COUPLER</t>
  </si>
  <si>
    <t>C964</t>
  </si>
  <si>
    <t>2X1-1/4 RED COUPLER</t>
  </si>
  <si>
    <t>C965</t>
  </si>
  <si>
    <t>2X1-1/2" RED COUPLER</t>
  </si>
  <si>
    <t>C14</t>
  </si>
  <si>
    <t>1.1/4 CPVC STEP OVER BEND</t>
  </si>
  <si>
    <t>C15</t>
  </si>
  <si>
    <t>1-1/2"SOB</t>
  </si>
  <si>
    <t>CH22</t>
  </si>
  <si>
    <t>3/4" CPVC BALL VALVE HANDLE</t>
  </si>
  <si>
    <t>CM31</t>
  </si>
  <si>
    <t>1"X1/2" BRASS ELBOW MIXER</t>
  </si>
  <si>
    <t>CM32</t>
  </si>
  <si>
    <t>1"X1/2" BRASS ELBOW MIXER (D)</t>
  </si>
  <si>
    <t>S4</t>
  </si>
  <si>
    <t>04 OZ/118 ML TINS</t>
  </si>
  <si>
    <t>PU-4</t>
  </si>
  <si>
    <t>1-1/4" UPVC PIPE SCH 80</t>
  </si>
  <si>
    <t>PU-8</t>
  </si>
  <si>
    <t>3" UPVC PIPE SCH 80</t>
  </si>
  <si>
    <t>PU-10</t>
  </si>
  <si>
    <t>6 UPVC PIPE SCH 80 (3MTR)</t>
  </si>
  <si>
    <t>PU-16</t>
  </si>
  <si>
    <t>2" UPVC PIPE SCH 40</t>
  </si>
  <si>
    <t>PU-5S</t>
  </si>
  <si>
    <t>1-1/2" UPVC PIPE SCH 80</t>
  </si>
  <si>
    <t>PU-12S</t>
  </si>
  <si>
    <t>3/4" UPVC PIPE SCH 40</t>
  </si>
  <si>
    <t>PU-13S</t>
  </si>
  <si>
    <t>1" UPVC PIPE SCH 40</t>
  </si>
  <si>
    <t>PU-15S</t>
  </si>
  <si>
    <t>1-1/2" UPVC PIPE SCH 40</t>
  </si>
  <si>
    <t>PU-16S</t>
  </si>
  <si>
    <t>PU-4T</t>
  </si>
  <si>
    <t>1-1/4" UPVC THREADED PIPE SCH 80 3 MTR</t>
  </si>
  <si>
    <t>U11</t>
  </si>
  <si>
    <t>1/2" UPVC STEP OVER BEND</t>
  </si>
  <si>
    <t>U12</t>
  </si>
  <si>
    <t>3/4" UPVC STEP OVER BEND</t>
  </si>
  <si>
    <t>U13</t>
  </si>
  <si>
    <t>1" UPVC STEP OVER BEND</t>
  </si>
  <si>
    <t>U121</t>
  </si>
  <si>
    <t>1/2" SHORT BEND</t>
  </si>
  <si>
    <t>U21</t>
  </si>
  <si>
    <t>1/2" UPVC  BALL VALVE</t>
  </si>
  <si>
    <t>U23</t>
  </si>
  <si>
    <t>1" UPVC  BALL VALVE</t>
  </si>
  <si>
    <t>U21-L</t>
  </si>
  <si>
    <t>1/2" UPVC  BALL VALVE WITH LEVER HANDEL</t>
  </si>
  <si>
    <t>U23-L</t>
  </si>
  <si>
    <t>1" UPVC  BALL VALVE WITH LEVER HANDEL</t>
  </si>
  <si>
    <t>U21T</t>
  </si>
  <si>
    <t>1/2" UPVC  BALL VALVE BOTH SIDE THD.</t>
  </si>
  <si>
    <t>U24T</t>
  </si>
  <si>
    <t>1-1/4"UPVC  BALL VALVE BOTH SIDE THD.</t>
  </si>
  <si>
    <t>U23N</t>
  </si>
  <si>
    <t>U22NL</t>
  </si>
  <si>
    <t>3/4" UPVC  BALL VALVE WITH LEVER HANDEL</t>
  </si>
  <si>
    <t>U23NL</t>
  </si>
  <si>
    <t>U24NL</t>
  </si>
  <si>
    <t>1-1/4"UPVC  BALL VALVE WITH LEVER HANDEL</t>
  </si>
  <si>
    <t>U25NL</t>
  </si>
  <si>
    <t>1-1/2" UPVC  BALL VALVE WITH LEVER HANDEL</t>
  </si>
  <si>
    <t>U31</t>
  </si>
  <si>
    <t>1/2" UPVC UNION</t>
  </si>
  <si>
    <t>U32</t>
  </si>
  <si>
    <t>3/4" UPVC UNION</t>
  </si>
  <si>
    <t>U33</t>
  </si>
  <si>
    <t>1" UPVC UNION</t>
  </si>
  <si>
    <t>U35</t>
  </si>
  <si>
    <t>1-1/2" UPVC UNION</t>
  </si>
  <si>
    <t>U42</t>
  </si>
  <si>
    <t>3/4" UPVC COUPLING</t>
  </si>
  <si>
    <t>U43</t>
  </si>
  <si>
    <t>1" UPVC COUPLING</t>
  </si>
  <si>
    <t>U45</t>
  </si>
  <si>
    <t>1-1/2" UPVC COUPLING</t>
  </si>
  <si>
    <t>U46</t>
  </si>
  <si>
    <t>2" UPVC COUPLING</t>
  </si>
  <si>
    <t>U47</t>
  </si>
  <si>
    <t>2-1/2" UPVC COUPLING</t>
  </si>
  <si>
    <t>U49</t>
  </si>
  <si>
    <t>4" UPVC COUPLING</t>
  </si>
  <si>
    <t>U51</t>
  </si>
  <si>
    <t>1/2" UPVC 90 DEG ELBOW (NEW)</t>
  </si>
  <si>
    <t>U52</t>
  </si>
  <si>
    <t>3/4" UPVC 90 DEG ELBOW(NEW)</t>
  </si>
  <si>
    <t>U53</t>
  </si>
  <si>
    <t>1" UPVC  90 DEG ELBOW(NEW)</t>
  </si>
  <si>
    <t>U54</t>
  </si>
  <si>
    <t>1-1/4" UPVC 90 DEG ELBOW(NEW)</t>
  </si>
  <si>
    <t>U55</t>
  </si>
  <si>
    <t>1-1/2" UPVC 90 DEG ELBOW(NEW)</t>
  </si>
  <si>
    <t>U56</t>
  </si>
  <si>
    <t>2" UPVC 90 DEG ELBOW(NEW)</t>
  </si>
  <si>
    <t>U64</t>
  </si>
  <si>
    <t>1-1/4" UPVC TEE</t>
  </si>
  <si>
    <t>U65</t>
  </si>
  <si>
    <t>1-1/2" UPVC TEE</t>
  </si>
  <si>
    <t>U68</t>
  </si>
  <si>
    <t>3" UPVC TEE</t>
  </si>
  <si>
    <t>U71</t>
  </si>
  <si>
    <t>1/2" UPVC MALE ADAPTER BRASS THD</t>
  </si>
  <si>
    <t>U73</t>
  </si>
  <si>
    <t>1" UPVC MALE ADAPTER BRASS THD</t>
  </si>
  <si>
    <t>U81</t>
  </si>
  <si>
    <t>1/2" UPVC FEMALE ADAPTER BRASS THD</t>
  </si>
  <si>
    <t>U83</t>
  </si>
  <si>
    <t>1" UPVC FEMALE ADAPTER BRASS THD</t>
  </si>
  <si>
    <t>U84</t>
  </si>
  <si>
    <t>1-1/4" UPVC FEMALE ADAPTER BRASS THD</t>
  </si>
  <si>
    <t>U85</t>
  </si>
  <si>
    <t>1-1/2" UPVC FEMALE ADAPTER BRASS THD</t>
  </si>
  <si>
    <t>U90</t>
  </si>
  <si>
    <t>1"X1/2" FAPT</t>
  </si>
  <si>
    <t>U91</t>
  </si>
  <si>
    <t>1/2" UPVC FEMALE ADAPTER PLASTIC THD</t>
  </si>
  <si>
    <t>U93</t>
  </si>
  <si>
    <t>1" UPVC  FEMALE ADAPTER PLASTIC THD</t>
  </si>
  <si>
    <t>U95</t>
  </si>
  <si>
    <t>1-1/2" UPVC  FEMALE ADAPTER PLASTIC  THD</t>
  </si>
  <si>
    <t>U101</t>
  </si>
  <si>
    <t>1/2" UPVC MALE ADAPTER PLASTIC THD</t>
  </si>
  <si>
    <t>U103</t>
  </si>
  <si>
    <t>1" UPVC MALE ADAPTER PLASTIC THD</t>
  </si>
  <si>
    <t>U231</t>
  </si>
  <si>
    <t>1" X 1/2" UPVC RED. TEE</t>
  </si>
  <si>
    <t>U232</t>
  </si>
  <si>
    <t>1" X 3/4" UPVC RED. TEE</t>
  </si>
  <si>
    <t>U273</t>
  </si>
  <si>
    <t>1" UPVC TANK NIPPLE</t>
  </si>
  <si>
    <t>U273N</t>
  </si>
  <si>
    <t>1" UPVC THREDED TANK NIPPLE</t>
  </si>
  <si>
    <t>U275N</t>
  </si>
  <si>
    <t>1-1/2" UPVC THREDED TANK NIPPLE</t>
  </si>
  <si>
    <t>U321</t>
  </si>
  <si>
    <t>1/2" UPVC BRASS FPT TEE</t>
  </si>
  <si>
    <t>U322</t>
  </si>
  <si>
    <t>3/4" X 1/2" UPVC RED. BRASS FPT TEE</t>
  </si>
  <si>
    <t>U323</t>
  </si>
  <si>
    <t>1" X 1/2" UPVC RED. BRASS FPT TEE</t>
  </si>
  <si>
    <t>U324</t>
  </si>
  <si>
    <t>1" X 3/4" UPVC RED. BRASS FPT TEE</t>
  </si>
  <si>
    <t>U503</t>
  </si>
  <si>
    <t>1" 45° ELBW</t>
  </si>
  <si>
    <t>U521</t>
  </si>
  <si>
    <t>3/4" X 1/2" UPVC BRASS FPT 90 DEG. ELBOW</t>
  </si>
  <si>
    <t>U526</t>
  </si>
  <si>
    <t>1/2" UPVC BRASS FPT 90 DEG.ELBOW</t>
  </si>
  <si>
    <t>U531</t>
  </si>
  <si>
    <t>1" X 1/2" UPVC RED.90 DEG ELBOW (NEW)</t>
  </si>
  <si>
    <t>U532</t>
  </si>
  <si>
    <t>1" X 3/4" UPVC RED.90 DEG ELBOW (NEW)</t>
  </si>
  <si>
    <t>U606</t>
  </si>
  <si>
    <t>2" UPVC CAP</t>
  </si>
  <si>
    <t>U731</t>
  </si>
  <si>
    <t>1"X1/2" MTA</t>
  </si>
  <si>
    <t>U832</t>
  </si>
  <si>
    <t>1" X 3/4" UPVC RED. BUSHING</t>
  </si>
  <si>
    <t>U864</t>
  </si>
  <si>
    <t>2" X 1-1/4" UPVC  RED. BUSHING</t>
  </si>
  <si>
    <t>U920</t>
  </si>
  <si>
    <t>3/4" X 1/2" UPVC FTA</t>
  </si>
  <si>
    <t>U930</t>
  </si>
  <si>
    <t>1"X1/2" FTA</t>
  </si>
  <si>
    <t>UH72</t>
  </si>
  <si>
    <t>3/4" UPVC  TRIANGULAR CONCEALED VALVE Q/</t>
  </si>
  <si>
    <t>UH-78</t>
  </si>
  <si>
    <t>3/4" UPVC  URBONA-CONCEALED VALVE Q/T</t>
  </si>
  <si>
    <t>UH78-S</t>
  </si>
  <si>
    <t>3/4" UPVC  URBONA-CONCEALED VALVE</t>
  </si>
  <si>
    <t>U263</t>
  </si>
  <si>
    <t>2" X 1" REDUCER TEE</t>
  </si>
  <si>
    <t>UF12</t>
  </si>
  <si>
    <t>2-1/2" UPVC SOCKET FLANGE</t>
  </si>
  <si>
    <t>U243</t>
  </si>
  <si>
    <t>REDUCER TEE 1*1/4*1</t>
  </si>
  <si>
    <t>U964</t>
  </si>
  <si>
    <t>2"X1-1/4" RED. COUPLING</t>
  </si>
  <si>
    <t>U254</t>
  </si>
  <si>
    <t>1-1/2" X 1-1/4" UPVC RED.TEE</t>
  </si>
  <si>
    <t>U505</t>
  </si>
  <si>
    <t>1-1/2" 45° ELBOW</t>
  </si>
  <si>
    <t>U264</t>
  </si>
  <si>
    <t>2"X1-1/4" RED. TEE</t>
  </si>
  <si>
    <t>U963</t>
  </si>
  <si>
    <t>2"X1" RED. COUPLING</t>
  </si>
  <si>
    <t>PW11</t>
  </si>
  <si>
    <t>SWR PIPE S/S  110 MM (3 METER-A)</t>
  </si>
  <si>
    <t>PW12</t>
  </si>
  <si>
    <t>SWR PIPE D/S  110 MM (3 METER-A)</t>
  </si>
  <si>
    <t>PW15</t>
  </si>
  <si>
    <t>SWR PIPE D/S  110 MM (2 FEET-A)</t>
  </si>
  <si>
    <t>PW16</t>
  </si>
  <si>
    <t>SWR PIPE D/S  110 MM (3 FEET-A)</t>
  </si>
  <si>
    <t>PW17</t>
  </si>
  <si>
    <t>SWR PIPE D/S  110 MM (4 FEET-A)</t>
  </si>
  <si>
    <t>PW18</t>
  </si>
  <si>
    <t>SWR PIPE D/S  110 MM (6 FEET-A)</t>
  </si>
  <si>
    <t>PW19</t>
  </si>
  <si>
    <t>SWR PIPE S/S  110 MM (6 FEET-A)</t>
  </si>
  <si>
    <t>PW21</t>
  </si>
  <si>
    <t>SWR PIPE S/S  110 MM (3 METER-B)</t>
  </si>
  <si>
    <t>PW31</t>
  </si>
  <si>
    <t>SWR PIPE S/S  75 MM (3 METER-B)</t>
  </si>
  <si>
    <t>PW61</t>
  </si>
  <si>
    <t>SWR PIPE S/S  160 MM (3 METER-A)</t>
  </si>
  <si>
    <t>PW71</t>
  </si>
  <si>
    <t>SWR PIPE S/S  75 MM (3 METER-A)</t>
  </si>
  <si>
    <t>PW72</t>
  </si>
  <si>
    <t>SWR PIPE D/S  75 MM (3 METER-A)</t>
  </si>
  <si>
    <t>PW76</t>
  </si>
  <si>
    <t>SWR PIPE D/S  75 MM (3 FEET-A)</t>
  </si>
  <si>
    <t>PW77</t>
  </si>
  <si>
    <t>SWR PIPE D/S  75 MM (4 FEET-A)</t>
  </si>
  <si>
    <t>PW78</t>
  </si>
  <si>
    <t>SWR PIPE D/S  75 MM (6 FEET-A)</t>
  </si>
  <si>
    <t>PW79</t>
  </si>
  <si>
    <t>SWR PIPE S/S  75 MM (6 FEET-A)</t>
  </si>
  <si>
    <t>PW13S</t>
  </si>
  <si>
    <t>SWR PIPE TYPE A-SELF FIT 110MM S/S 6 MTR</t>
  </si>
  <si>
    <t>PW23S</t>
  </si>
  <si>
    <t>SWR PIPE TYPE B SELF FIT 110MM S/S 6 MTR</t>
  </si>
  <si>
    <t>PW61S</t>
  </si>
  <si>
    <t>SWR PIPE TYPE A-SELF FIT 160MM S/S 3 MTR</t>
  </si>
  <si>
    <t>PW73S</t>
  </si>
  <si>
    <t>SWR PIPE TYPE A-SELF FIT 75MM S/S 6 MTR</t>
  </si>
  <si>
    <t>PW91S</t>
  </si>
  <si>
    <t>SWR PIPE TYPE A-SELF FIT 90MM S/S 3 MTR</t>
  </si>
  <si>
    <t>5111S</t>
  </si>
  <si>
    <t>110 MM BEND</t>
  </si>
  <si>
    <t>5133S</t>
  </si>
  <si>
    <t>110 MM TEE</t>
  </si>
  <si>
    <t>5112S</t>
  </si>
  <si>
    <t>110 MM BEND WITH DOOR</t>
  </si>
  <si>
    <t>5134S</t>
  </si>
  <si>
    <t>110 MM TEE WITH DOOR</t>
  </si>
  <si>
    <t>5610S</t>
  </si>
  <si>
    <t>160 MM 45 BEND</t>
  </si>
  <si>
    <t>5710S</t>
  </si>
  <si>
    <t>75 MM 45 BEND</t>
  </si>
  <si>
    <t>5733S</t>
  </si>
  <si>
    <t>75 MM TEE</t>
  </si>
  <si>
    <t>5910S</t>
  </si>
  <si>
    <t>90 MM 45 BEND</t>
  </si>
  <si>
    <t>5934S</t>
  </si>
  <si>
    <t>90 MM TEE WITH DOOR</t>
  </si>
  <si>
    <t>5941S</t>
  </si>
  <si>
    <t>90 MM SINGLE Y</t>
  </si>
  <si>
    <t>90MM YELLOW SEAL O RING</t>
  </si>
  <si>
    <t>SWR  FITTING BEND 45* (110 MM)</t>
  </si>
  <si>
    <t>SWR  FITTING BEND 87.5* (110 MM)</t>
  </si>
  <si>
    <t>SWR  FITTING BEND 87.5* (110 MM) WD</t>
  </si>
  <si>
    <t>SWR  FITTING COUPLER (110 MM)</t>
  </si>
  <si>
    <t>SWR  FITTING CROSS TWD  (110 MM)</t>
  </si>
  <si>
    <t>SWR  FITTING SINGLE TEE (110 MM)</t>
  </si>
  <si>
    <t>SWR  FITTING SINGLE TWD  (110 MM)</t>
  </si>
  <si>
    <t>SWR  FITTING INVERT Y 45* (110 MM)</t>
  </si>
  <si>
    <t>SWR  FITTING REDUCING TEE (110 X75 MM)</t>
  </si>
  <si>
    <t>SWR  FITTING REDUCER Y (110X75MM)</t>
  </si>
  <si>
    <t>SWR  FITTING REDUCER (110X75MM)</t>
  </si>
  <si>
    <t>SWR  FITTING CLEANSING PIPE (110 MM)</t>
  </si>
  <si>
    <t>SWR  FITTING VENT COWL (110 MM)</t>
  </si>
  <si>
    <t>SWR  FITTING PIPE CLIP (110 MM)</t>
  </si>
  <si>
    <t>SWR  FITTING NAHANI TRAP &amp; JALI (110 MM)</t>
  </si>
  <si>
    <t>SWR  FITTING P TRAP &amp; JALI (110 MM)</t>
  </si>
  <si>
    <t>SWR  FITTING BEND 87.5* (75 MM)</t>
  </si>
  <si>
    <t>SWR  FITTING BEND 87.5* (75 MM) WD</t>
  </si>
  <si>
    <t>SWR  FITTING COUPLER (75 MM)</t>
  </si>
  <si>
    <t>SWR  FITTING SINGLE TEE (75 MM)</t>
  </si>
  <si>
    <t>SWR  FITTING SINGLE TWD (75 MM)</t>
  </si>
  <si>
    <t>SWR  FITTING VENT COWL (75 MM)</t>
  </si>
  <si>
    <t>SWR  FITTING PIPE CLIP (75 MM)</t>
  </si>
  <si>
    <t>SWR  FITTING NAHANI TRAP &amp; JALI (75 MM)</t>
  </si>
  <si>
    <t>5763-W</t>
  </si>
  <si>
    <t>NAHANI TRAP WITHOUT ROUND JALI</t>
  </si>
  <si>
    <t>SWR FITTING ROUND JALI (110MM)</t>
  </si>
  <si>
    <t>SWR  FITTING P TRAP (125X110MM)</t>
  </si>
  <si>
    <t>SWR REDUCER COUPLER 160X110 MM</t>
  </si>
  <si>
    <t>90 MM TEE</t>
  </si>
  <si>
    <t>SWR FITTING VENT COWL (63MM</t>
  </si>
  <si>
    <t>5963-W</t>
  </si>
  <si>
    <t xml:space="preserve">NAHANI TRAP 90MM WITHOUT ROUND JALI </t>
  </si>
  <si>
    <t>RL-2</t>
  </si>
  <si>
    <t>RUBBER LUBRICANT 100g</t>
  </si>
  <si>
    <t>A-44C</t>
  </si>
  <si>
    <t>40 MM 6 KG AGRI PIPE</t>
  </si>
  <si>
    <t>A-45C</t>
  </si>
  <si>
    <t>50 MM 6 KG AGRI PIPE</t>
  </si>
  <si>
    <t>A-46C</t>
  </si>
  <si>
    <t>63 MM 6 KG AGRI PIPE</t>
  </si>
  <si>
    <t>A-44A</t>
  </si>
  <si>
    <t>AGRI PIPE 3 METRE-6.00 KG/40MM</t>
  </si>
  <si>
    <t>A-45A</t>
  </si>
  <si>
    <t>AGRI PIPE 3 METRE-6.00 KG/50MM</t>
  </si>
  <si>
    <t>A-52C</t>
  </si>
  <si>
    <t>160 MM 6KG AGRI PIPE</t>
  </si>
  <si>
    <t>A-49C</t>
  </si>
  <si>
    <t>110 MM 6KG AGRI PIPE</t>
  </si>
  <si>
    <t>A-27C</t>
  </si>
  <si>
    <t xml:space="preserve">75MM 4KG AGRI PIPE (6 MTR) </t>
  </si>
  <si>
    <t>A-28C</t>
  </si>
  <si>
    <t xml:space="preserve">90MM 4KG AGRI PIPE (6 METERS) </t>
  </si>
  <si>
    <t>A-29C</t>
  </si>
  <si>
    <t xml:space="preserve">110MM 4KG AGRI PIPE (6 METERS) </t>
  </si>
  <si>
    <t>A-32C</t>
  </si>
  <si>
    <t xml:space="preserve">160MM 4KG AGRI PIPE (6 METERS) </t>
  </si>
  <si>
    <t>A-48C</t>
  </si>
  <si>
    <t>90MM 6KG AGRI PIPE (6 METERS)</t>
  </si>
  <si>
    <t>A-31C</t>
  </si>
  <si>
    <t>140MM 4 KG AGRI PIPE(6MTR)</t>
  </si>
  <si>
    <t>A-9C</t>
  </si>
  <si>
    <t>110MM 2.5KG AGRI PIPE (6 METERS )</t>
  </si>
  <si>
    <t>A-14C</t>
  </si>
  <si>
    <t>AGRI PIPE 2.5KG/cm2 6MTR 200MM</t>
  </si>
  <si>
    <t>A-49A</t>
  </si>
  <si>
    <t>110MM 6 Kg AGRI PIPE  (3Mtr.)</t>
  </si>
  <si>
    <t>A-9A</t>
  </si>
  <si>
    <t>AGRI PIPE 3 METRE-2.50 KG/110MM</t>
  </si>
  <si>
    <t>A-248</t>
  </si>
  <si>
    <t>90MM COUPLER4 KG/CM2</t>
  </si>
  <si>
    <t>A-249</t>
  </si>
  <si>
    <t>110MM COUPLER4 KG/CM2</t>
  </si>
  <si>
    <t>A-264</t>
  </si>
  <si>
    <t>COUPLING 40 MM</t>
  </si>
  <si>
    <t>A-269</t>
  </si>
  <si>
    <t>COUPLING 110 MM</t>
  </si>
  <si>
    <t>A-365</t>
  </si>
  <si>
    <t>TEE 50 MM</t>
  </si>
  <si>
    <t>A-368</t>
  </si>
  <si>
    <t>TEE  90 MM</t>
  </si>
  <si>
    <t>A-442</t>
  </si>
  <si>
    <t>160MM ELBOW 4 KG/CM2</t>
  </si>
  <si>
    <t>A-448</t>
  </si>
  <si>
    <t>90MM ELBOW 4 KG/CM2</t>
  </si>
  <si>
    <t>A-464</t>
  </si>
  <si>
    <t>ELBOW 40 MM</t>
  </si>
  <si>
    <t>A-465</t>
  </si>
  <si>
    <t>ELBOW 50 MM</t>
  </si>
  <si>
    <t>A-468</t>
  </si>
  <si>
    <t>ELBOW 90 MM</t>
  </si>
  <si>
    <t>A-547</t>
  </si>
  <si>
    <t>75MM END CAP4 KG/CM2</t>
  </si>
  <si>
    <t>A-549</t>
  </si>
  <si>
    <t>110MM END CAP4 KG/CM2</t>
  </si>
  <si>
    <t>A-567</t>
  </si>
  <si>
    <t>END CAP 75 MM</t>
  </si>
  <si>
    <t>A-571</t>
  </si>
  <si>
    <t>END CAP 140 MM</t>
  </si>
  <si>
    <t>A-665</t>
  </si>
  <si>
    <t>REDUCER TEE 110X63 MM</t>
  </si>
  <si>
    <t>A-666</t>
  </si>
  <si>
    <t>REDUCER TEE 110X75 MM</t>
  </si>
  <si>
    <t>A-768</t>
  </si>
  <si>
    <t>REDUCER COUPLER 110X90</t>
  </si>
  <si>
    <t>A-770</t>
  </si>
  <si>
    <t>REDUCER COUPLER  160X110</t>
  </si>
  <si>
    <t>S45</t>
  </si>
  <si>
    <t>250 ML TIN PVC SOLVENT CEMENT</t>
  </si>
  <si>
    <t>WT-4LL-10</t>
  </si>
  <si>
    <t>Water Tank 4 layer Light 1000 Ltr.</t>
  </si>
  <si>
    <t>WATER TANK</t>
  </si>
  <si>
    <t>WT-4LL-20</t>
  </si>
  <si>
    <t>Water Tank 4 layer Light 2000 Ltr.</t>
  </si>
  <si>
    <t>A-26A</t>
  </si>
  <si>
    <t xml:space="preserve">63MM 4KG AGRI PIPE (3 METERS) </t>
  </si>
  <si>
    <t>A-34A</t>
  </si>
  <si>
    <t>200MM 4KG AGRI PIPE (3MTR)</t>
  </si>
  <si>
    <t>A-82C</t>
  </si>
  <si>
    <t>AGRI PIPE 10KG/cm2 6MTR 25MM</t>
  </si>
  <si>
    <t>A-81C</t>
  </si>
  <si>
    <t>AGRI PIPE 10KG/cm2 6MTR 20MM</t>
  </si>
  <si>
    <t>A-504</t>
  </si>
  <si>
    <t>ELBOW 45- 6 KG, 63MM AGRI</t>
  </si>
  <si>
    <t>A-503</t>
  </si>
  <si>
    <t>ELBOW 45- 6 KG, 50MM AGRI</t>
  </si>
  <si>
    <t>A-427</t>
  </si>
  <si>
    <t>AGRI EQUAL ELBOW 75 (2.5 Kg</t>
  </si>
  <si>
    <t>A-702</t>
  </si>
  <si>
    <t>BUSH 4KG, 50X40MM, AGRI</t>
  </si>
  <si>
    <t>A-704</t>
  </si>
  <si>
    <t>BUSH 4KG, 75X110MM, AGRI</t>
  </si>
  <si>
    <t>CH86</t>
  </si>
  <si>
    <t>25MM CANCELLED VALVE QUARTER TURN.WITH MACASA-HANDLE</t>
  </si>
  <si>
    <t>CH82</t>
  </si>
  <si>
    <t>25MM CANCELLED VALVE QUARTER TURN.WITH TRIANGLE HANDLE</t>
  </si>
  <si>
    <t>AS-328</t>
  </si>
  <si>
    <t>AGRI EQUAL TEE 90</t>
  </si>
  <si>
    <t>AS-229</t>
  </si>
  <si>
    <t>AGRI COUPLER PN-7110</t>
  </si>
  <si>
    <t>MULTIFLOOR TRAPE 110X75X50 MM</t>
  </si>
  <si>
    <t>PW80</t>
  </si>
  <si>
    <t>SWR PIPE S/S  75 MM (4 FEET-A)</t>
  </si>
  <si>
    <t>PW20</t>
  </si>
  <si>
    <t>SWR PIPE S/S  110 MM (4 FEET-A)</t>
  </si>
  <si>
    <t>C324</t>
  </si>
  <si>
    <t>BRASS TEA-25X25X25</t>
  </si>
  <si>
    <t>CH82F</t>
  </si>
  <si>
    <t>3/4" CPVC TRIANGLE CONCEALED VALVE</t>
  </si>
  <si>
    <t>CPVC FG</t>
  </si>
  <si>
    <t>PU-4TB</t>
  </si>
  <si>
    <t>THREADED PIPE SCH 80 32 MM</t>
  </si>
  <si>
    <t>AS-449</t>
  </si>
  <si>
    <t>AGRI ELBOW 90⁰ 110</t>
  </si>
  <si>
    <t>AGRI FG</t>
  </si>
  <si>
    <t>AS-448</t>
  </si>
  <si>
    <t>AGRI ELBOW 90⁰ 90</t>
  </si>
  <si>
    <t>AS-349</t>
  </si>
  <si>
    <t>AGRI EQUAL TEE 110</t>
  </si>
  <si>
    <t>PU-5TB</t>
  </si>
  <si>
    <t>THREADED PIPE SCH 80 40 MM</t>
  </si>
  <si>
    <t>MHC-08</t>
  </si>
  <si>
    <t>MANHOLE COVER 600 X 600</t>
  </si>
  <si>
    <t>MHC-06</t>
  </si>
  <si>
    <t>MANHOLE COVER 450 X 600</t>
  </si>
  <si>
    <t>MHC-02</t>
  </si>
  <si>
    <t>MANHOLE COVER 300 X 300</t>
  </si>
  <si>
    <t>MULTIFLOOR TRAPE 110X75X50 MM WITH COVER</t>
  </si>
  <si>
    <t>SWR FG</t>
  </si>
  <si>
    <t>PN28C</t>
  </si>
  <si>
    <t>90MM AGRI PIPE NON ISI PN4</t>
  </si>
  <si>
    <t>PN29C</t>
  </si>
  <si>
    <t>110MM AGRI PIPE NON ISI PN4</t>
  </si>
  <si>
    <t>PN49C</t>
  </si>
  <si>
    <t>110MM AGRI PIPE NON ISI PN6</t>
  </si>
  <si>
    <t>PN32C</t>
  </si>
  <si>
    <t>160MM AGRI PIPE NON ISI PN4</t>
  </si>
  <si>
    <t>AS-549</t>
  </si>
  <si>
    <t>AGRI END CAP 110</t>
  </si>
  <si>
    <t>110MM SOCKET PLUG</t>
  </si>
  <si>
    <t xml:space="preserve">75 MM BACK FLOW VALVE  </t>
  </si>
  <si>
    <t xml:space="preserve">110 MM BACK FLOW VALVE </t>
  </si>
  <si>
    <t>A-721</t>
  </si>
  <si>
    <t xml:space="preserve">50X63 MMREDUCER BUSH 4 KG/CM2 </t>
  </si>
  <si>
    <t>A-419</t>
  </si>
  <si>
    <t>REDUCER ELBOW 4KG 110X90</t>
  </si>
  <si>
    <t>A-311</t>
  </si>
  <si>
    <t>20 MM EQUAL TEE  AGRI-(10 KG)</t>
  </si>
  <si>
    <t>A-211</t>
  </si>
  <si>
    <t>20 MM COUPLER AGRI-(10 KG)</t>
  </si>
  <si>
    <t>A-511</t>
  </si>
  <si>
    <t>20 MM ELBOW 45  AGRI-(10 KG)</t>
  </si>
  <si>
    <t>A-512</t>
  </si>
  <si>
    <t>45° ELBOW 10kg/cm² 25MM</t>
  </si>
  <si>
    <t>A-720</t>
  </si>
  <si>
    <t>32X40 MM AGRI REDUCER BUSH 4 KG/CM2</t>
  </si>
  <si>
    <t>C134</t>
  </si>
  <si>
    <t>32 mm Non Return Valve</t>
  </si>
  <si>
    <t>UH88-L</t>
  </si>
  <si>
    <t>1" UPVC  URBONA CONCEALED VALVE Q/T</t>
  </si>
  <si>
    <t>UPVC FITTING</t>
  </si>
  <si>
    <t>WCT-3LL-05</t>
  </si>
  <si>
    <t>WATER COOL TANK 3 LAYER LIGHT 500 LTR.</t>
  </si>
  <si>
    <t>WCT-3LL-07</t>
  </si>
  <si>
    <t>WATER COOL TANK 3 LAYER LIGHT 750 LTR.</t>
  </si>
  <si>
    <t>WCT-3LL-10</t>
  </si>
  <si>
    <t>WATER COOL TANK 3 LAYER LIGHT 1000 LTR.</t>
  </si>
  <si>
    <t>PU13T</t>
  </si>
  <si>
    <t>1" UPVC PIPE ( SCH 40 ) Thr.</t>
  </si>
  <si>
    <t>UPVC PIPE</t>
  </si>
  <si>
    <t>C135</t>
  </si>
  <si>
    <t>40 MM Non Return Valve</t>
  </si>
  <si>
    <t xml:space="preserve"> AGRI PIPE</t>
  </si>
  <si>
    <t>TRADING</t>
  </si>
  <si>
    <t>Grand Total</t>
  </si>
  <si>
    <t>AGRI TRADING</t>
  </si>
  <si>
    <t>CPVC PIPE</t>
  </si>
  <si>
    <t>CPVC TRADING</t>
  </si>
  <si>
    <t>SWR PIPE</t>
  </si>
  <si>
    <t>SWR TRADING</t>
  </si>
  <si>
    <t>AGRI PIPE</t>
  </si>
  <si>
    <t>Items</t>
  </si>
  <si>
    <t>FAUCET</t>
  </si>
  <si>
    <t>7305-F</t>
  </si>
  <si>
    <t>7310-F</t>
  </si>
  <si>
    <t>7910-F</t>
  </si>
  <si>
    <t>7998-F</t>
  </si>
  <si>
    <t>BA-01S</t>
  </si>
  <si>
    <t>TRADING ITEM</t>
  </si>
  <si>
    <t>BA-07</t>
  </si>
  <si>
    <t>BA-15S</t>
  </si>
  <si>
    <t>BEA-10</t>
  </si>
  <si>
    <t>ASSMBALY TRADING</t>
  </si>
  <si>
    <t>BEA-101A</t>
  </si>
  <si>
    <t>BEA-102A</t>
  </si>
  <si>
    <t>BEA-105</t>
  </si>
  <si>
    <t>BEA-106</t>
  </si>
  <si>
    <t>BEA-11S</t>
  </si>
  <si>
    <t>BEA-13L</t>
  </si>
  <si>
    <t>BEA-195A</t>
  </si>
  <si>
    <t>BEA-22</t>
  </si>
  <si>
    <t>BEA-34</t>
  </si>
  <si>
    <t>BEA-36</t>
  </si>
  <si>
    <t>BEN-04</t>
  </si>
  <si>
    <t>BEN-05</t>
  </si>
  <si>
    <t>BEN-06</t>
  </si>
  <si>
    <t>BH-79</t>
  </si>
  <si>
    <t>BOS-105</t>
  </si>
  <si>
    <t>BOS-105A</t>
  </si>
  <si>
    <t>BS-79SS</t>
  </si>
  <si>
    <t>BSC-10</t>
  </si>
  <si>
    <t>BSP-19</t>
  </si>
  <si>
    <t>CNS-52</t>
  </si>
  <si>
    <t>CPS-87</t>
  </si>
  <si>
    <t>CSS-20</t>
  </si>
  <si>
    <t>P6606</t>
  </si>
  <si>
    <t>pd-39</t>
  </si>
  <si>
    <t>PR-139</t>
  </si>
  <si>
    <t>PR-144</t>
  </si>
  <si>
    <t>TTS-01</t>
  </si>
  <si>
    <t>BS-73SS</t>
  </si>
  <si>
    <t>DB-68-H-N</t>
  </si>
  <si>
    <t>BHS-49</t>
  </si>
  <si>
    <t>C-1</t>
  </si>
  <si>
    <t>7920-F</t>
  </si>
  <si>
    <t>8320-F</t>
  </si>
  <si>
    <t>BA-18S</t>
  </si>
  <si>
    <t>BCT-06P</t>
  </si>
  <si>
    <t>BEA-17B</t>
  </si>
  <si>
    <t>BEA-47</t>
  </si>
  <si>
    <t>BOS-107</t>
  </si>
  <si>
    <t>PIF-003</t>
  </si>
  <si>
    <t>SPARE PARTS</t>
  </si>
  <si>
    <t>PIF-005</t>
  </si>
  <si>
    <t>BEA-45</t>
  </si>
  <si>
    <t>CNS-53</t>
  </si>
  <si>
    <t>BS-66</t>
  </si>
  <si>
    <t>BOS-121</t>
  </si>
  <si>
    <t>P6816</t>
  </si>
  <si>
    <t>PIF-010</t>
  </si>
  <si>
    <t>BEA-523</t>
  </si>
  <si>
    <t>CPA-47</t>
  </si>
  <si>
    <t>CPOH-10</t>
  </si>
  <si>
    <t>8318-F</t>
  </si>
  <si>
    <t>CPOH-11</t>
  </si>
  <si>
    <t>PR-544</t>
  </si>
  <si>
    <t>PD-3-IN-N</t>
  </si>
  <si>
    <t>BEA-97</t>
  </si>
  <si>
    <t>CPA-40</t>
  </si>
  <si>
    <t>DB-78-H-N</t>
  </si>
  <si>
    <t>PIF-006</t>
  </si>
  <si>
    <t>PD-3IN-ON-OFF-N</t>
  </si>
  <si>
    <t>6892-N</t>
  </si>
  <si>
    <t>BOS-47SR</t>
  </si>
  <si>
    <t>BOS-50SR</t>
  </si>
  <si>
    <t>BA-12S</t>
  </si>
  <si>
    <t>BS-69</t>
  </si>
  <si>
    <t>RB-45</t>
  </si>
  <si>
    <t>BS-78SS</t>
  </si>
  <si>
    <t>DB-53-H-N</t>
  </si>
  <si>
    <t>CPA-18</t>
  </si>
  <si>
    <t>BHS-48</t>
  </si>
  <si>
    <t>BHS-307</t>
  </si>
  <si>
    <t>7992F-N</t>
  </si>
  <si>
    <t>5292-N</t>
  </si>
  <si>
    <t>5254-S</t>
  </si>
  <si>
    <t>BEA-46</t>
  </si>
  <si>
    <t>BOS-108</t>
  </si>
  <si>
    <t>BS-108</t>
  </si>
  <si>
    <t>BA-03</t>
  </si>
  <si>
    <t>5392-N</t>
  </si>
  <si>
    <t>TTS-03</t>
  </si>
  <si>
    <t>BS-30SS</t>
  </si>
  <si>
    <t>BHS-2001</t>
  </si>
  <si>
    <t>BEA-103</t>
  </si>
  <si>
    <t>BEA-25</t>
  </si>
  <si>
    <t>ECO-65</t>
  </si>
  <si>
    <t>BHS-2WT</t>
  </si>
  <si>
    <t>BOS-4009</t>
  </si>
  <si>
    <t>BS-112</t>
  </si>
  <si>
    <t>BEA-13LL</t>
  </si>
  <si>
    <t>DB-52-3IN-ON-OFF-N</t>
  </si>
  <si>
    <t>BOS-51SR</t>
  </si>
  <si>
    <t>BOS-52SR</t>
  </si>
  <si>
    <t>BOS-104</t>
  </si>
  <si>
    <t>5292-ON-OFF-N</t>
  </si>
  <si>
    <t>BHS-301</t>
  </si>
  <si>
    <t>DB-81-3IN-ON-OFF-N</t>
  </si>
  <si>
    <t>BOS-41</t>
  </si>
  <si>
    <t>7892-N</t>
  </si>
  <si>
    <t>7192-N</t>
  </si>
  <si>
    <t>BHS-104</t>
  </si>
  <si>
    <t>BHS-1WT</t>
  </si>
  <si>
    <t>PHN-145</t>
  </si>
  <si>
    <t>SE-05</t>
  </si>
  <si>
    <t>SE-06</t>
  </si>
  <si>
    <t>BHS-103</t>
  </si>
  <si>
    <t>BOS-42SS</t>
  </si>
  <si>
    <t>BEA-44</t>
  </si>
  <si>
    <t>9092-N</t>
  </si>
  <si>
    <t>PIF-007</t>
  </si>
  <si>
    <t>PSL-006</t>
  </si>
  <si>
    <t>PIF-004</t>
  </si>
  <si>
    <t>PIF-041</t>
  </si>
  <si>
    <t>5393-N</t>
  </si>
  <si>
    <t>BOS-42</t>
  </si>
  <si>
    <t>CNS-68</t>
  </si>
  <si>
    <t>BB-90</t>
  </si>
  <si>
    <t>BOS-105B</t>
  </si>
  <si>
    <t>BOS-50</t>
  </si>
  <si>
    <t>5293-N</t>
  </si>
  <si>
    <t>5392-ON-OFF-N</t>
  </si>
  <si>
    <t>BOS-102SS</t>
  </si>
  <si>
    <t>BHS-48S</t>
  </si>
  <si>
    <t>7192-ON-OFF-N</t>
  </si>
  <si>
    <t>CPA-32</t>
  </si>
  <si>
    <t>BHS-306</t>
  </si>
  <si>
    <t>5393-ON-OFF-N</t>
  </si>
  <si>
    <t>BSD-18</t>
  </si>
  <si>
    <t>PIF-062</t>
  </si>
  <si>
    <t>P6605</t>
  </si>
  <si>
    <t>TSA-01</t>
  </si>
  <si>
    <t>PHN-185</t>
  </si>
  <si>
    <t>BROMO 15L M</t>
  </si>
  <si>
    <t>CPHF-7(A)</t>
  </si>
  <si>
    <t>BROMO 10L M</t>
  </si>
  <si>
    <t>DB-53-3IN-ON-OFF-N</t>
  </si>
  <si>
    <t>7992 F-N</t>
  </si>
  <si>
    <t>CNS-60</t>
  </si>
  <si>
    <t>9392-ON-OFF-N</t>
  </si>
  <si>
    <t>6292-ON-OFF-N</t>
  </si>
  <si>
    <t>CP-571</t>
  </si>
  <si>
    <t>TSA-02</t>
  </si>
  <si>
    <t>PR-101</t>
  </si>
  <si>
    <t>PR-100</t>
  </si>
  <si>
    <t>Group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</si>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</sst>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52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64" fontId="8" fillId="4" borderId="1" xfId="1" applyNumberFormat="1" applyFont="1" applyFill="1" applyBorder="1" applyAlignment="1">
      <alignment horizontal="center" vertical="top"/>
    </xf>
    <xf numFmtId="0" fontId="1" fillId="0" borderId="0" xfId="0" applyFont="1"/>
    <xf numFmtId="0" fontId="6" fillId="5" borderId="1" xfId="1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8" fillId="4" borderId="1" xfId="1" applyNumberFormat="1" applyFont="1" applyFill="1" applyBorder="1" applyAlignment="1">
      <alignment horizontal="center" vertical="top"/>
    </xf>
    <xf numFmtId="1" fontId="6" fillId="5" borderId="1" xfId="1" applyNumberFormat="1" applyFont="1" applyFill="1" applyBorder="1" applyAlignment="1">
      <alignment horizontal="center" vertical="top"/>
    </xf>
    <xf numFmtId="0" fontId="10" fillId="0" borderId="6" xfId="2" applyFont="1" applyBorder="1" applyAlignment="1">
      <alignment horizontal="left" vertical="center"/>
    </xf>
    <xf numFmtId="0" fontId="11" fillId="0" borderId="7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 applyProtection="1">
      <alignment vertical="center" wrapText="1"/>
      <protection locked="0" hidden="1"/>
    </xf>
    <xf numFmtId="3" fontId="12" fillId="0" borderId="1" xfId="2" applyNumberFormat="1" applyFont="1" applyBorder="1" applyAlignment="1" applyProtection="1">
      <alignment horizontal="center" vertical="center" wrapText="1"/>
      <protection locked="0" hidden="1"/>
    </xf>
    <xf numFmtId="0" fontId="11" fillId="0" borderId="1" xfId="2" applyFont="1" applyBorder="1" applyAlignment="1" applyProtection="1">
      <alignment horizontal="center" vertical="center" wrapText="1"/>
      <protection locked="0" hidden="1"/>
    </xf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0" fontId="14" fillId="0" borderId="1" xfId="0" applyFont="1" applyBorder="1"/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0" fillId="0" borderId="0" xfId="0" applyAlignment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2" fillId="0" borderId="1" xfId="2" applyFont="1" applyBorder="1" applyAlignment="1" applyProtection="1">
      <alignment horizontal="center" vertical="center" wrapText="1"/>
      <protection locked="0" hidden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10" fillId="0" borderId="1" xfId="2" applyNumberFormat="1" applyFont="1" applyBorder="1" applyAlignment="1" applyProtection="1">
      <alignment horizontal="center" vertical="center" wrapText="1"/>
      <protection locked="0" hidden="1"/>
    </xf>
    <xf numFmtId="0" fontId="13" fillId="0" borderId="1" xfId="2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1" fontId="16" fillId="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0" fillId="0" borderId="0" xfId="0" applyFont="1"/>
    <xf numFmtId="1" fontId="6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16A6F35-529F-4F7C-982B-CC520BF8C77C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F6F0-41C5-4938-A971-F0567A5EA537}">
  <dimension ref="A1:G152"/>
  <sheetViews>
    <sheetView tabSelected="1" workbookViewId="0">
      <selection activeCell="A10" sqref="A10"/>
    </sheetView>
  </sheetViews>
  <sheetFormatPr defaultRowHeight="14.5" x14ac:dyDescent="0.35"/>
  <cols>
    <col min="1" max="1" width="17.90625" bestFit="1" customWidth="1"/>
    <col min="2" max="2" width="18.453125" bestFit="1" customWidth="1"/>
    <col min="3" max="3" width="8.36328125" bestFit="1" customWidth="1"/>
    <col min="5" max="5" width="14.6328125" style="34" customWidth="1"/>
    <col min="6" max="6" width="13" style="34" bestFit="1" customWidth="1"/>
    <col min="7" max="7" width="9.36328125" style="34" customWidth="1"/>
  </cols>
  <sheetData>
    <row r="1" spans="1:7" ht="15.5" x14ac:dyDescent="0.35">
      <c r="C1" s="7">
        <f>SUBTOTAL(9,C3:C1048576)</f>
        <v>-26749</v>
      </c>
      <c r="G1" s="7">
        <f>SUBTOTAL(9,G3:G1048576)</f>
        <v>-118461</v>
      </c>
    </row>
    <row r="2" spans="1:7" x14ac:dyDescent="0.35">
      <c r="A2" s="45" t="s">
        <v>1009</v>
      </c>
      <c r="B2" s="44" t="s">
        <v>1010</v>
      </c>
      <c r="C2" s="45" t="s">
        <v>2</v>
      </c>
      <c r="E2" s="45" t="s">
        <v>1009</v>
      </c>
      <c r="F2" s="44" t="s">
        <v>1010</v>
      </c>
      <c r="G2" s="45" t="s">
        <v>2</v>
      </c>
    </row>
    <row r="3" spans="1:7" x14ac:dyDescent="0.35">
      <c r="A3" s="37" t="s">
        <v>856</v>
      </c>
      <c r="B3" s="47">
        <v>5204</v>
      </c>
      <c r="C3" s="37">
        <v>-6</v>
      </c>
      <c r="D3" s="46"/>
      <c r="E3" s="51" t="s">
        <v>862</v>
      </c>
      <c r="F3" s="51">
        <v>453</v>
      </c>
      <c r="G3" s="51">
        <v>-59</v>
      </c>
    </row>
    <row r="4" spans="1:7" x14ac:dyDescent="0.35">
      <c r="A4" s="37" t="s">
        <v>856</v>
      </c>
      <c r="B4" s="47">
        <v>5216</v>
      </c>
      <c r="C4" s="37">
        <v>-231</v>
      </c>
      <c r="D4" s="46"/>
      <c r="E4" s="51" t="s">
        <v>862</v>
      </c>
      <c r="F4" s="51" t="s">
        <v>861</v>
      </c>
      <c r="G4" s="51">
        <v>-3</v>
      </c>
    </row>
    <row r="5" spans="1:7" x14ac:dyDescent="0.35">
      <c r="A5" s="37" t="s">
        <v>856</v>
      </c>
      <c r="B5" s="48">
        <v>5217</v>
      </c>
      <c r="C5" s="37">
        <v>-27</v>
      </c>
      <c r="D5" s="46"/>
      <c r="E5" s="51" t="s">
        <v>862</v>
      </c>
      <c r="F5" s="51" t="s">
        <v>943</v>
      </c>
      <c r="G5" s="51">
        <v>-4</v>
      </c>
    </row>
    <row r="6" spans="1:7" x14ac:dyDescent="0.35">
      <c r="A6" s="37" t="s">
        <v>856</v>
      </c>
      <c r="B6" s="47">
        <v>5252</v>
      </c>
      <c r="C6" s="37">
        <v>-12</v>
      </c>
      <c r="D6" s="46"/>
      <c r="E6" s="51" t="s">
        <v>862</v>
      </c>
      <c r="F6" s="51" t="s">
        <v>863</v>
      </c>
      <c r="G6" s="51">
        <v>-35</v>
      </c>
    </row>
    <row r="7" spans="1:7" x14ac:dyDescent="0.35">
      <c r="A7" s="37" t="s">
        <v>856</v>
      </c>
      <c r="B7" s="47">
        <v>5255</v>
      </c>
      <c r="C7" s="37">
        <v>-28</v>
      </c>
      <c r="D7" s="46"/>
      <c r="E7" s="51" t="s">
        <v>862</v>
      </c>
      <c r="F7" s="51" t="s">
        <v>929</v>
      </c>
      <c r="G7" s="51">
        <v>-6</v>
      </c>
    </row>
    <row r="8" spans="1:7" x14ac:dyDescent="0.35">
      <c r="A8" s="37" t="s">
        <v>856</v>
      </c>
      <c r="B8" s="47">
        <v>5270</v>
      </c>
      <c r="C8" s="37">
        <v>-7</v>
      </c>
      <c r="D8" s="46"/>
      <c r="E8" s="51" t="s">
        <v>862</v>
      </c>
      <c r="F8" s="51" t="s">
        <v>864</v>
      </c>
      <c r="G8" s="51">
        <v>-101</v>
      </c>
    </row>
    <row r="9" spans="1:7" x14ac:dyDescent="0.35">
      <c r="A9" s="37" t="s">
        <v>856</v>
      </c>
      <c r="B9" s="47">
        <v>5280</v>
      </c>
      <c r="C9" s="37">
        <v>-2</v>
      </c>
      <c r="D9" s="46"/>
      <c r="E9" s="51" t="s">
        <v>862</v>
      </c>
      <c r="F9" s="51" t="s">
        <v>900</v>
      </c>
      <c r="G9" s="51">
        <v>-30</v>
      </c>
    </row>
    <row r="10" spans="1:7" x14ac:dyDescent="0.35">
      <c r="A10" s="37" t="s">
        <v>856</v>
      </c>
      <c r="B10" s="47">
        <v>5296</v>
      </c>
      <c r="C10" s="37">
        <v>-39</v>
      </c>
      <c r="D10" s="46"/>
      <c r="E10" s="51" t="s">
        <v>862</v>
      </c>
      <c r="F10" s="51" t="s">
        <v>901</v>
      </c>
      <c r="G10" s="51">
        <v>-20</v>
      </c>
    </row>
    <row r="11" spans="1:7" x14ac:dyDescent="0.35">
      <c r="A11" s="37" t="s">
        <v>856</v>
      </c>
      <c r="B11" s="47">
        <v>5312</v>
      </c>
      <c r="C11" s="37">
        <v>-19</v>
      </c>
      <c r="D11" s="46"/>
      <c r="E11" s="51" t="s">
        <v>862</v>
      </c>
      <c r="F11" s="51" t="s">
        <v>867</v>
      </c>
      <c r="G11" s="51">
        <v>-187</v>
      </c>
    </row>
    <row r="12" spans="1:7" x14ac:dyDescent="0.35">
      <c r="A12" s="37" t="s">
        <v>856</v>
      </c>
      <c r="B12" s="47">
        <v>5314</v>
      </c>
      <c r="C12" s="37">
        <v>-84</v>
      </c>
      <c r="D12" s="46"/>
      <c r="E12" s="51" t="s">
        <v>862</v>
      </c>
      <c r="F12" s="51" t="s">
        <v>868</v>
      </c>
      <c r="G12" s="51">
        <v>-569</v>
      </c>
    </row>
    <row r="13" spans="1:7" x14ac:dyDescent="0.35">
      <c r="A13" s="37" t="s">
        <v>856</v>
      </c>
      <c r="B13" s="47">
        <v>5355</v>
      </c>
      <c r="C13" s="37">
        <v>-39</v>
      </c>
      <c r="D13" s="46"/>
      <c r="E13" s="51" t="s">
        <v>862</v>
      </c>
      <c r="F13" s="51" t="s">
        <v>948</v>
      </c>
      <c r="G13" s="51">
        <v>-138</v>
      </c>
    </row>
    <row r="14" spans="1:7" x14ac:dyDescent="0.35">
      <c r="A14" s="37" t="s">
        <v>856</v>
      </c>
      <c r="B14" s="47">
        <v>5380</v>
      </c>
      <c r="C14" s="37">
        <v>-12</v>
      </c>
      <c r="D14" s="46"/>
      <c r="E14" s="51" t="s">
        <v>862</v>
      </c>
      <c r="F14" s="51" t="s">
        <v>869</v>
      </c>
      <c r="G14" s="51">
        <v>-14</v>
      </c>
    </row>
    <row r="15" spans="1:7" x14ac:dyDescent="0.35">
      <c r="A15" s="37" t="s">
        <v>856</v>
      </c>
      <c r="B15" s="47">
        <v>5396</v>
      </c>
      <c r="C15" s="37">
        <v>-11</v>
      </c>
      <c r="D15" s="46"/>
      <c r="E15" s="51" t="s">
        <v>862</v>
      </c>
      <c r="F15" s="51" t="s">
        <v>870</v>
      </c>
      <c r="G15" s="51">
        <v>-2</v>
      </c>
    </row>
    <row r="16" spans="1:7" x14ac:dyDescent="0.35">
      <c r="A16" s="37" t="s">
        <v>856</v>
      </c>
      <c r="B16" s="47">
        <v>5410</v>
      </c>
      <c r="C16" s="37">
        <v>-22</v>
      </c>
      <c r="D16" s="46"/>
      <c r="E16" s="51" t="s">
        <v>862</v>
      </c>
      <c r="F16" s="51" t="s">
        <v>871</v>
      </c>
      <c r="G16" s="51">
        <v>-177</v>
      </c>
    </row>
    <row r="17" spans="1:7" x14ac:dyDescent="0.35">
      <c r="A17" s="37" t="s">
        <v>856</v>
      </c>
      <c r="B17" s="47">
        <v>5420</v>
      </c>
      <c r="C17" s="37">
        <v>-476</v>
      </c>
      <c r="D17" s="46"/>
      <c r="E17" s="51" t="s">
        <v>862</v>
      </c>
      <c r="F17" s="51" t="s">
        <v>872</v>
      </c>
      <c r="G17" s="51">
        <v>-10</v>
      </c>
    </row>
    <row r="18" spans="1:7" x14ac:dyDescent="0.35">
      <c r="A18" s="37" t="s">
        <v>856</v>
      </c>
      <c r="B18" s="37">
        <v>5455</v>
      </c>
      <c r="C18" s="37">
        <v>-4</v>
      </c>
      <c r="D18" s="46"/>
      <c r="E18" s="51" t="s">
        <v>862</v>
      </c>
      <c r="F18" s="51" t="s">
        <v>954</v>
      </c>
      <c r="G18" s="51">
        <v>-4</v>
      </c>
    </row>
    <row r="19" spans="1:7" x14ac:dyDescent="0.35">
      <c r="A19" s="37" t="s">
        <v>856</v>
      </c>
      <c r="B19" s="49">
        <v>5470</v>
      </c>
      <c r="C19" s="37">
        <v>-5</v>
      </c>
      <c r="D19" s="46"/>
      <c r="E19" s="51" t="s">
        <v>862</v>
      </c>
      <c r="F19" s="51" t="s">
        <v>902</v>
      </c>
      <c r="G19" s="51">
        <v>-53</v>
      </c>
    </row>
    <row r="20" spans="1:7" x14ac:dyDescent="0.35">
      <c r="A20" s="37" t="s">
        <v>856</v>
      </c>
      <c r="B20" s="49">
        <v>5512</v>
      </c>
      <c r="C20" s="37">
        <v>-10</v>
      </c>
      <c r="D20" s="46"/>
      <c r="E20" s="51" t="s">
        <v>862</v>
      </c>
      <c r="F20" s="51" t="s">
        <v>873</v>
      </c>
      <c r="G20" s="51">
        <v>-428</v>
      </c>
    </row>
    <row r="21" spans="1:7" x14ac:dyDescent="0.35">
      <c r="A21" s="37" t="s">
        <v>856</v>
      </c>
      <c r="B21" s="47">
        <v>6020</v>
      </c>
      <c r="C21" s="37">
        <v>-694</v>
      </c>
      <c r="D21" s="46"/>
      <c r="E21" s="51" t="s">
        <v>862</v>
      </c>
      <c r="F21" s="51" t="s">
        <v>949</v>
      </c>
      <c r="G21" s="51">
        <v>-152</v>
      </c>
    </row>
    <row r="22" spans="1:7" x14ac:dyDescent="0.35">
      <c r="A22" s="37" t="s">
        <v>856</v>
      </c>
      <c r="B22" s="49">
        <v>6050</v>
      </c>
      <c r="C22" s="37">
        <v>-3</v>
      </c>
      <c r="D22" s="46"/>
      <c r="E22" s="51" t="s">
        <v>862</v>
      </c>
      <c r="F22" s="51" t="s">
        <v>972</v>
      </c>
      <c r="G22" s="51">
        <v>-78</v>
      </c>
    </row>
    <row r="23" spans="1:7" x14ac:dyDescent="0.35">
      <c r="A23" s="37" t="s">
        <v>856</v>
      </c>
      <c r="B23" s="47">
        <v>6112</v>
      </c>
      <c r="C23" s="37">
        <v>-9</v>
      </c>
      <c r="D23" s="46"/>
      <c r="E23" s="51" t="s">
        <v>862</v>
      </c>
      <c r="F23" s="51" t="s">
        <v>908</v>
      </c>
      <c r="G23" s="51">
        <v>-142</v>
      </c>
    </row>
    <row r="24" spans="1:7" x14ac:dyDescent="0.35">
      <c r="A24" s="37" t="s">
        <v>856</v>
      </c>
      <c r="B24" s="47">
        <v>6116</v>
      </c>
      <c r="C24" s="37">
        <v>-20</v>
      </c>
      <c r="D24" s="46"/>
      <c r="E24" s="51" t="s">
        <v>862</v>
      </c>
      <c r="F24" s="51" t="s">
        <v>940</v>
      </c>
      <c r="G24" s="51">
        <v>-10</v>
      </c>
    </row>
    <row r="25" spans="1:7" x14ac:dyDescent="0.35">
      <c r="A25" s="37" t="s">
        <v>856</v>
      </c>
      <c r="B25" s="47">
        <v>6204</v>
      </c>
      <c r="C25" s="37">
        <v>-7</v>
      </c>
      <c r="D25" s="46"/>
      <c r="E25" s="51" t="s">
        <v>862</v>
      </c>
      <c r="F25" s="51" t="s">
        <v>903</v>
      </c>
      <c r="G25" s="51">
        <v>-75</v>
      </c>
    </row>
    <row r="26" spans="1:7" x14ac:dyDescent="0.35">
      <c r="A26" s="37" t="s">
        <v>856</v>
      </c>
      <c r="B26" s="47">
        <v>6206</v>
      </c>
      <c r="C26" s="37">
        <v>-8</v>
      </c>
      <c r="D26" s="46"/>
      <c r="E26" s="51" t="s">
        <v>862</v>
      </c>
      <c r="F26" s="51" t="s">
        <v>914</v>
      </c>
      <c r="G26" s="51">
        <v>-232</v>
      </c>
    </row>
    <row r="27" spans="1:7" x14ac:dyDescent="0.35">
      <c r="A27" s="37" t="s">
        <v>856</v>
      </c>
      <c r="B27" s="47">
        <v>6208</v>
      </c>
      <c r="C27" s="37">
        <v>-35</v>
      </c>
      <c r="D27" s="46"/>
      <c r="E27" s="51" t="s">
        <v>862</v>
      </c>
      <c r="F27" s="51" t="s">
        <v>921</v>
      </c>
      <c r="G27" s="51">
        <v>-576</v>
      </c>
    </row>
    <row r="28" spans="1:7" x14ac:dyDescent="0.35">
      <c r="A28" s="37" t="s">
        <v>856</v>
      </c>
      <c r="B28" s="47">
        <v>6210</v>
      </c>
      <c r="C28" s="37">
        <v>-26</v>
      </c>
      <c r="D28" s="46"/>
      <c r="E28" s="51" t="s">
        <v>862</v>
      </c>
      <c r="F28" s="51" t="s">
        <v>880</v>
      </c>
      <c r="G28" s="51">
        <v>-162</v>
      </c>
    </row>
    <row r="29" spans="1:7" x14ac:dyDescent="0.35">
      <c r="A29" s="37" t="s">
        <v>856</v>
      </c>
      <c r="B29" s="47">
        <v>6211</v>
      </c>
      <c r="C29" s="37">
        <v>-6</v>
      </c>
      <c r="D29" s="46"/>
      <c r="E29" s="51" t="s">
        <v>862</v>
      </c>
      <c r="F29" s="51" t="s">
        <v>970</v>
      </c>
      <c r="G29" s="51">
        <v>-18</v>
      </c>
    </row>
    <row r="30" spans="1:7" x14ac:dyDescent="0.35">
      <c r="A30" s="37" t="s">
        <v>856</v>
      </c>
      <c r="B30" s="47">
        <v>6216</v>
      </c>
      <c r="C30" s="37">
        <v>-39</v>
      </c>
      <c r="D30" s="46"/>
      <c r="E30" s="51" t="s">
        <v>862</v>
      </c>
      <c r="F30" s="51" t="s">
        <v>965</v>
      </c>
      <c r="G30" s="51">
        <v>-1</v>
      </c>
    </row>
    <row r="31" spans="1:7" x14ac:dyDescent="0.35">
      <c r="A31" s="37" t="s">
        <v>856</v>
      </c>
      <c r="B31" s="47">
        <v>6218</v>
      </c>
      <c r="C31" s="37">
        <v>-28</v>
      </c>
      <c r="D31" s="46"/>
      <c r="E31" s="51" t="s">
        <v>862</v>
      </c>
      <c r="F31" s="51" t="s">
        <v>966</v>
      </c>
      <c r="G31" s="51">
        <v>-6</v>
      </c>
    </row>
    <row r="32" spans="1:7" x14ac:dyDescent="0.35">
      <c r="A32" s="37" t="s">
        <v>856</v>
      </c>
      <c r="B32" s="47">
        <v>6255</v>
      </c>
      <c r="C32" s="37">
        <v>-10</v>
      </c>
      <c r="D32" s="46"/>
      <c r="E32" s="51" t="s">
        <v>862</v>
      </c>
      <c r="F32" s="51" t="s">
        <v>947</v>
      </c>
      <c r="G32" s="51">
        <v>-26</v>
      </c>
    </row>
    <row r="33" spans="1:7" x14ac:dyDescent="0.35">
      <c r="A33" s="37" t="s">
        <v>856</v>
      </c>
      <c r="B33" s="37">
        <v>6270</v>
      </c>
      <c r="C33" s="37">
        <v>-2</v>
      </c>
      <c r="D33" s="46"/>
      <c r="E33" s="51" t="s">
        <v>862</v>
      </c>
      <c r="F33" s="51" t="s">
        <v>951</v>
      </c>
      <c r="G33" s="51">
        <v>-47</v>
      </c>
    </row>
    <row r="34" spans="1:7" x14ac:dyDescent="0.35">
      <c r="A34" s="37" t="s">
        <v>856</v>
      </c>
      <c r="B34" s="37">
        <v>6280</v>
      </c>
      <c r="C34" s="37">
        <v>-8</v>
      </c>
      <c r="D34" s="46"/>
      <c r="E34" s="51" t="s">
        <v>862</v>
      </c>
      <c r="F34" s="51" t="s">
        <v>960</v>
      </c>
      <c r="G34" s="51">
        <v>-20</v>
      </c>
    </row>
    <row r="35" spans="1:7" x14ac:dyDescent="0.35">
      <c r="A35" s="37" t="s">
        <v>856</v>
      </c>
      <c r="B35" s="47">
        <v>6295</v>
      </c>
      <c r="C35" s="37">
        <v>-5</v>
      </c>
      <c r="D35" s="46"/>
      <c r="E35" s="51" t="s">
        <v>862</v>
      </c>
      <c r="F35" s="51" t="s">
        <v>990</v>
      </c>
      <c r="G35" s="51">
        <v>-2</v>
      </c>
    </row>
    <row r="36" spans="1:7" x14ac:dyDescent="0.35">
      <c r="A36" s="37" t="s">
        <v>856</v>
      </c>
      <c r="B36" s="47">
        <v>6605</v>
      </c>
      <c r="C36" s="37">
        <v>-10</v>
      </c>
      <c r="D36" s="46"/>
      <c r="E36" s="51" t="s">
        <v>862</v>
      </c>
      <c r="F36" s="51" t="s">
        <v>936</v>
      </c>
      <c r="G36" s="51">
        <v>-35</v>
      </c>
    </row>
    <row r="37" spans="1:7" x14ac:dyDescent="0.35">
      <c r="A37" s="37" t="s">
        <v>856</v>
      </c>
      <c r="B37" s="47">
        <v>6610</v>
      </c>
      <c r="C37" s="37">
        <v>-6</v>
      </c>
      <c r="D37" s="46"/>
      <c r="E37" s="51" t="s">
        <v>862</v>
      </c>
      <c r="F37" s="51" t="s">
        <v>935</v>
      </c>
      <c r="G37" s="51">
        <v>-32</v>
      </c>
    </row>
    <row r="38" spans="1:7" x14ac:dyDescent="0.35">
      <c r="A38" s="37" t="s">
        <v>856</v>
      </c>
      <c r="B38" s="47">
        <v>6710</v>
      </c>
      <c r="C38" s="37">
        <v>-20</v>
      </c>
      <c r="D38" s="46"/>
      <c r="E38" s="51" t="s">
        <v>862</v>
      </c>
      <c r="F38" s="51" t="s">
        <v>987</v>
      </c>
      <c r="G38" s="51">
        <v>-10</v>
      </c>
    </row>
    <row r="39" spans="1:7" x14ac:dyDescent="0.35">
      <c r="A39" s="37" t="s">
        <v>856</v>
      </c>
      <c r="B39" s="47">
        <v>6803</v>
      </c>
      <c r="C39" s="37">
        <v>-156</v>
      </c>
      <c r="D39" s="46"/>
      <c r="E39" s="51" t="s">
        <v>862</v>
      </c>
      <c r="F39" s="51" t="s">
        <v>896</v>
      </c>
      <c r="G39" s="51">
        <v>-5</v>
      </c>
    </row>
    <row r="40" spans="1:7" x14ac:dyDescent="0.35">
      <c r="A40" s="37" t="s">
        <v>856</v>
      </c>
      <c r="B40" s="47">
        <v>6820</v>
      </c>
      <c r="C40" s="37">
        <v>-9120</v>
      </c>
      <c r="D40" s="46"/>
      <c r="E40" s="51" t="s">
        <v>862</v>
      </c>
      <c r="F40" s="51" t="s">
        <v>986</v>
      </c>
      <c r="G40" s="51">
        <v>-20</v>
      </c>
    </row>
    <row r="41" spans="1:7" x14ac:dyDescent="0.35">
      <c r="A41" s="37" t="s">
        <v>856</v>
      </c>
      <c r="B41" s="47">
        <v>6850</v>
      </c>
      <c r="C41" s="37">
        <v>-9</v>
      </c>
      <c r="D41" s="46"/>
      <c r="E41" s="51" t="s">
        <v>862</v>
      </c>
      <c r="F41" s="51" t="s">
        <v>958</v>
      </c>
      <c r="G41" s="51">
        <v>-9</v>
      </c>
    </row>
    <row r="42" spans="1:7" x14ac:dyDescent="0.35">
      <c r="A42" s="37" t="s">
        <v>856</v>
      </c>
      <c r="B42" s="47">
        <v>6851</v>
      </c>
      <c r="C42" s="37">
        <v>-35</v>
      </c>
      <c r="D42" s="46"/>
      <c r="E42" s="51" t="s">
        <v>862</v>
      </c>
      <c r="F42" s="51" t="s">
        <v>881</v>
      </c>
      <c r="G42" s="51">
        <v>-27</v>
      </c>
    </row>
    <row r="43" spans="1:7" x14ac:dyDescent="0.35">
      <c r="A43" s="37" t="s">
        <v>856</v>
      </c>
      <c r="B43" s="47">
        <v>6854</v>
      </c>
      <c r="C43" s="37">
        <v>-16</v>
      </c>
      <c r="D43" s="46"/>
      <c r="E43" s="51" t="s">
        <v>862</v>
      </c>
      <c r="F43" s="51" t="s">
        <v>882</v>
      </c>
      <c r="G43" s="51">
        <v>-101</v>
      </c>
    </row>
    <row r="44" spans="1:7" x14ac:dyDescent="0.35">
      <c r="A44" s="37" t="s">
        <v>856</v>
      </c>
      <c r="B44" s="47">
        <v>6870</v>
      </c>
      <c r="C44" s="37">
        <v>-13</v>
      </c>
      <c r="D44" s="46"/>
      <c r="E44" s="51" t="s">
        <v>862</v>
      </c>
      <c r="F44" s="51" t="s">
        <v>982</v>
      </c>
      <c r="G44" s="51">
        <v>-12</v>
      </c>
    </row>
    <row r="45" spans="1:7" x14ac:dyDescent="0.35">
      <c r="A45" s="37" t="s">
        <v>856</v>
      </c>
      <c r="B45" s="47">
        <v>7104</v>
      </c>
      <c r="C45" s="37">
        <v>-1</v>
      </c>
      <c r="D45" s="46"/>
      <c r="E45" s="51" t="s">
        <v>862</v>
      </c>
      <c r="F45" s="51" t="s">
        <v>904</v>
      </c>
      <c r="G45" s="51">
        <v>-130</v>
      </c>
    </row>
    <row r="46" spans="1:7" x14ac:dyDescent="0.35">
      <c r="A46" s="37" t="s">
        <v>856</v>
      </c>
      <c r="B46" s="47">
        <v>7110</v>
      </c>
      <c r="C46" s="37">
        <v>-56</v>
      </c>
      <c r="D46" s="46"/>
      <c r="E46" s="51" t="s">
        <v>862</v>
      </c>
      <c r="F46" s="51" t="s">
        <v>941</v>
      </c>
      <c r="G46" s="51">
        <v>-49</v>
      </c>
    </row>
    <row r="47" spans="1:7" x14ac:dyDescent="0.35">
      <c r="A47" s="37" t="s">
        <v>856</v>
      </c>
      <c r="B47" s="47">
        <v>7114</v>
      </c>
      <c r="C47" s="37">
        <v>-6</v>
      </c>
      <c r="D47" s="46"/>
      <c r="E47" s="51" t="s">
        <v>862</v>
      </c>
      <c r="F47" s="51" t="s">
        <v>911</v>
      </c>
      <c r="G47" s="51">
        <v>-6</v>
      </c>
    </row>
    <row r="48" spans="1:7" x14ac:dyDescent="0.35">
      <c r="A48" s="37" t="s">
        <v>856</v>
      </c>
      <c r="B48" s="47">
        <v>7120</v>
      </c>
      <c r="C48" s="37">
        <v>-12</v>
      </c>
      <c r="D48" s="46"/>
      <c r="E48" s="51" t="s">
        <v>862</v>
      </c>
      <c r="F48" s="51" t="s">
        <v>952</v>
      </c>
      <c r="G48" s="51">
        <v>-10</v>
      </c>
    </row>
    <row r="49" spans="1:7" x14ac:dyDescent="0.35">
      <c r="A49" s="37" t="s">
        <v>856</v>
      </c>
      <c r="B49" s="47">
        <v>7180</v>
      </c>
      <c r="C49" s="37">
        <v>-1</v>
      </c>
      <c r="D49" s="46"/>
      <c r="E49" s="51" t="s">
        <v>862</v>
      </c>
      <c r="F49" s="51" t="s">
        <v>962</v>
      </c>
      <c r="G49" s="51">
        <v>-39</v>
      </c>
    </row>
    <row r="50" spans="1:7" x14ac:dyDescent="0.35">
      <c r="A50" s="37" t="s">
        <v>856</v>
      </c>
      <c r="B50" s="47">
        <v>7205</v>
      </c>
      <c r="C50" s="37">
        <v>-5</v>
      </c>
      <c r="D50" s="46"/>
      <c r="E50" s="51" t="s">
        <v>862</v>
      </c>
      <c r="F50" s="51" t="s">
        <v>979</v>
      </c>
      <c r="G50" s="51">
        <v>-81</v>
      </c>
    </row>
    <row r="51" spans="1:7" x14ac:dyDescent="0.35">
      <c r="A51" s="37" t="s">
        <v>856</v>
      </c>
      <c r="B51" s="47">
        <v>7210</v>
      </c>
      <c r="C51" s="37">
        <v>-10</v>
      </c>
      <c r="D51" s="46"/>
      <c r="E51" s="51" t="s">
        <v>862</v>
      </c>
      <c r="F51" s="51" t="s">
        <v>971</v>
      </c>
      <c r="G51" s="51">
        <v>-20</v>
      </c>
    </row>
    <row r="52" spans="1:7" x14ac:dyDescent="0.35">
      <c r="A52" s="37" t="s">
        <v>856</v>
      </c>
      <c r="B52" s="47">
        <v>7211</v>
      </c>
      <c r="C52" s="37">
        <v>-3</v>
      </c>
      <c r="D52" s="46"/>
      <c r="E52" s="51" t="s">
        <v>862</v>
      </c>
      <c r="F52" s="51" t="s">
        <v>927</v>
      </c>
      <c r="G52" s="51">
        <v>-1</v>
      </c>
    </row>
    <row r="53" spans="1:7" x14ac:dyDescent="0.35">
      <c r="A53" s="37" t="s">
        <v>856</v>
      </c>
      <c r="B53" s="37">
        <v>7270</v>
      </c>
      <c r="C53" s="37">
        <v>-3</v>
      </c>
      <c r="D53" s="46"/>
      <c r="E53" s="51" t="s">
        <v>862</v>
      </c>
      <c r="F53" s="51" t="s">
        <v>983</v>
      </c>
      <c r="G53" s="51">
        <v>-10</v>
      </c>
    </row>
    <row r="54" spans="1:7" x14ac:dyDescent="0.35">
      <c r="A54" s="37" t="s">
        <v>856</v>
      </c>
      <c r="B54" s="47">
        <v>7275</v>
      </c>
      <c r="C54" s="37">
        <v>-2</v>
      </c>
      <c r="D54" s="46"/>
      <c r="E54" s="51" t="s">
        <v>862</v>
      </c>
      <c r="F54" s="51" t="s">
        <v>928</v>
      </c>
      <c r="G54" s="51">
        <v>-59</v>
      </c>
    </row>
    <row r="55" spans="1:7" x14ac:dyDescent="0.35">
      <c r="A55" s="37" t="s">
        <v>856</v>
      </c>
      <c r="B55" s="49">
        <v>7280</v>
      </c>
      <c r="C55" s="37">
        <v>-3</v>
      </c>
      <c r="D55" s="46"/>
      <c r="E55" s="51" t="s">
        <v>862</v>
      </c>
      <c r="F55" s="51" t="s">
        <v>956</v>
      </c>
      <c r="G55" s="51">
        <v>-32</v>
      </c>
    </row>
    <row r="56" spans="1:7" x14ac:dyDescent="0.35">
      <c r="A56" s="37" t="s">
        <v>856</v>
      </c>
      <c r="B56" s="47">
        <v>7310</v>
      </c>
      <c r="C56" s="37">
        <v>-72</v>
      </c>
      <c r="D56" s="46"/>
      <c r="E56" s="51" t="s">
        <v>862</v>
      </c>
      <c r="F56" s="51" t="s">
        <v>957</v>
      </c>
      <c r="G56" s="51">
        <v>-45</v>
      </c>
    </row>
    <row r="57" spans="1:7" x14ac:dyDescent="0.35">
      <c r="A57" s="37" t="s">
        <v>856</v>
      </c>
      <c r="B57" s="47">
        <v>7316</v>
      </c>
      <c r="C57" s="37">
        <v>-9</v>
      </c>
      <c r="D57" s="46"/>
      <c r="E57" s="51" t="s">
        <v>862</v>
      </c>
      <c r="F57" s="51" t="s">
        <v>999</v>
      </c>
      <c r="G57" s="51">
        <v>-7</v>
      </c>
    </row>
    <row r="58" spans="1:7" x14ac:dyDescent="0.35">
      <c r="A58" s="37" t="s">
        <v>856</v>
      </c>
      <c r="B58" s="47">
        <v>7320</v>
      </c>
      <c r="C58" s="37">
        <v>-7</v>
      </c>
      <c r="D58" s="46"/>
      <c r="E58" s="51" t="s">
        <v>862</v>
      </c>
      <c r="F58" s="51" t="s">
        <v>997</v>
      </c>
      <c r="G58" s="51">
        <v>-5</v>
      </c>
    </row>
    <row r="59" spans="1:7" x14ac:dyDescent="0.35">
      <c r="A59" s="37" t="s">
        <v>856</v>
      </c>
      <c r="B59" s="47">
        <v>7403</v>
      </c>
      <c r="C59" s="37">
        <v>-5</v>
      </c>
      <c r="D59" s="46"/>
      <c r="E59" s="51" t="s">
        <v>862</v>
      </c>
      <c r="F59" s="51" t="s">
        <v>942</v>
      </c>
      <c r="G59" s="51">
        <v>-9</v>
      </c>
    </row>
    <row r="60" spans="1:7" x14ac:dyDescent="0.35">
      <c r="A60" s="37" t="s">
        <v>856</v>
      </c>
      <c r="B60" s="47">
        <v>7420</v>
      </c>
      <c r="C60" s="37">
        <v>-19</v>
      </c>
      <c r="D60" s="46"/>
      <c r="E60" s="51" t="s">
        <v>862</v>
      </c>
      <c r="F60" s="51" t="s">
        <v>953</v>
      </c>
      <c r="G60" s="51">
        <v>-115</v>
      </c>
    </row>
    <row r="61" spans="1:7" x14ac:dyDescent="0.35">
      <c r="A61" s="37" t="s">
        <v>856</v>
      </c>
      <c r="B61" s="47">
        <v>7604</v>
      </c>
      <c r="C61" s="37">
        <v>-22</v>
      </c>
      <c r="D61" s="46"/>
      <c r="E61" s="51" t="s">
        <v>862</v>
      </c>
      <c r="F61" s="51" t="s">
        <v>946</v>
      </c>
      <c r="G61" s="51">
        <v>-249</v>
      </c>
    </row>
    <row r="62" spans="1:7" x14ac:dyDescent="0.35">
      <c r="A62" s="37" t="s">
        <v>856</v>
      </c>
      <c r="B62" s="47">
        <v>7702</v>
      </c>
      <c r="C62" s="37">
        <v>-24</v>
      </c>
      <c r="D62" s="46"/>
      <c r="E62" s="51" t="s">
        <v>862</v>
      </c>
      <c r="F62" s="51" t="s">
        <v>910</v>
      </c>
      <c r="G62" s="51">
        <v>-20</v>
      </c>
    </row>
    <row r="63" spans="1:7" x14ac:dyDescent="0.35">
      <c r="A63" s="37" t="s">
        <v>856</v>
      </c>
      <c r="B63" s="47">
        <v>7703</v>
      </c>
      <c r="C63" s="37">
        <v>-5</v>
      </c>
      <c r="D63" s="46"/>
      <c r="E63" s="51" t="s">
        <v>862</v>
      </c>
      <c r="F63" s="51" t="s">
        <v>930</v>
      </c>
      <c r="G63" s="51">
        <v>-103</v>
      </c>
    </row>
    <row r="64" spans="1:7" x14ac:dyDescent="0.35">
      <c r="A64" s="37" t="s">
        <v>856</v>
      </c>
      <c r="B64" s="47">
        <v>7708</v>
      </c>
      <c r="C64" s="37">
        <v>-18</v>
      </c>
      <c r="D64" s="46"/>
      <c r="E64" s="51" t="s">
        <v>862</v>
      </c>
      <c r="F64" s="51" t="s">
        <v>894</v>
      </c>
      <c r="G64" s="51">
        <v>-415</v>
      </c>
    </row>
    <row r="65" spans="1:7" x14ac:dyDescent="0.35">
      <c r="A65" s="37" t="s">
        <v>856</v>
      </c>
      <c r="B65" s="47">
        <v>7750</v>
      </c>
      <c r="C65" s="37">
        <v>-10</v>
      </c>
      <c r="D65" s="46"/>
      <c r="E65" s="51" t="s">
        <v>862</v>
      </c>
      <c r="F65" s="51" t="s">
        <v>932</v>
      </c>
      <c r="G65" s="51">
        <v>-69</v>
      </c>
    </row>
    <row r="66" spans="1:7" x14ac:dyDescent="0.35">
      <c r="A66" s="37" t="s">
        <v>856</v>
      </c>
      <c r="B66" s="48">
        <v>7770</v>
      </c>
      <c r="C66" s="37">
        <v>-3</v>
      </c>
      <c r="D66" s="46"/>
      <c r="E66" s="51" t="s">
        <v>862</v>
      </c>
      <c r="F66" s="51" t="s">
        <v>883</v>
      </c>
      <c r="G66" s="51">
        <v>-161</v>
      </c>
    </row>
    <row r="67" spans="1:7" x14ac:dyDescent="0.35">
      <c r="A67" s="37" t="s">
        <v>856</v>
      </c>
      <c r="B67" s="47">
        <v>7780</v>
      </c>
      <c r="C67" s="37">
        <v>-4</v>
      </c>
      <c r="D67" s="46"/>
      <c r="E67" s="51" t="s">
        <v>862</v>
      </c>
      <c r="F67" s="51" t="s">
        <v>884</v>
      </c>
      <c r="G67" s="51">
        <v>-5</v>
      </c>
    </row>
    <row r="68" spans="1:7" x14ac:dyDescent="0.35">
      <c r="A68" s="37" t="s">
        <v>856</v>
      </c>
      <c r="B68" s="47">
        <v>7814</v>
      </c>
      <c r="C68" s="37">
        <v>-9</v>
      </c>
      <c r="D68" s="46"/>
      <c r="E68" s="51" t="s">
        <v>862</v>
      </c>
      <c r="F68" s="51" t="s">
        <v>992</v>
      </c>
      <c r="G68" s="51">
        <v>-5</v>
      </c>
    </row>
    <row r="69" spans="1:7" x14ac:dyDescent="0.35">
      <c r="A69" s="37" t="s">
        <v>856</v>
      </c>
      <c r="B69" s="47">
        <v>7816</v>
      </c>
      <c r="C69" s="37">
        <v>-71</v>
      </c>
      <c r="D69" s="46"/>
      <c r="E69" s="51" t="s">
        <v>862</v>
      </c>
      <c r="F69" s="51" t="s">
        <v>885</v>
      </c>
      <c r="G69" s="51">
        <v>-7</v>
      </c>
    </row>
    <row r="70" spans="1:7" x14ac:dyDescent="0.35">
      <c r="A70" s="37" t="s">
        <v>856</v>
      </c>
      <c r="B70" s="47">
        <v>7820</v>
      </c>
      <c r="C70" s="37">
        <v>-111</v>
      </c>
      <c r="D70" s="46"/>
      <c r="E70" s="51" t="s">
        <v>862</v>
      </c>
      <c r="F70" s="51" t="s">
        <v>897</v>
      </c>
      <c r="G70" s="51">
        <v>-280</v>
      </c>
    </row>
    <row r="71" spans="1:7" x14ac:dyDescent="0.35">
      <c r="A71" s="37" t="s">
        <v>856</v>
      </c>
      <c r="B71" s="47">
        <v>7875</v>
      </c>
      <c r="C71" s="37">
        <v>-4</v>
      </c>
      <c r="D71" s="46"/>
      <c r="E71" s="51" t="s">
        <v>862</v>
      </c>
      <c r="F71" s="51" t="s">
        <v>1005</v>
      </c>
      <c r="G71" s="51">
        <v>-583</v>
      </c>
    </row>
    <row r="72" spans="1:7" x14ac:dyDescent="0.35">
      <c r="A72" s="37" t="s">
        <v>856</v>
      </c>
      <c r="B72" s="47">
        <v>7880</v>
      </c>
      <c r="C72" s="37">
        <v>-8</v>
      </c>
      <c r="D72" s="46"/>
      <c r="E72" s="51" t="s">
        <v>862</v>
      </c>
      <c r="F72" s="51" t="s">
        <v>934</v>
      </c>
      <c r="G72" s="51">
        <v>-113</v>
      </c>
    </row>
    <row r="73" spans="1:7" x14ac:dyDescent="0.35">
      <c r="A73" s="37" t="s">
        <v>856</v>
      </c>
      <c r="B73" s="47">
        <v>7894</v>
      </c>
      <c r="C73" s="37">
        <v>-6</v>
      </c>
      <c r="D73" s="46"/>
      <c r="E73" s="51" t="s">
        <v>862</v>
      </c>
      <c r="F73" s="51" t="s">
        <v>989</v>
      </c>
      <c r="G73" s="51">
        <v>-90</v>
      </c>
    </row>
    <row r="74" spans="1:7" x14ac:dyDescent="0.35">
      <c r="A74" s="37" t="s">
        <v>856</v>
      </c>
      <c r="B74" s="47">
        <v>8103</v>
      </c>
      <c r="C74" s="37">
        <v>-10</v>
      </c>
      <c r="D74" s="46"/>
      <c r="E74" s="51" t="s">
        <v>862</v>
      </c>
      <c r="F74" s="51" t="s">
        <v>922</v>
      </c>
      <c r="G74" s="51">
        <v>-2</v>
      </c>
    </row>
    <row r="75" spans="1:7" x14ac:dyDescent="0.35">
      <c r="A75" s="37" t="s">
        <v>856</v>
      </c>
      <c r="B75" s="47">
        <v>8116</v>
      </c>
      <c r="C75" s="37">
        <v>-3</v>
      </c>
      <c r="D75" s="46"/>
      <c r="E75" s="51" t="s">
        <v>862</v>
      </c>
      <c r="F75" s="51" t="s">
        <v>915</v>
      </c>
      <c r="G75" s="51">
        <v>-1</v>
      </c>
    </row>
    <row r="76" spans="1:7" x14ac:dyDescent="0.35">
      <c r="A76" s="37" t="s">
        <v>856</v>
      </c>
      <c r="B76" s="47">
        <v>8318</v>
      </c>
      <c r="C76" s="37">
        <v>-37</v>
      </c>
      <c r="D76" s="46"/>
      <c r="E76" s="51" t="s">
        <v>862</v>
      </c>
      <c r="F76" s="51" t="s">
        <v>998</v>
      </c>
      <c r="G76" s="51">
        <v>-1</v>
      </c>
    </row>
    <row r="77" spans="1:7" x14ac:dyDescent="0.35">
      <c r="A77" s="37" t="s">
        <v>856</v>
      </c>
      <c r="B77" s="47">
        <v>8320</v>
      </c>
      <c r="C77" s="37">
        <v>-409</v>
      </c>
      <c r="D77" s="46"/>
      <c r="E77" s="51" t="s">
        <v>862</v>
      </c>
      <c r="F77" s="51" t="s">
        <v>916</v>
      </c>
      <c r="G77" s="51">
        <v>-49</v>
      </c>
    </row>
    <row r="78" spans="1:7" x14ac:dyDescent="0.35">
      <c r="A78" s="37" t="s">
        <v>856</v>
      </c>
      <c r="B78" s="47">
        <v>8702</v>
      </c>
      <c r="C78" s="37">
        <v>-71</v>
      </c>
      <c r="D78" s="46"/>
      <c r="E78" s="51" t="s">
        <v>862</v>
      </c>
      <c r="F78" s="51" t="s">
        <v>918</v>
      </c>
      <c r="G78" s="51">
        <v>-155</v>
      </c>
    </row>
    <row r="79" spans="1:7" x14ac:dyDescent="0.35">
      <c r="A79" s="37" t="s">
        <v>856</v>
      </c>
      <c r="B79" s="47">
        <v>8708</v>
      </c>
      <c r="C79" s="37">
        <v>-77</v>
      </c>
      <c r="D79" s="46"/>
      <c r="E79" s="51" t="s">
        <v>862</v>
      </c>
      <c r="F79" s="51" t="s">
        <v>950</v>
      </c>
      <c r="G79" s="51">
        <v>-55</v>
      </c>
    </row>
    <row r="80" spans="1:7" x14ac:dyDescent="0.35">
      <c r="A80" s="37" t="s">
        <v>856</v>
      </c>
      <c r="B80" s="47">
        <v>8720</v>
      </c>
      <c r="C80" s="37">
        <v>-142</v>
      </c>
      <c r="D80" s="46"/>
      <c r="E80" s="51" t="s">
        <v>862</v>
      </c>
      <c r="F80" s="51" t="s">
        <v>931</v>
      </c>
      <c r="G80" s="51">
        <v>-22</v>
      </c>
    </row>
    <row r="81" spans="1:7" x14ac:dyDescent="0.35">
      <c r="A81" s="37" t="s">
        <v>856</v>
      </c>
      <c r="B81" s="47">
        <v>8780</v>
      </c>
      <c r="C81" s="37">
        <v>-29</v>
      </c>
      <c r="D81" s="46"/>
      <c r="E81" s="51" t="s">
        <v>862</v>
      </c>
      <c r="F81" s="51" t="s">
        <v>968</v>
      </c>
      <c r="G81" s="51">
        <v>-110</v>
      </c>
    </row>
    <row r="82" spans="1:7" x14ac:dyDescent="0.35">
      <c r="A82" s="37" t="s">
        <v>856</v>
      </c>
      <c r="B82" s="47">
        <v>8961</v>
      </c>
      <c r="C82" s="37">
        <v>-2</v>
      </c>
      <c r="D82" s="46"/>
      <c r="E82" s="51" t="s">
        <v>862</v>
      </c>
      <c r="F82" s="51" t="s">
        <v>969</v>
      </c>
      <c r="G82" s="51">
        <v>-100</v>
      </c>
    </row>
    <row r="83" spans="1:7" x14ac:dyDescent="0.35">
      <c r="A83" s="37" t="s">
        <v>856</v>
      </c>
      <c r="B83" s="47">
        <v>9003</v>
      </c>
      <c r="C83" s="37">
        <v>-55</v>
      </c>
      <c r="D83" s="46"/>
      <c r="E83" s="51" t="s">
        <v>862</v>
      </c>
      <c r="F83" s="51" t="s">
        <v>995</v>
      </c>
      <c r="G83" s="51">
        <v>-1</v>
      </c>
    </row>
    <row r="84" spans="1:7" x14ac:dyDescent="0.35">
      <c r="A84" s="37" t="s">
        <v>856</v>
      </c>
      <c r="B84" s="47">
        <v>9080</v>
      </c>
      <c r="C84" s="37">
        <v>-1</v>
      </c>
      <c r="D84" s="46"/>
      <c r="E84" s="51" t="s">
        <v>862</v>
      </c>
      <c r="F84" s="51" t="s">
        <v>1006</v>
      </c>
      <c r="G84" s="51">
        <v>-1</v>
      </c>
    </row>
    <row r="85" spans="1:7" x14ac:dyDescent="0.35">
      <c r="A85" s="37" t="s">
        <v>856</v>
      </c>
      <c r="B85" s="47">
        <v>9313</v>
      </c>
      <c r="C85" s="37">
        <v>-11</v>
      </c>
      <c r="D85" s="46"/>
      <c r="E85" s="51" t="s">
        <v>862</v>
      </c>
      <c r="F85" s="51" t="s">
        <v>893</v>
      </c>
      <c r="G85" s="51">
        <v>-829</v>
      </c>
    </row>
    <row r="86" spans="1:7" x14ac:dyDescent="0.35">
      <c r="A86" s="37" t="s">
        <v>856</v>
      </c>
      <c r="B86" s="48">
        <v>9394</v>
      </c>
      <c r="C86" s="37">
        <v>-20</v>
      </c>
      <c r="D86" s="46"/>
      <c r="E86" s="51" t="s">
        <v>862</v>
      </c>
      <c r="F86" s="51" t="s">
        <v>945</v>
      </c>
      <c r="G86" s="51">
        <v>-110779</v>
      </c>
    </row>
    <row r="87" spans="1:7" x14ac:dyDescent="0.35">
      <c r="A87" s="37" t="s">
        <v>856</v>
      </c>
      <c r="B87" s="47" t="s">
        <v>939</v>
      </c>
      <c r="C87" s="37">
        <v>-8</v>
      </c>
      <c r="D87" s="46"/>
      <c r="E87" s="50"/>
      <c r="F87" s="50"/>
      <c r="G87" s="50"/>
    </row>
    <row r="88" spans="1:7" x14ac:dyDescent="0.35">
      <c r="A88" s="37" t="s">
        <v>856</v>
      </c>
      <c r="B88" s="47" t="s">
        <v>938</v>
      </c>
      <c r="C88" s="37">
        <v>-15</v>
      </c>
      <c r="D88" s="46"/>
      <c r="E88" s="50"/>
      <c r="F88" s="50"/>
      <c r="G88" s="50"/>
    </row>
    <row r="89" spans="1:7" x14ac:dyDescent="0.35">
      <c r="A89" s="37" t="s">
        <v>856</v>
      </c>
      <c r="B89" s="47" t="s">
        <v>959</v>
      </c>
      <c r="C89" s="37">
        <v>-6</v>
      </c>
      <c r="D89" s="46"/>
      <c r="E89" s="50"/>
      <c r="F89" s="50"/>
      <c r="G89" s="50"/>
    </row>
    <row r="90" spans="1:7" x14ac:dyDescent="0.35">
      <c r="A90" s="37" t="s">
        <v>856</v>
      </c>
      <c r="B90" s="47" t="s">
        <v>984</v>
      </c>
      <c r="C90" s="37">
        <v>-20</v>
      </c>
      <c r="D90" s="46"/>
      <c r="E90" s="50"/>
      <c r="F90" s="50"/>
      <c r="G90" s="50"/>
    </row>
    <row r="91" spans="1:7" x14ac:dyDescent="0.35">
      <c r="A91" s="37" t="s">
        <v>856</v>
      </c>
      <c r="B91" s="47" t="s">
        <v>944</v>
      </c>
      <c r="C91" s="37">
        <v>-76</v>
      </c>
      <c r="D91" s="46"/>
      <c r="E91" s="50"/>
      <c r="F91" s="50"/>
      <c r="G91" s="50"/>
    </row>
    <row r="92" spans="1:7" x14ac:dyDescent="0.35">
      <c r="A92" s="37" t="s">
        <v>856</v>
      </c>
      <c r="B92" s="47" t="s">
        <v>985</v>
      </c>
      <c r="C92" s="37">
        <v>-2</v>
      </c>
      <c r="D92" s="46"/>
      <c r="E92" s="50"/>
      <c r="F92" s="50"/>
      <c r="G92" s="50"/>
    </row>
    <row r="93" spans="1:7" x14ac:dyDescent="0.35">
      <c r="A93" s="37" t="s">
        <v>856</v>
      </c>
      <c r="B93" s="47" t="s">
        <v>978</v>
      </c>
      <c r="C93" s="37">
        <v>-12</v>
      </c>
      <c r="D93" s="46"/>
      <c r="E93" s="50"/>
      <c r="F93" s="50"/>
      <c r="G93" s="50"/>
    </row>
    <row r="94" spans="1:7" x14ac:dyDescent="0.35">
      <c r="A94" s="37" t="s">
        <v>856</v>
      </c>
      <c r="B94" s="47" t="s">
        <v>991</v>
      </c>
      <c r="C94" s="37">
        <v>-10</v>
      </c>
      <c r="D94" s="46"/>
      <c r="E94" s="50"/>
      <c r="F94" s="50"/>
      <c r="G94" s="50"/>
    </row>
    <row r="95" spans="1:7" x14ac:dyDescent="0.35">
      <c r="A95" s="37" t="s">
        <v>856</v>
      </c>
      <c r="B95" s="37" t="s">
        <v>1004</v>
      </c>
      <c r="C95" s="37">
        <v>-2</v>
      </c>
      <c r="D95" s="46"/>
      <c r="E95" s="50"/>
      <c r="F95" s="50"/>
      <c r="G95" s="50"/>
    </row>
    <row r="96" spans="1:7" x14ac:dyDescent="0.35">
      <c r="A96" s="37" t="s">
        <v>856</v>
      </c>
      <c r="B96" s="47" t="s">
        <v>926</v>
      </c>
      <c r="C96" s="37">
        <v>-60</v>
      </c>
      <c r="D96" s="46"/>
      <c r="E96" s="50"/>
      <c r="F96" s="50"/>
      <c r="G96" s="50"/>
    </row>
    <row r="97" spans="1:7" x14ac:dyDescent="0.35">
      <c r="A97" s="37" t="s">
        <v>856</v>
      </c>
      <c r="B97" s="47" t="s">
        <v>964</v>
      </c>
      <c r="C97" s="37">
        <v>-5</v>
      </c>
      <c r="D97" s="46"/>
      <c r="E97" s="50"/>
      <c r="F97" s="50"/>
      <c r="G97" s="50"/>
    </row>
    <row r="98" spans="1:7" x14ac:dyDescent="0.35">
      <c r="A98" s="37" t="s">
        <v>856</v>
      </c>
      <c r="B98" s="47" t="s">
        <v>988</v>
      </c>
      <c r="C98" s="37">
        <v>-1</v>
      </c>
      <c r="D98" s="46"/>
      <c r="E98" s="50"/>
      <c r="F98" s="50"/>
      <c r="G98" s="50"/>
    </row>
    <row r="99" spans="1:7" x14ac:dyDescent="0.35">
      <c r="A99" s="37" t="s">
        <v>856</v>
      </c>
      <c r="B99" s="47" t="s">
        <v>857</v>
      </c>
      <c r="C99" s="37">
        <v>-1</v>
      </c>
      <c r="D99" s="46"/>
      <c r="E99" s="50"/>
      <c r="F99" s="50"/>
      <c r="G99" s="50"/>
    </row>
    <row r="100" spans="1:7" x14ac:dyDescent="0.35">
      <c r="A100" s="37" t="s">
        <v>856</v>
      </c>
      <c r="B100" s="47" t="s">
        <v>858</v>
      </c>
      <c r="C100" s="37">
        <v>-6</v>
      </c>
      <c r="D100" s="46"/>
      <c r="E100" s="50"/>
      <c r="F100" s="50"/>
      <c r="G100" s="50"/>
    </row>
    <row r="101" spans="1:7" x14ac:dyDescent="0.35">
      <c r="A101" s="37" t="s">
        <v>856</v>
      </c>
      <c r="B101" s="47" t="s">
        <v>963</v>
      </c>
      <c r="C101" s="37">
        <v>-40</v>
      </c>
      <c r="D101" s="46"/>
      <c r="E101" s="50"/>
      <c r="F101" s="50"/>
      <c r="G101" s="50"/>
    </row>
    <row r="102" spans="1:7" x14ac:dyDescent="0.35">
      <c r="A102" s="37" t="s">
        <v>856</v>
      </c>
      <c r="B102" s="47" t="s">
        <v>859</v>
      </c>
      <c r="C102" s="37">
        <v>-24</v>
      </c>
      <c r="D102" s="46"/>
      <c r="E102" s="50"/>
      <c r="F102" s="50"/>
      <c r="G102" s="50"/>
    </row>
    <row r="103" spans="1:7" x14ac:dyDescent="0.35">
      <c r="A103" s="37" t="s">
        <v>856</v>
      </c>
      <c r="B103" s="47" t="s">
        <v>898</v>
      </c>
      <c r="C103" s="37">
        <v>-88</v>
      </c>
      <c r="D103" s="46"/>
      <c r="E103" s="50"/>
      <c r="F103" s="50"/>
      <c r="G103" s="50"/>
    </row>
    <row r="104" spans="1:7" x14ac:dyDescent="0.35">
      <c r="A104" s="37" t="s">
        <v>856</v>
      </c>
      <c r="B104" s="47" t="s">
        <v>1001</v>
      </c>
      <c r="C104" s="37">
        <v>-1</v>
      </c>
      <c r="D104" s="46"/>
      <c r="E104" s="50"/>
      <c r="F104" s="50"/>
      <c r="G104" s="50"/>
    </row>
    <row r="105" spans="1:7" x14ac:dyDescent="0.35">
      <c r="A105" s="37" t="s">
        <v>856</v>
      </c>
      <c r="B105" s="47" t="s">
        <v>937</v>
      </c>
      <c r="C105" s="37">
        <v>-4</v>
      </c>
      <c r="D105" s="46"/>
      <c r="E105" s="50"/>
      <c r="F105" s="50"/>
      <c r="G105" s="50"/>
    </row>
    <row r="106" spans="1:7" x14ac:dyDescent="0.35">
      <c r="A106" s="37" t="s">
        <v>856</v>
      </c>
      <c r="B106" s="47" t="s">
        <v>860</v>
      </c>
      <c r="C106" s="37">
        <v>-88</v>
      </c>
      <c r="D106" s="46"/>
      <c r="E106" s="50"/>
      <c r="F106" s="50"/>
      <c r="G106" s="50"/>
    </row>
    <row r="107" spans="1:7" x14ac:dyDescent="0.35">
      <c r="A107" s="37" t="s">
        <v>856</v>
      </c>
      <c r="B107" s="47" t="s">
        <v>917</v>
      </c>
      <c r="C107" s="37">
        <v>-77</v>
      </c>
      <c r="D107" s="46"/>
      <c r="E107" s="50"/>
      <c r="F107" s="50"/>
      <c r="G107" s="50"/>
    </row>
    <row r="108" spans="1:7" x14ac:dyDescent="0.35">
      <c r="A108" s="37" t="s">
        <v>856</v>
      </c>
      <c r="B108" s="47" t="s">
        <v>899</v>
      </c>
      <c r="C108" s="37">
        <v>-62</v>
      </c>
      <c r="D108" s="46"/>
      <c r="E108" s="50"/>
      <c r="F108" s="50"/>
      <c r="G108" s="50"/>
    </row>
    <row r="109" spans="1:7" x14ac:dyDescent="0.35">
      <c r="A109" s="37" t="s">
        <v>856</v>
      </c>
      <c r="B109" s="47" t="s">
        <v>973</v>
      </c>
      <c r="C109" s="37">
        <v>-10</v>
      </c>
      <c r="D109" s="46"/>
      <c r="E109" s="50"/>
      <c r="F109" s="50"/>
      <c r="G109" s="50"/>
    </row>
    <row r="110" spans="1:7" x14ac:dyDescent="0.35">
      <c r="A110" s="37" t="s">
        <v>856</v>
      </c>
      <c r="B110" s="47" t="s">
        <v>1003</v>
      </c>
      <c r="C110" s="37">
        <v>-10</v>
      </c>
      <c r="D110" s="46"/>
      <c r="E110" s="50"/>
      <c r="F110" s="50"/>
      <c r="G110" s="50"/>
    </row>
    <row r="111" spans="1:7" x14ac:dyDescent="0.35">
      <c r="A111" s="37" t="s">
        <v>866</v>
      </c>
      <c r="B111" s="47" t="s">
        <v>981</v>
      </c>
      <c r="C111" s="37">
        <v>-5</v>
      </c>
      <c r="D111" s="46"/>
      <c r="E111" s="50"/>
      <c r="F111" s="50"/>
      <c r="G111" s="50"/>
    </row>
    <row r="112" spans="1:7" x14ac:dyDescent="0.35">
      <c r="A112" s="37" t="s">
        <v>866</v>
      </c>
      <c r="B112" s="47" t="s">
        <v>865</v>
      </c>
      <c r="C112" s="37">
        <v>-4</v>
      </c>
      <c r="D112" s="46"/>
      <c r="E112" s="50"/>
      <c r="F112" s="50"/>
      <c r="G112" s="50"/>
    </row>
    <row r="113" spans="1:7" x14ac:dyDescent="0.35">
      <c r="A113" s="37" t="s">
        <v>856</v>
      </c>
      <c r="B113" s="47" t="s">
        <v>874</v>
      </c>
      <c r="C113" s="37">
        <v>-25</v>
      </c>
      <c r="D113" s="46"/>
      <c r="E113" s="50"/>
      <c r="F113" s="50"/>
      <c r="G113" s="50"/>
    </row>
    <row r="114" spans="1:7" x14ac:dyDescent="0.35">
      <c r="A114" s="37" t="s">
        <v>856</v>
      </c>
      <c r="B114" s="47" t="s">
        <v>875</v>
      </c>
      <c r="C114" s="37">
        <v>-10</v>
      </c>
      <c r="D114" s="46"/>
      <c r="E114" s="50"/>
      <c r="F114" s="50"/>
      <c r="G114" s="50"/>
    </row>
    <row r="115" spans="1:7" x14ac:dyDescent="0.35">
      <c r="A115" s="37" t="s">
        <v>856</v>
      </c>
      <c r="B115" s="47" t="s">
        <v>876</v>
      </c>
      <c r="C115" s="37">
        <v>-23</v>
      </c>
      <c r="D115" s="46"/>
      <c r="E115" s="50"/>
      <c r="F115" s="50"/>
      <c r="G115" s="50"/>
    </row>
    <row r="116" spans="1:7" x14ac:dyDescent="0.35">
      <c r="A116" s="37" t="s">
        <v>866</v>
      </c>
      <c r="B116" s="47" t="s">
        <v>877</v>
      </c>
      <c r="C116" s="37">
        <v>-916</v>
      </c>
      <c r="D116" s="46"/>
      <c r="E116" s="50"/>
      <c r="F116" s="50"/>
      <c r="G116" s="50"/>
    </row>
    <row r="117" spans="1:7" x14ac:dyDescent="0.35">
      <c r="A117" s="37" t="s">
        <v>866</v>
      </c>
      <c r="B117" s="47" t="s">
        <v>878</v>
      </c>
      <c r="C117" s="37">
        <v>-1046</v>
      </c>
      <c r="D117" s="46"/>
      <c r="E117" s="50"/>
      <c r="F117" s="50"/>
      <c r="G117" s="50"/>
    </row>
    <row r="118" spans="1:7" x14ac:dyDescent="0.35">
      <c r="A118" s="37" t="s">
        <v>866</v>
      </c>
      <c r="B118" s="47" t="s">
        <v>879</v>
      </c>
      <c r="C118" s="37">
        <v>-283</v>
      </c>
      <c r="D118" s="46"/>
      <c r="E118" s="50"/>
      <c r="F118" s="50"/>
      <c r="G118" s="50"/>
    </row>
    <row r="119" spans="1:7" x14ac:dyDescent="0.35">
      <c r="A119" s="37" t="s">
        <v>866</v>
      </c>
      <c r="B119" s="47" t="s">
        <v>886</v>
      </c>
      <c r="C119" s="37">
        <v>-1497</v>
      </c>
      <c r="D119" s="46"/>
      <c r="E119" s="50"/>
      <c r="F119" s="50"/>
      <c r="G119" s="50"/>
    </row>
    <row r="120" spans="1:7" x14ac:dyDescent="0.35">
      <c r="A120" s="37" t="s">
        <v>866</v>
      </c>
      <c r="B120" s="47" t="s">
        <v>909</v>
      </c>
      <c r="C120" s="37">
        <v>-20</v>
      </c>
      <c r="D120" s="46"/>
      <c r="E120" s="50"/>
      <c r="F120" s="50"/>
      <c r="G120" s="50"/>
    </row>
    <row r="121" spans="1:7" x14ac:dyDescent="0.35">
      <c r="A121" s="37" t="s">
        <v>866</v>
      </c>
      <c r="B121" s="47" t="s">
        <v>1002</v>
      </c>
      <c r="C121" s="37">
        <v>-3000</v>
      </c>
      <c r="D121" s="46"/>
      <c r="E121" s="50"/>
      <c r="F121" s="50"/>
      <c r="G121" s="50"/>
    </row>
    <row r="122" spans="1:7" x14ac:dyDescent="0.35">
      <c r="A122" s="37" t="s">
        <v>866</v>
      </c>
      <c r="B122" s="47" t="s">
        <v>980</v>
      </c>
      <c r="C122" s="37">
        <v>-119</v>
      </c>
      <c r="D122" s="46"/>
      <c r="E122" s="50"/>
      <c r="F122" s="50"/>
      <c r="G122" s="50"/>
    </row>
    <row r="123" spans="1:7" x14ac:dyDescent="0.35">
      <c r="A123" s="37" t="s">
        <v>866</v>
      </c>
      <c r="B123" s="47" t="s">
        <v>887</v>
      </c>
      <c r="C123" s="37">
        <v>-122</v>
      </c>
      <c r="D123" s="46"/>
      <c r="E123" s="50"/>
      <c r="F123" s="50"/>
      <c r="G123" s="50"/>
    </row>
    <row r="124" spans="1:7" x14ac:dyDescent="0.35">
      <c r="A124" s="37" t="s">
        <v>856</v>
      </c>
      <c r="B124" s="47" t="s">
        <v>888</v>
      </c>
      <c r="C124" s="37">
        <v>-2765</v>
      </c>
      <c r="D124" s="46"/>
      <c r="E124" s="50"/>
      <c r="F124" s="50"/>
      <c r="G124" s="50"/>
    </row>
    <row r="125" spans="1:7" x14ac:dyDescent="0.35">
      <c r="A125" s="37" t="s">
        <v>866</v>
      </c>
      <c r="B125" s="47" t="s">
        <v>955</v>
      </c>
      <c r="C125" s="37">
        <v>-15</v>
      </c>
      <c r="D125" s="46"/>
      <c r="E125" s="50"/>
      <c r="F125" s="50"/>
      <c r="G125" s="50"/>
    </row>
    <row r="126" spans="1:7" x14ac:dyDescent="0.35">
      <c r="A126" s="37" t="s">
        <v>866</v>
      </c>
      <c r="B126" s="47" t="s">
        <v>1000</v>
      </c>
      <c r="C126" s="37">
        <v>-15</v>
      </c>
      <c r="D126" s="46"/>
      <c r="E126" s="50"/>
      <c r="F126" s="50"/>
      <c r="G126" s="50"/>
    </row>
    <row r="127" spans="1:7" x14ac:dyDescent="0.35">
      <c r="A127" s="37" t="s">
        <v>866</v>
      </c>
      <c r="B127" s="47" t="s">
        <v>933</v>
      </c>
      <c r="C127" s="37">
        <v>-10</v>
      </c>
      <c r="D127" s="46"/>
      <c r="E127" s="50"/>
      <c r="F127" s="50"/>
      <c r="G127" s="50"/>
    </row>
    <row r="128" spans="1:7" x14ac:dyDescent="0.35">
      <c r="A128" s="37" t="s">
        <v>866</v>
      </c>
      <c r="B128" s="47" t="s">
        <v>895</v>
      </c>
      <c r="C128" s="37">
        <v>-10</v>
      </c>
      <c r="D128" s="46"/>
      <c r="E128" s="50"/>
      <c r="F128" s="50"/>
      <c r="G128" s="50"/>
    </row>
    <row r="129" spans="1:7" x14ac:dyDescent="0.35">
      <c r="A129" s="37" t="s">
        <v>866</v>
      </c>
      <c r="B129" s="47" t="s">
        <v>923</v>
      </c>
      <c r="C129" s="37">
        <v>-2</v>
      </c>
      <c r="D129" s="46"/>
      <c r="E129" s="50"/>
      <c r="F129" s="50"/>
      <c r="G129" s="50"/>
    </row>
    <row r="130" spans="1:7" x14ac:dyDescent="0.35">
      <c r="A130" s="37" t="s">
        <v>866</v>
      </c>
      <c r="B130" s="47" t="s">
        <v>961</v>
      </c>
      <c r="C130" s="37">
        <v>-6</v>
      </c>
      <c r="D130" s="46"/>
      <c r="E130" s="50"/>
      <c r="F130" s="50"/>
      <c r="G130" s="50"/>
    </row>
    <row r="131" spans="1:7" x14ac:dyDescent="0.35">
      <c r="A131" s="37" t="s">
        <v>856</v>
      </c>
      <c r="B131" s="47" t="s">
        <v>994</v>
      </c>
      <c r="C131" s="37">
        <v>-4</v>
      </c>
      <c r="D131" s="46"/>
      <c r="E131" s="50"/>
      <c r="F131" s="50"/>
      <c r="G131" s="50"/>
    </row>
    <row r="132" spans="1:7" x14ac:dyDescent="0.35">
      <c r="A132" s="37" t="s">
        <v>856</v>
      </c>
      <c r="B132" s="47" t="s">
        <v>889</v>
      </c>
      <c r="C132" s="37">
        <v>-554</v>
      </c>
      <c r="D132" s="46"/>
      <c r="E132" s="50"/>
      <c r="F132" s="50"/>
      <c r="G132" s="50"/>
    </row>
    <row r="133" spans="1:7" x14ac:dyDescent="0.35">
      <c r="A133" s="37" t="s">
        <v>856</v>
      </c>
      <c r="B133" s="47" t="s">
        <v>912</v>
      </c>
      <c r="C133" s="37">
        <v>-115</v>
      </c>
      <c r="D133" s="46"/>
      <c r="E133" s="50"/>
      <c r="F133" s="50"/>
      <c r="G133" s="50"/>
    </row>
    <row r="134" spans="1:7" x14ac:dyDescent="0.35">
      <c r="A134" s="37" t="s">
        <v>856</v>
      </c>
      <c r="B134" s="47" t="s">
        <v>890</v>
      </c>
      <c r="C134" s="37">
        <v>-26</v>
      </c>
      <c r="D134" s="46"/>
      <c r="E134" s="50"/>
      <c r="F134" s="50"/>
      <c r="G134" s="50"/>
    </row>
    <row r="135" spans="1:7" x14ac:dyDescent="0.35">
      <c r="A135" s="37" t="s">
        <v>856</v>
      </c>
      <c r="B135" s="47" t="s">
        <v>920</v>
      </c>
      <c r="C135" s="37">
        <v>-9</v>
      </c>
      <c r="D135" s="46"/>
      <c r="E135" s="50"/>
      <c r="F135" s="50"/>
      <c r="G135" s="50"/>
    </row>
    <row r="136" spans="1:7" x14ac:dyDescent="0.35">
      <c r="A136" s="37" t="s">
        <v>856</v>
      </c>
      <c r="B136" s="47" t="s">
        <v>925</v>
      </c>
      <c r="C136" s="37">
        <v>-11</v>
      </c>
      <c r="D136" s="46"/>
      <c r="E136" s="50"/>
      <c r="F136" s="50"/>
      <c r="G136" s="50"/>
    </row>
    <row r="137" spans="1:7" x14ac:dyDescent="0.35">
      <c r="A137" s="37" t="s">
        <v>906</v>
      </c>
      <c r="B137" s="47" t="s">
        <v>967</v>
      </c>
      <c r="C137" s="37">
        <v>-30</v>
      </c>
      <c r="D137" s="46"/>
      <c r="E137" s="50"/>
      <c r="F137" s="50"/>
      <c r="G137" s="50"/>
    </row>
    <row r="138" spans="1:7" x14ac:dyDescent="0.35">
      <c r="A138" s="37" t="s">
        <v>906</v>
      </c>
      <c r="B138" s="48" t="s">
        <v>996</v>
      </c>
      <c r="C138" s="37">
        <v>-50</v>
      </c>
      <c r="D138" s="46"/>
      <c r="E138" s="50"/>
      <c r="F138" s="50"/>
      <c r="G138" s="50"/>
    </row>
    <row r="139" spans="1:7" x14ac:dyDescent="0.35">
      <c r="A139" s="37" t="s">
        <v>906</v>
      </c>
      <c r="B139" s="47" t="s">
        <v>905</v>
      </c>
      <c r="C139" s="37">
        <v>-74</v>
      </c>
      <c r="D139" s="46"/>
      <c r="E139" s="50"/>
      <c r="F139" s="50"/>
      <c r="G139" s="50"/>
    </row>
    <row r="140" spans="1:7" x14ac:dyDescent="0.35">
      <c r="A140" s="37" t="s">
        <v>906</v>
      </c>
      <c r="B140" s="47" t="s">
        <v>976</v>
      </c>
      <c r="C140" s="37">
        <v>-75</v>
      </c>
      <c r="D140" s="46"/>
      <c r="E140" s="50"/>
      <c r="F140" s="50"/>
      <c r="G140" s="50"/>
    </row>
    <row r="141" spans="1:7" x14ac:dyDescent="0.35">
      <c r="A141" s="37" t="s">
        <v>906</v>
      </c>
      <c r="B141" s="47" t="s">
        <v>907</v>
      </c>
      <c r="C141" s="37">
        <v>-25</v>
      </c>
      <c r="D141" s="46"/>
      <c r="E141" s="50"/>
      <c r="F141" s="50"/>
      <c r="G141" s="50"/>
    </row>
    <row r="142" spans="1:7" x14ac:dyDescent="0.35">
      <c r="A142" s="37" t="s">
        <v>906</v>
      </c>
      <c r="B142" s="47" t="s">
        <v>924</v>
      </c>
      <c r="C142" s="37">
        <v>-30</v>
      </c>
      <c r="D142" s="46"/>
      <c r="E142" s="50"/>
      <c r="F142" s="50"/>
      <c r="G142" s="50"/>
    </row>
    <row r="143" spans="1:7" x14ac:dyDescent="0.35">
      <c r="A143" s="37" t="s">
        <v>906</v>
      </c>
      <c r="B143" s="47" t="s">
        <v>974</v>
      </c>
      <c r="C143" s="37">
        <v>-40</v>
      </c>
      <c r="D143" s="46"/>
      <c r="E143" s="50"/>
      <c r="F143" s="50"/>
      <c r="G143" s="50"/>
    </row>
    <row r="144" spans="1:7" x14ac:dyDescent="0.35">
      <c r="A144" s="37" t="s">
        <v>906</v>
      </c>
      <c r="B144" s="47" t="s">
        <v>913</v>
      </c>
      <c r="C144" s="37">
        <v>-30</v>
      </c>
      <c r="D144" s="46"/>
      <c r="E144" s="50"/>
      <c r="F144" s="50"/>
      <c r="G144" s="50"/>
    </row>
    <row r="145" spans="1:7" x14ac:dyDescent="0.35">
      <c r="A145" s="37" t="s">
        <v>906</v>
      </c>
      <c r="B145" s="47" t="s">
        <v>977</v>
      </c>
      <c r="C145" s="37">
        <v>-50</v>
      </c>
      <c r="D145" s="46"/>
      <c r="E145" s="50"/>
      <c r="F145" s="50"/>
      <c r="G145" s="50"/>
    </row>
    <row r="146" spans="1:7" x14ac:dyDescent="0.35">
      <c r="A146" s="37" t="s">
        <v>906</v>
      </c>
      <c r="B146" s="47" t="s">
        <v>993</v>
      </c>
      <c r="C146" s="37">
        <v>-10</v>
      </c>
      <c r="D146" s="46"/>
      <c r="E146" s="50"/>
      <c r="F146" s="50"/>
      <c r="G146" s="50"/>
    </row>
    <row r="147" spans="1:7" x14ac:dyDescent="0.35">
      <c r="A147" s="37" t="s">
        <v>856</v>
      </c>
      <c r="B147" s="37" t="s">
        <v>1008</v>
      </c>
      <c r="C147" s="37">
        <v>-67</v>
      </c>
      <c r="D147" s="46"/>
      <c r="E147" s="50"/>
      <c r="F147" s="50"/>
      <c r="G147" s="50"/>
    </row>
    <row r="148" spans="1:7" x14ac:dyDescent="0.35">
      <c r="A148" s="37" t="s">
        <v>856</v>
      </c>
      <c r="B148" s="49" t="s">
        <v>1007</v>
      </c>
      <c r="C148" s="37">
        <v>-226</v>
      </c>
      <c r="D148" s="46"/>
      <c r="E148" s="50"/>
      <c r="F148" s="50"/>
      <c r="G148" s="50"/>
    </row>
    <row r="149" spans="1:7" x14ac:dyDescent="0.35">
      <c r="A149" s="37" t="s">
        <v>856</v>
      </c>
      <c r="B149" s="47" t="s">
        <v>891</v>
      </c>
      <c r="C149" s="37">
        <v>-44</v>
      </c>
      <c r="D149" s="46"/>
      <c r="E149" s="50"/>
      <c r="F149" s="50"/>
      <c r="G149" s="50"/>
    </row>
    <row r="150" spans="1:7" x14ac:dyDescent="0.35">
      <c r="A150" s="37" t="s">
        <v>856</v>
      </c>
      <c r="B150" s="47" t="s">
        <v>892</v>
      </c>
      <c r="C150" s="37">
        <v>-993</v>
      </c>
      <c r="D150" s="46"/>
      <c r="E150" s="50"/>
      <c r="F150" s="50"/>
      <c r="G150" s="50"/>
    </row>
    <row r="151" spans="1:7" x14ac:dyDescent="0.35">
      <c r="A151" s="37" t="s">
        <v>856</v>
      </c>
      <c r="B151" s="47" t="s">
        <v>919</v>
      </c>
      <c r="C151" s="37">
        <v>-1050</v>
      </c>
      <c r="D151" s="46"/>
      <c r="E151" s="50"/>
      <c r="F151" s="50"/>
      <c r="G151" s="50"/>
    </row>
    <row r="152" spans="1:7" x14ac:dyDescent="0.35">
      <c r="A152" s="37" t="s">
        <v>906</v>
      </c>
      <c r="B152" s="47" t="s">
        <v>975</v>
      </c>
      <c r="C152" s="37">
        <v>-20</v>
      </c>
      <c r="D152" s="46"/>
      <c r="E152" s="50"/>
      <c r="F152" s="50"/>
      <c r="G152" s="50"/>
    </row>
  </sheetData>
  <autoFilter ref="A2:G2" xr:uid="{CAF3F6F0-41C5-4938-A971-F0567A5EA537}"/>
  <sortState xmlns:xlrd2="http://schemas.microsoft.com/office/spreadsheetml/2017/richdata2" ref="A3:C152">
    <sortCondition ref="B3:B152"/>
  </sortState>
  <conditionalFormatting sqref="B103:B108">
    <cfRule type="duplicateValues" dxfId="43" priority="42"/>
    <cfRule type="duplicateValues" dxfId="42" priority="43"/>
  </conditionalFormatting>
  <conditionalFormatting sqref="B90">
    <cfRule type="duplicateValues" dxfId="41" priority="44"/>
  </conditionalFormatting>
  <conditionalFormatting sqref="B146:B152 B2:B140">
    <cfRule type="duplicateValues" dxfId="40" priority="45"/>
    <cfRule type="duplicateValues" dxfId="39" priority="46"/>
    <cfRule type="duplicateValues" dxfId="38" priority="47"/>
  </conditionalFormatting>
  <conditionalFormatting sqref="F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7CB5-DEC7-4334-8520-FD2392636A17}">
  <dimension ref="A1:C297"/>
  <sheetViews>
    <sheetView workbookViewId="0">
      <selection activeCell="C1" sqref="C1"/>
    </sheetView>
  </sheetViews>
  <sheetFormatPr defaultRowHeight="14.5" x14ac:dyDescent="0.35"/>
  <cols>
    <col min="1" max="1" width="13.6328125" style="10" customWidth="1"/>
    <col min="2" max="2" width="10.54296875" style="10" customWidth="1"/>
    <col min="3" max="3" width="10" style="17" customWidth="1"/>
    <col min="4" max="16384" width="8.7265625" style="10"/>
  </cols>
  <sheetData>
    <row r="1" spans="1:3" ht="15.5" x14ac:dyDescent="0.35">
      <c r="C1" s="7">
        <f>SUBTOTAL(9,C3:C1048576)</f>
        <v>137939</v>
      </c>
    </row>
    <row r="2" spans="1:3" x14ac:dyDescent="0.35">
      <c r="A2" s="9" t="s">
        <v>41</v>
      </c>
      <c r="B2" s="9" t="s">
        <v>42</v>
      </c>
      <c r="C2" s="18" t="s">
        <v>2</v>
      </c>
    </row>
    <row r="3" spans="1:3" x14ac:dyDescent="0.35">
      <c r="A3" s="11">
        <v>105</v>
      </c>
      <c r="B3" s="12" t="s">
        <v>43</v>
      </c>
      <c r="C3" s="19">
        <v>199</v>
      </c>
    </row>
    <row r="4" spans="1:3" x14ac:dyDescent="0.35">
      <c r="A4" s="11">
        <v>107</v>
      </c>
      <c r="B4" s="12" t="s">
        <v>44</v>
      </c>
      <c r="C4" s="19">
        <v>141</v>
      </c>
    </row>
    <row r="5" spans="1:3" x14ac:dyDescent="0.35">
      <c r="A5" s="11">
        <v>110</v>
      </c>
      <c r="B5" s="12" t="s">
        <v>44</v>
      </c>
      <c r="C5" s="19">
        <v>34</v>
      </c>
    </row>
    <row r="6" spans="1:3" x14ac:dyDescent="0.35">
      <c r="A6" s="11">
        <v>117</v>
      </c>
      <c r="B6" s="12" t="s">
        <v>44</v>
      </c>
      <c r="C6" s="19">
        <v>25</v>
      </c>
    </row>
    <row r="7" spans="1:3" x14ac:dyDescent="0.35">
      <c r="A7" s="11">
        <v>119</v>
      </c>
      <c r="B7" s="12" t="s">
        <v>44</v>
      </c>
      <c r="C7" s="19">
        <v>2</v>
      </c>
    </row>
    <row r="8" spans="1:3" x14ac:dyDescent="0.35">
      <c r="A8" s="11">
        <v>120</v>
      </c>
      <c r="B8" s="12" t="s">
        <v>44</v>
      </c>
      <c r="C8" s="19">
        <v>442</v>
      </c>
    </row>
    <row r="9" spans="1:3" x14ac:dyDescent="0.35">
      <c r="A9" s="11">
        <v>120</v>
      </c>
      <c r="B9" s="12" t="s">
        <v>43</v>
      </c>
      <c r="C9" s="19">
        <v>235</v>
      </c>
    </row>
    <row r="10" spans="1:3" x14ac:dyDescent="0.35">
      <c r="A10" s="11">
        <v>121</v>
      </c>
      <c r="B10" s="12" t="s">
        <v>43</v>
      </c>
      <c r="C10" s="19">
        <v>7142</v>
      </c>
    </row>
    <row r="11" spans="1:3" x14ac:dyDescent="0.35">
      <c r="A11" s="11">
        <v>123</v>
      </c>
      <c r="B11" s="12" t="s">
        <v>45</v>
      </c>
      <c r="C11" s="19">
        <v>267</v>
      </c>
    </row>
    <row r="12" spans="1:3" x14ac:dyDescent="0.35">
      <c r="A12" s="11">
        <v>123</v>
      </c>
      <c r="B12" s="12" t="s">
        <v>43</v>
      </c>
      <c r="C12" s="19">
        <v>7446</v>
      </c>
    </row>
    <row r="13" spans="1:3" x14ac:dyDescent="0.35">
      <c r="A13" s="11">
        <v>124</v>
      </c>
      <c r="B13" s="12" t="s">
        <v>44</v>
      </c>
      <c r="C13" s="19">
        <v>247</v>
      </c>
    </row>
    <row r="14" spans="1:3" x14ac:dyDescent="0.35">
      <c r="A14" s="11">
        <v>124</v>
      </c>
      <c r="B14" s="12" t="s">
        <v>43</v>
      </c>
      <c r="C14" s="19">
        <v>1930</v>
      </c>
    </row>
    <row r="15" spans="1:3" x14ac:dyDescent="0.35">
      <c r="A15" s="11">
        <v>127</v>
      </c>
      <c r="B15" s="12" t="s">
        <v>44</v>
      </c>
      <c r="C15" s="19">
        <v>1427</v>
      </c>
    </row>
    <row r="16" spans="1:3" x14ac:dyDescent="0.35">
      <c r="A16" s="11">
        <v>127</v>
      </c>
      <c r="B16" s="12" t="s">
        <v>43</v>
      </c>
      <c r="C16" s="19">
        <v>120</v>
      </c>
    </row>
    <row r="17" spans="1:3" x14ac:dyDescent="0.35">
      <c r="A17" s="11">
        <v>128</v>
      </c>
      <c r="B17" s="12" t="s">
        <v>43</v>
      </c>
      <c r="C17" s="19">
        <v>974</v>
      </c>
    </row>
    <row r="18" spans="1:3" x14ac:dyDescent="0.35">
      <c r="A18" s="11">
        <v>129</v>
      </c>
      <c r="B18" s="12" t="s">
        <v>45</v>
      </c>
      <c r="C18" s="19">
        <v>199</v>
      </c>
    </row>
    <row r="19" spans="1:3" x14ac:dyDescent="0.35">
      <c r="A19" s="11">
        <v>129</v>
      </c>
      <c r="B19" s="12" t="s">
        <v>43</v>
      </c>
      <c r="C19" s="19">
        <v>4102</v>
      </c>
    </row>
    <row r="20" spans="1:3" x14ac:dyDescent="0.35">
      <c r="A20" s="11">
        <v>130</v>
      </c>
      <c r="B20" s="12" t="s">
        <v>44</v>
      </c>
      <c r="C20" s="19">
        <v>1082</v>
      </c>
    </row>
    <row r="21" spans="1:3" x14ac:dyDescent="0.35">
      <c r="A21" s="11">
        <v>130</v>
      </c>
      <c r="B21" s="12" t="s">
        <v>43</v>
      </c>
      <c r="C21" s="19">
        <v>257</v>
      </c>
    </row>
    <row r="22" spans="1:3" x14ac:dyDescent="0.35">
      <c r="A22" s="11">
        <v>131</v>
      </c>
      <c r="B22" s="12" t="s">
        <v>44</v>
      </c>
      <c r="C22" s="19">
        <v>377</v>
      </c>
    </row>
    <row r="23" spans="1:3" x14ac:dyDescent="0.35">
      <c r="A23" s="11">
        <v>132</v>
      </c>
      <c r="B23" s="12" t="s">
        <v>44</v>
      </c>
      <c r="C23" s="19">
        <v>939</v>
      </c>
    </row>
    <row r="24" spans="1:3" x14ac:dyDescent="0.35">
      <c r="A24" s="11">
        <v>132</v>
      </c>
      <c r="B24" s="12" t="s">
        <v>43</v>
      </c>
      <c r="C24" s="19">
        <v>585</v>
      </c>
    </row>
    <row r="25" spans="1:3" x14ac:dyDescent="0.35">
      <c r="A25" s="11">
        <v>134</v>
      </c>
      <c r="B25" s="12" t="s">
        <v>44</v>
      </c>
      <c r="C25" s="19">
        <v>52</v>
      </c>
    </row>
    <row r="26" spans="1:3" x14ac:dyDescent="0.35">
      <c r="A26" s="11">
        <v>134</v>
      </c>
      <c r="B26" s="12" t="s">
        <v>43</v>
      </c>
      <c r="C26" s="19">
        <v>5</v>
      </c>
    </row>
    <row r="27" spans="1:3" x14ac:dyDescent="0.35">
      <c r="A27" s="11">
        <v>140</v>
      </c>
      <c r="B27" s="12" t="s">
        <v>44</v>
      </c>
      <c r="C27" s="19">
        <v>2066</v>
      </c>
    </row>
    <row r="28" spans="1:3" x14ac:dyDescent="0.35">
      <c r="A28" s="11">
        <v>141</v>
      </c>
      <c r="B28" s="12" t="s">
        <v>44</v>
      </c>
      <c r="C28" s="19">
        <v>516</v>
      </c>
    </row>
    <row r="29" spans="1:3" x14ac:dyDescent="0.35">
      <c r="A29" s="11">
        <v>142</v>
      </c>
      <c r="B29" s="12" t="s">
        <v>44</v>
      </c>
      <c r="C29" s="19">
        <v>9</v>
      </c>
    </row>
    <row r="30" spans="1:3" x14ac:dyDescent="0.35">
      <c r="A30" s="11">
        <v>143</v>
      </c>
      <c r="B30" s="12" t="s">
        <v>44</v>
      </c>
      <c r="C30" s="19">
        <v>1154</v>
      </c>
    </row>
    <row r="31" spans="1:3" x14ac:dyDescent="0.35">
      <c r="A31" s="11">
        <v>144</v>
      </c>
      <c r="B31" s="12" t="s">
        <v>44</v>
      </c>
      <c r="C31" s="19">
        <v>494</v>
      </c>
    </row>
    <row r="32" spans="1:3" x14ac:dyDescent="0.35">
      <c r="A32" s="11">
        <v>144</v>
      </c>
      <c r="B32" s="12" t="s">
        <v>46</v>
      </c>
      <c r="C32" s="19">
        <v>59</v>
      </c>
    </row>
    <row r="33" spans="1:3" x14ac:dyDescent="0.35">
      <c r="A33" s="11">
        <v>144</v>
      </c>
      <c r="B33" s="12" t="s">
        <v>43</v>
      </c>
      <c r="C33" s="19">
        <v>9263</v>
      </c>
    </row>
    <row r="34" spans="1:3" x14ac:dyDescent="0.35">
      <c r="A34" s="11">
        <v>145</v>
      </c>
      <c r="B34" s="12" t="s">
        <v>44</v>
      </c>
      <c r="C34" s="19">
        <v>1057</v>
      </c>
    </row>
    <row r="35" spans="1:3" x14ac:dyDescent="0.35">
      <c r="A35" s="11">
        <v>145</v>
      </c>
      <c r="B35" s="12" t="s">
        <v>45</v>
      </c>
      <c r="C35" s="19">
        <v>30</v>
      </c>
    </row>
    <row r="36" spans="1:3" x14ac:dyDescent="0.35">
      <c r="A36" s="11">
        <v>146</v>
      </c>
      <c r="B36" s="12" t="s">
        <v>43</v>
      </c>
      <c r="C36" s="19">
        <v>37</v>
      </c>
    </row>
    <row r="37" spans="1:3" x14ac:dyDescent="0.35">
      <c r="A37" s="11">
        <v>147</v>
      </c>
      <c r="B37" s="12" t="s">
        <v>44</v>
      </c>
      <c r="C37" s="19">
        <v>464</v>
      </c>
    </row>
    <row r="38" spans="1:3" x14ac:dyDescent="0.35">
      <c r="A38" s="11">
        <v>147</v>
      </c>
      <c r="B38" s="12" t="s">
        <v>43</v>
      </c>
      <c r="C38" s="19">
        <v>21</v>
      </c>
    </row>
    <row r="39" spans="1:3" x14ac:dyDescent="0.35">
      <c r="A39" s="11">
        <v>150</v>
      </c>
      <c r="B39" s="12" t="s">
        <v>43</v>
      </c>
      <c r="C39" s="19">
        <v>16</v>
      </c>
    </row>
    <row r="40" spans="1:3" x14ac:dyDescent="0.35">
      <c r="A40" s="11">
        <v>161</v>
      </c>
      <c r="B40" s="12" t="s">
        <v>47</v>
      </c>
      <c r="C40" s="19">
        <v>1104</v>
      </c>
    </row>
    <row r="41" spans="1:3" x14ac:dyDescent="0.35">
      <c r="A41" s="11">
        <v>163</v>
      </c>
      <c r="B41" s="12" t="s">
        <v>47</v>
      </c>
      <c r="C41" s="19">
        <v>3484</v>
      </c>
    </row>
    <row r="42" spans="1:3" x14ac:dyDescent="0.35">
      <c r="A42" s="11">
        <v>166</v>
      </c>
      <c r="B42" s="12" t="s">
        <v>47</v>
      </c>
      <c r="C42" s="19">
        <v>738</v>
      </c>
    </row>
    <row r="43" spans="1:3" x14ac:dyDescent="0.35">
      <c r="A43" s="11">
        <v>183</v>
      </c>
      <c r="B43" s="12" t="s">
        <v>45</v>
      </c>
      <c r="C43" s="19">
        <v>71</v>
      </c>
    </row>
    <row r="44" spans="1:3" x14ac:dyDescent="0.35">
      <c r="A44" s="11">
        <v>183</v>
      </c>
      <c r="B44" s="12" t="s">
        <v>43</v>
      </c>
      <c r="C44" s="19">
        <v>816</v>
      </c>
    </row>
    <row r="45" spans="1:3" x14ac:dyDescent="0.35">
      <c r="A45" s="11">
        <v>186</v>
      </c>
      <c r="B45" s="12" t="s">
        <v>43</v>
      </c>
      <c r="C45" s="19">
        <v>193</v>
      </c>
    </row>
    <row r="46" spans="1:3" x14ac:dyDescent="0.35">
      <c r="A46" s="11">
        <v>187</v>
      </c>
      <c r="B46" s="12" t="s">
        <v>44</v>
      </c>
      <c r="C46" s="19">
        <v>579</v>
      </c>
    </row>
    <row r="47" spans="1:3" x14ac:dyDescent="0.35">
      <c r="A47" s="11">
        <v>187</v>
      </c>
      <c r="B47" s="12" t="s">
        <v>45</v>
      </c>
      <c r="C47" s="19">
        <v>151</v>
      </c>
    </row>
    <row r="48" spans="1:3" x14ac:dyDescent="0.35">
      <c r="A48" s="11">
        <v>187</v>
      </c>
      <c r="B48" s="12" t="s">
        <v>43</v>
      </c>
      <c r="C48" s="19">
        <v>3170</v>
      </c>
    </row>
    <row r="49" spans="1:3" x14ac:dyDescent="0.35">
      <c r="A49" s="11">
        <v>189</v>
      </c>
      <c r="B49" s="12" t="s">
        <v>43</v>
      </c>
      <c r="C49" s="19">
        <v>16</v>
      </c>
    </row>
    <row r="50" spans="1:3" x14ac:dyDescent="0.35">
      <c r="A50" s="11">
        <v>194</v>
      </c>
      <c r="B50" s="12" t="s">
        <v>43</v>
      </c>
      <c r="C50" s="19">
        <v>28</v>
      </c>
    </row>
    <row r="51" spans="1:3" x14ac:dyDescent="0.35">
      <c r="A51" s="11">
        <v>195</v>
      </c>
      <c r="B51" s="12" t="s">
        <v>44</v>
      </c>
      <c r="C51" s="19">
        <v>228</v>
      </c>
    </row>
    <row r="52" spans="1:3" x14ac:dyDescent="0.35">
      <c r="A52" s="11">
        <v>199</v>
      </c>
      <c r="B52" s="12" t="s">
        <v>44</v>
      </c>
      <c r="C52" s="19">
        <v>19</v>
      </c>
    </row>
    <row r="53" spans="1:3" x14ac:dyDescent="0.35">
      <c r="A53" s="11">
        <v>522</v>
      </c>
      <c r="B53" s="12" t="s">
        <v>43</v>
      </c>
      <c r="C53" s="19">
        <v>10</v>
      </c>
    </row>
    <row r="54" spans="1:3" x14ac:dyDescent="0.35">
      <c r="A54" s="11">
        <v>551</v>
      </c>
      <c r="B54" s="12" t="s">
        <v>44</v>
      </c>
      <c r="C54" s="19">
        <v>65</v>
      </c>
    </row>
    <row r="55" spans="1:3" x14ac:dyDescent="0.35">
      <c r="A55" s="11">
        <v>551</v>
      </c>
      <c r="B55" s="12" t="s">
        <v>43</v>
      </c>
      <c r="C55" s="19">
        <v>8</v>
      </c>
    </row>
    <row r="56" spans="1:3" x14ac:dyDescent="0.35">
      <c r="A56" s="11">
        <v>571</v>
      </c>
      <c r="B56" s="12" t="s">
        <v>44</v>
      </c>
      <c r="C56" s="19">
        <v>85</v>
      </c>
    </row>
    <row r="57" spans="1:3" x14ac:dyDescent="0.35">
      <c r="A57" s="11">
        <v>572</v>
      </c>
      <c r="B57" s="12" t="s">
        <v>44</v>
      </c>
      <c r="C57" s="19">
        <v>76</v>
      </c>
    </row>
    <row r="58" spans="1:3" x14ac:dyDescent="0.35">
      <c r="A58" s="11">
        <v>662</v>
      </c>
      <c r="B58" s="12" t="s">
        <v>44</v>
      </c>
      <c r="C58" s="19">
        <v>43</v>
      </c>
    </row>
    <row r="59" spans="1:3" x14ac:dyDescent="0.35">
      <c r="A59" s="11">
        <v>1291</v>
      </c>
      <c r="B59" s="12" t="s">
        <v>44</v>
      </c>
      <c r="C59" s="19">
        <v>143</v>
      </c>
    </row>
    <row r="60" spans="1:3" x14ac:dyDescent="0.35">
      <c r="A60" s="11">
        <v>1291</v>
      </c>
      <c r="B60" s="12" t="s">
        <v>43</v>
      </c>
      <c r="C60" s="19">
        <v>66</v>
      </c>
    </row>
    <row r="61" spans="1:3" x14ac:dyDescent="0.35">
      <c r="A61" s="11">
        <v>1321</v>
      </c>
      <c r="B61" s="12" t="s">
        <v>43</v>
      </c>
      <c r="C61" s="19">
        <v>88</v>
      </c>
    </row>
    <row r="62" spans="1:3" x14ac:dyDescent="0.35">
      <c r="A62" s="11">
        <v>1341</v>
      </c>
      <c r="B62" s="12" t="s">
        <v>44</v>
      </c>
      <c r="C62" s="19">
        <v>15</v>
      </c>
    </row>
    <row r="63" spans="1:3" x14ac:dyDescent="0.35">
      <c r="A63" s="11">
        <v>1375</v>
      </c>
      <c r="B63" s="12" t="s">
        <v>44</v>
      </c>
      <c r="C63" s="19">
        <v>19</v>
      </c>
    </row>
    <row r="64" spans="1:3" x14ac:dyDescent="0.35">
      <c r="A64" s="11">
        <v>1375</v>
      </c>
      <c r="B64" s="12" t="s">
        <v>43</v>
      </c>
      <c r="C64" s="19">
        <v>10</v>
      </c>
    </row>
    <row r="65" spans="1:3" x14ac:dyDescent="0.35">
      <c r="A65" s="11">
        <v>1391</v>
      </c>
      <c r="B65" s="12" t="s">
        <v>43</v>
      </c>
      <c r="C65" s="19">
        <v>1756</v>
      </c>
    </row>
    <row r="66" spans="1:3" x14ac:dyDescent="0.35">
      <c r="A66" s="11">
        <v>1441</v>
      </c>
      <c r="B66" s="12" t="s">
        <v>44</v>
      </c>
      <c r="C66" s="19">
        <v>226</v>
      </c>
    </row>
    <row r="67" spans="1:3" x14ac:dyDescent="0.35">
      <c r="A67" s="11">
        <v>1451</v>
      </c>
      <c r="B67" s="12" t="s">
        <v>43</v>
      </c>
      <c r="C67" s="19">
        <v>40</v>
      </c>
    </row>
    <row r="68" spans="1:3" x14ac:dyDescent="0.35">
      <c r="A68" s="11">
        <v>1831</v>
      </c>
      <c r="B68" s="12" t="s">
        <v>44</v>
      </c>
      <c r="C68" s="19">
        <v>40</v>
      </c>
    </row>
    <row r="69" spans="1:3" x14ac:dyDescent="0.35">
      <c r="A69" s="11">
        <v>1871</v>
      </c>
      <c r="B69" s="12" t="s">
        <v>44</v>
      </c>
      <c r="C69" s="19">
        <v>90</v>
      </c>
    </row>
    <row r="70" spans="1:3" x14ac:dyDescent="0.35">
      <c r="A70" s="11">
        <v>5211</v>
      </c>
      <c r="B70" s="12" t="s">
        <v>43</v>
      </c>
      <c r="C70" s="19">
        <v>23</v>
      </c>
    </row>
    <row r="71" spans="1:3" x14ac:dyDescent="0.35">
      <c r="A71" s="11" t="s">
        <v>48</v>
      </c>
      <c r="B71" s="12" t="s">
        <v>44</v>
      </c>
      <c r="C71" s="19">
        <v>93</v>
      </c>
    </row>
    <row r="72" spans="1:3" x14ac:dyDescent="0.35">
      <c r="A72" s="11" t="s">
        <v>49</v>
      </c>
      <c r="B72" s="12" t="s">
        <v>44</v>
      </c>
      <c r="C72" s="19">
        <v>103</v>
      </c>
    </row>
    <row r="73" spans="1:3" x14ac:dyDescent="0.35">
      <c r="A73" s="11" t="s">
        <v>50</v>
      </c>
      <c r="B73" s="12" t="s">
        <v>44</v>
      </c>
      <c r="C73" s="19">
        <v>259</v>
      </c>
    </row>
    <row r="74" spans="1:3" x14ac:dyDescent="0.35">
      <c r="A74" s="13" t="s">
        <v>51</v>
      </c>
      <c r="B74" s="12" t="s">
        <v>43</v>
      </c>
      <c r="C74" s="19">
        <v>835</v>
      </c>
    </row>
    <row r="75" spans="1:3" x14ac:dyDescent="0.35">
      <c r="A75" s="13" t="s">
        <v>52</v>
      </c>
      <c r="B75" s="12" t="s">
        <v>43</v>
      </c>
      <c r="C75" s="19">
        <v>366</v>
      </c>
    </row>
    <row r="76" spans="1:3" x14ac:dyDescent="0.35">
      <c r="A76" s="13" t="s">
        <v>53</v>
      </c>
      <c r="B76" s="12" t="s">
        <v>43</v>
      </c>
      <c r="C76" s="19">
        <v>254</v>
      </c>
    </row>
    <row r="77" spans="1:3" x14ac:dyDescent="0.35">
      <c r="A77" s="13" t="s">
        <v>54</v>
      </c>
      <c r="B77" s="12" t="s">
        <v>43</v>
      </c>
      <c r="C77" s="19">
        <v>1022</v>
      </c>
    </row>
    <row r="78" spans="1:3" x14ac:dyDescent="0.35">
      <c r="A78" s="13" t="s">
        <v>55</v>
      </c>
      <c r="B78" s="12" t="s">
        <v>43</v>
      </c>
      <c r="C78" s="19">
        <v>45</v>
      </c>
    </row>
    <row r="79" spans="1:3" x14ac:dyDescent="0.35">
      <c r="A79" s="13" t="s">
        <v>56</v>
      </c>
      <c r="B79" s="12" t="s">
        <v>43</v>
      </c>
      <c r="C79" s="19">
        <v>194</v>
      </c>
    </row>
    <row r="80" spans="1:3" x14ac:dyDescent="0.35">
      <c r="A80" s="13" t="s">
        <v>57</v>
      </c>
      <c r="B80" s="12" t="s">
        <v>43</v>
      </c>
      <c r="C80" s="19">
        <v>223</v>
      </c>
    </row>
    <row r="81" spans="1:3" x14ac:dyDescent="0.35">
      <c r="A81" s="13" t="s">
        <v>58</v>
      </c>
      <c r="B81" s="13" t="s">
        <v>44</v>
      </c>
      <c r="C81" s="19">
        <v>153</v>
      </c>
    </row>
    <row r="82" spans="1:3" x14ac:dyDescent="0.35">
      <c r="A82" s="11" t="s">
        <v>59</v>
      </c>
      <c r="B82" s="12" t="s">
        <v>43</v>
      </c>
      <c r="C82" s="19">
        <v>99</v>
      </c>
    </row>
    <row r="83" spans="1:3" x14ac:dyDescent="0.35">
      <c r="A83" s="11" t="s">
        <v>60</v>
      </c>
      <c r="B83" s="12" t="s">
        <v>44</v>
      </c>
      <c r="C83" s="19">
        <v>66</v>
      </c>
    </row>
    <row r="84" spans="1:3" x14ac:dyDescent="0.35">
      <c r="A84" s="11" t="s">
        <v>61</v>
      </c>
      <c r="B84" s="12" t="s">
        <v>44</v>
      </c>
      <c r="C84" s="19">
        <v>27</v>
      </c>
    </row>
    <row r="85" spans="1:3" x14ac:dyDescent="0.35">
      <c r="A85" s="11" t="s">
        <v>62</v>
      </c>
      <c r="B85" s="12" t="s">
        <v>44</v>
      </c>
      <c r="C85" s="19">
        <v>150</v>
      </c>
    </row>
    <row r="86" spans="1:3" x14ac:dyDescent="0.35">
      <c r="A86" s="11" t="s">
        <v>62</v>
      </c>
      <c r="B86" s="12" t="s">
        <v>43</v>
      </c>
      <c r="C86" s="19">
        <v>56</v>
      </c>
    </row>
    <row r="87" spans="1:3" x14ac:dyDescent="0.35">
      <c r="A87" s="11" t="s">
        <v>63</v>
      </c>
      <c r="B87" s="12" t="s">
        <v>43</v>
      </c>
      <c r="C87" s="19">
        <v>21</v>
      </c>
    </row>
    <row r="88" spans="1:3" x14ac:dyDescent="0.35">
      <c r="A88" s="11" t="s">
        <v>64</v>
      </c>
      <c r="B88" s="12" t="s">
        <v>44</v>
      </c>
      <c r="C88" s="19">
        <v>1200</v>
      </c>
    </row>
    <row r="89" spans="1:3" x14ac:dyDescent="0.35">
      <c r="A89" s="11" t="s">
        <v>65</v>
      </c>
      <c r="B89" s="12" t="s">
        <v>44</v>
      </c>
      <c r="C89" s="19">
        <v>812</v>
      </c>
    </row>
    <row r="90" spans="1:3" x14ac:dyDescent="0.35">
      <c r="A90" s="11" t="s">
        <v>66</v>
      </c>
      <c r="B90" s="12" t="s">
        <v>44</v>
      </c>
      <c r="C90" s="19">
        <v>118</v>
      </c>
    </row>
    <row r="91" spans="1:3" x14ac:dyDescent="0.35">
      <c r="A91" s="11" t="s">
        <v>67</v>
      </c>
      <c r="B91" s="12" t="s">
        <v>44</v>
      </c>
      <c r="C91" s="19">
        <v>30</v>
      </c>
    </row>
    <row r="92" spans="1:3" x14ac:dyDescent="0.35">
      <c r="A92" s="11" t="s">
        <v>68</v>
      </c>
      <c r="B92" s="12" t="s">
        <v>44</v>
      </c>
      <c r="C92" s="19">
        <v>1661</v>
      </c>
    </row>
    <row r="93" spans="1:3" x14ac:dyDescent="0.35">
      <c r="A93" s="11" t="s">
        <v>68</v>
      </c>
      <c r="B93" s="12" t="s">
        <v>43</v>
      </c>
      <c r="C93" s="19">
        <v>354</v>
      </c>
    </row>
    <row r="94" spans="1:3" x14ac:dyDescent="0.35">
      <c r="A94" s="11" t="s">
        <v>69</v>
      </c>
      <c r="B94" s="12" t="s">
        <v>44</v>
      </c>
      <c r="C94" s="19">
        <v>129</v>
      </c>
    </row>
    <row r="95" spans="1:3" x14ac:dyDescent="0.35">
      <c r="A95" s="11" t="s">
        <v>70</v>
      </c>
      <c r="B95" s="12" t="s">
        <v>44</v>
      </c>
      <c r="C95" s="19">
        <v>122</v>
      </c>
    </row>
    <row r="96" spans="1:3" x14ac:dyDescent="0.35">
      <c r="A96" s="11" t="s">
        <v>71</v>
      </c>
      <c r="B96" s="12" t="s">
        <v>44</v>
      </c>
      <c r="C96" s="19">
        <v>183</v>
      </c>
    </row>
    <row r="97" spans="1:3" x14ac:dyDescent="0.35">
      <c r="A97" s="11" t="s">
        <v>72</v>
      </c>
      <c r="B97" s="12" t="s">
        <v>44</v>
      </c>
      <c r="C97" s="19">
        <v>911</v>
      </c>
    </row>
    <row r="98" spans="1:3" x14ac:dyDescent="0.35">
      <c r="A98" s="11" t="s">
        <v>72</v>
      </c>
      <c r="B98" s="12" t="s">
        <v>45</v>
      </c>
      <c r="C98" s="19">
        <v>116</v>
      </c>
    </row>
    <row r="99" spans="1:3" x14ac:dyDescent="0.35">
      <c r="A99" s="11" t="s">
        <v>72</v>
      </c>
      <c r="B99" s="12" t="s">
        <v>43</v>
      </c>
      <c r="C99" s="19">
        <v>4088</v>
      </c>
    </row>
    <row r="100" spans="1:3" x14ac:dyDescent="0.35">
      <c r="A100" s="11" t="s">
        <v>73</v>
      </c>
      <c r="B100" s="12" t="s">
        <v>44</v>
      </c>
      <c r="C100" s="19">
        <v>446</v>
      </c>
    </row>
    <row r="101" spans="1:3" x14ac:dyDescent="0.35">
      <c r="A101" s="11" t="s">
        <v>73</v>
      </c>
      <c r="B101" s="12" t="s">
        <v>43</v>
      </c>
      <c r="C101" s="19">
        <v>1504</v>
      </c>
    </row>
    <row r="102" spans="1:3" x14ac:dyDescent="0.35">
      <c r="A102" s="11" t="s">
        <v>74</v>
      </c>
      <c r="B102" s="12" t="s">
        <v>44</v>
      </c>
      <c r="C102" s="19">
        <v>300</v>
      </c>
    </row>
    <row r="103" spans="1:3" x14ac:dyDescent="0.35">
      <c r="A103" s="11" t="s">
        <v>75</v>
      </c>
      <c r="B103" s="12" t="s">
        <v>76</v>
      </c>
      <c r="C103" s="19">
        <v>30</v>
      </c>
    </row>
    <row r="104" spans="1:3" x14ac:dyDescent="0.35">
      <c r="A104" s="11" t="s">
        <v>77</v>
      </c>
      <c r="B104" s="12" t="s">
        <v>44</v>
      </c>
      <c r="C104" s="19">
        <v>33</v>
      </c>
    </row>
    <row r="105" spans="1:3" x14ac:dyDescent="0.35">
      <c r="A105" s="11" t="s">
        <v>78</v>
      </c>
      <c r="B105" s="12" t="s">
        <v>44</v>
      </c>
      <c r="C105" s="19">
        <v>22</v>
      </c>
    </row>
    <row r="106" spans="1:3" x14ac:dyDescent="0.35">
      <c r="A106" s="11" t="s">
        <v>78</v>
      </c>
      <c r="B106" s="12" t="s">
        <v>43</v>
      </c>
      <c r="C106" s="19">
        <v>24</v>
      </c>
    </row>
    <row r="107" spans="1:3" x14ac:dyDescent="0.35">
      <c r="A107" s="11" t="s">
        <v>79</v>
      </c>
      <c r="B107" s="12" t="s">
        <v>44</v>
      </c>
      <c r="C107" s="19">
        <v>28</v>
      </c>
    </row>
    <row r="108" spans="1:3" x14ac:dyDescent="0.35">
      <c r="A108" s="11" t="s">
        <v>79</v>
      </c>
      <c r="B108" s="12" t="s">
        <v>43</v>
      </c>
      <c r="C108" s="19">
        <v>23</v>
      </c>
    </row>
    <row r="109" spans="1:3" x14ac:dyDescent="0.35">
      <c r="A109" s="11" t="s">
        <v>80</v>
      </c>
      <c r="B109" s="12" t="s">
        <v>44</v>
      </c>
      <c r="C109" s="19">
        <v>2</v>
      </c>
    </row>
    <row r="110" spans="1:3" x14ac:dyDescent="0.35">
      <c r="A110" s="11" t="s">
        <v>81</v>
      </c>
      <c r="B110" s="11" t="s">
        <v>43</v>
      </c>
      <c r="C110" s="19">
        <v>13</v>
      </c>
    </row>
    <row r="111" spans="1:3" x14ac:dyDescent="0.35">
      <c r="A111" s="11" t="s">
        <v>82</v>
      </c>
      <c r="B111" s="11" t="s">
        <v>44</v>
      </c>
      <c r="C111" s="19">
        <v>16</v>
      </c>
    </row>
    <row r="112" spans="1:3" x14ac:dyDescent="0.35">
      <c r="A112" s="11" t="s">
        <v>83</v>
      </c>
      <c r="B112" s="12" t="s">
        <v>47</v>
      </c>
      <c r="C112" s="19">
        <v>33</v>
      </c>
    </row>
    <row r="113" spans="1:3" x14ac:dyDescent="0.35">
      <c r="A113" s="11" t="s">
        <v>84</v>
      </c>
      <c r="B113" s="12" t="s">
        <v>47</v>
      </c>
      <c r="C113" s="19">
        <v>9</v>
      </c>
    </row>
    <row r="114" spans="1:3" x14ac:dyDescent="0.35">
      <c r="A114" s="11" t="s">
        <v>85</v>
      </c>
      <c r="B114" s="12" t="s">
        <v>47</v>
      </c>
      <c r="C114" s="19">
        <v>10</v>
      </c>
    </row>
    <row r="115" spans="1:3" x14ac:dyDescent="0.35">
      <c r="A115" s="13" t="s">
        <v>86</v>
      </c>
      <c r="B115" s="12" t="s">
        <v>47</v>
      </c>
      <c r="C115" s="19">
        <v>1</v>
      </c>
    </row>
    <row r="116" spans="1:3" x14ac:dyDescent="0.35">
      <c r="A116" s="11" t="s">
        <v>87</v>
      </c>
      <c r="B116" s="12" t="s">
        <v>47</v>
      </c>
      <c r="C116" s="19">
        <v>3</v>
      </c>
    </row>
    <row r="117" spans="1:3" x14ac:dyDescent="0.35">
      <c r="A117" s="11" t="s">
        <v>88</v>
      </c>
      <c r="B117" s="12" t="s">
        <v>76</v>
      </c>
      <c r="C117" s="19">
        <v>61</v>
      </c>
    </row>
    <row r="118" spans="1:3" x14ac:dyDescent="0.35">
      <c r="A118" s="11" t="s">
        <v>89</v>
      </c>
      <c r="B118" s="12" t="s">
        <v>76</v>
      </c>
      <c r="C118" s="19">
        <v>8</v>
      </c>
    </row>
    <row r="119" spans="1:3" x14ac:dyDescent="0.35">
      <c r="A119" s="11" t="s">
        <v>90</v>
      </c>
      <c r="B119" s="12" t="s">
        <v>44</v>
      </c>
      <c r="C119" s="19">
        <v>107</v>
      </c>
    </row>
    <row r="120" spans="1:3" x14ac:dyDescent="0.35">
      <c r="A120" s="11" t="s">
        <v>91</v>
      </c>
      <c r="B120" s="12" t="s">
        <v>43</v>
      </c>
      <c r="C120" s="19">
        <v>93</v>
      </c>
    </row>
    <row r="121" spans="1:3" x14ac:dyDescent="0.35">
      <c r="A121" s="11" t="s">
        <v>92</v>
      </c>
      <c r="B121" s="12" t="s">
        <v>43</v>
      </c>
      <c r="C121" s="19">
        <v>1</v>
      </c>
    </row>
    <row r="122" spans="1:3" x14ac:dyDescent="0.35">
      <c r="A122" s="11" t="s">
        <v>93</v>
      </c>
      <c r="B122" s="14" t="s">
        <v>44</v>
      </c>
      <c r="C122" s="19">
        <v>44</v>
      </c>
    </row>
    <row r="123" spans="1:3" x14ac:dyDescent="0.35">
      <c r="A123" s="11" t="s">
        <v>94</v>
      </c>
      <c r="B123" s="12" t="s">
        <v>44</v>
      </c>
      <c r="C123" s="19">
        <v>709</v>
      </c>
    </row>
    <row r="124" spans="1:3" x14ac:dyDescent="0.35">
      <c r="A124" s="11" t="s">
        <v>95</v>
      </c>
      <c r="B124" s="12" t="s">
        <v>44</v>
      </c>
      <c r="C124" s="19">
        <v>666</v>
      </c>
    </row>
    <row r="125" spans="1:3" x14ac:dyDescent="0.35">
      <c r="A125" s="11" t="s">
        <v>96</v>
      </c>
      <c r="B125" s="12" t="s">
        <v>44</v>
      </c>
      <c r="C125" s="19">
        <v>485</v>
      </c>
    </row>
    <row r="126" spans="1:3" x14ac:dyDescent="0.35">
      <c r="A126" s="11" t="s">
        <v>97</v>
      </c>
      <c r="B126" s="12" t="s">
        <v>44</v>
      </c>
      <c r="C126" s="19">
        <v>112</v>
      </c>
    </row>
    <row r="127" spans="1:3" x14ac:dyDescent="0.35">
      <c r="A127" s="11" t="s">
        <v>98</v>
      </c>
      <c r="B127" s="12" t="s">
        <v>44</v>
      </c>
      <c r="C127" s="19">
        <v>35</v>
      </c>
    </row>
    <row r="128" spans="1:3" x14ac:dyDescent="0.35">
      <c r="A128" s="11" t="s">
        <v>99</v>
      </c>
      <c r="B128" s="12" t="s">
        <v>44</v>
      </c>
      <c r="C128" s="19">
        <v>260</v>
      </c>
    </row>
    <row r="129" spans="1:3" x14ac:dyDescent="0.35">
      <c r="A129" s="13" t="s">
        <v>99</v>
      </c>
      <c r="B129" s="13" t="s">
        <v>100</v>
      </c>
      <c r="C129" s="19">
        <v>68</v>
      </c>
    </row>
    <row r="130" spans="1:3" x14ac:dyDescent="0.35">
      <c r="A130" s="11" t="s">
        <v>101</v>
      </c>
      <c r="B130" s="12" t="s">
        <v>44</v>
      </c>
      <c r="C130" s="19">
        <v>18</v>
      </c>
    </row>
    <row r="131" spans="1:3" x14ac:dyDescent="0.35">
      <c r="A131" s="11" t="s">
        <v>102</v>
      </c>
      <c r="B131" s="12" t="s">
        <v>44</v>
      </c>
      <c r="C131" s="19">
        <v>78</v>
      </c>
    </row>
    <row r="132" spans="1:3" x14ac:dyDescent="0.35">
      <c r="A132" s="11" t="s">
        <v>103</v>
      </c>
      <c r="B132" s="12" t="s">
        <v>44</v>
      </c>
      <c r="C132" s="19">
        <v>45</v>
      </c>
    </row>
    <row r="133" spans="1:3" x14ac:dyDescent="0.35">
      <c r="A133" s="11" t="s">
        <v>104</v>
      </c>
      <c r="B133" s="12" t="s">
        <v>44</v>
      </c>
      <c r="C133" s="19">
        <v>131</v>
      </c>
    </row>
    <row r="134" spans="1:3" x14ac:dyDescent="0.35">
      <c r="A134" s="11" t="s">
        <v>104</v>
      </c>
      <c r="B134" s="12" t="s">
        <v>43</v>
      </c>
      <c r="C134" s="19">
        <v>79</v>
      </c>
    </row>
    <row r="135" spans="1:3" x14ac:dyDescent="0.35">
      <c r="A135" s="11" t="s">
        <v>105</v>
      </c>
      <c r="B135" s="12" t="s">
        <v>44</v>
      </c>
      <c r="C135" s="19">
        <v>572</v>
      </c>
    </row>
    <row r="136" spans="1:3" x14ac:dyDescent="0.35">
      <c r="A136" s="11" t="s">
        <v>105</v>
      </c>
      <c r="B136" s="12" t="s">
        <v>43</v>
      </c>
      <c r="C136" s="19">
        <v>10</v>
      </c>
    </row>
    <row r="137" spans="1:3" x14ac:dyDescent="0.35">
      <c r="A137" s="11" t="s">
        <v>106</v>
      </c>
      <c r="B137" s="12" t="s">
        <v>76</v>
      </c>
      <c r="C137" s="19">
        <v>223</v>
      </c>
    </row>
    <row r="138" spans="1:3" x14ac:dyDescent="0.35">
      <c r="A138" s="11" t="s">
        <v>107</v>
      </c>
      <c r="B138" s="12" t="s">
        <v>76</v>
      </c>
      <c r="C138" s="19">
        <v>99</v>
      </c>
    </row>
    <row r="139" spans="1:3" x14ac:dyDescent="0.35">
      <c r="A139" s="11" t="s">
        <v>108</v>
      </c>
      <c r="B139" s="12" t="s">
        <v>44</v>
      </c>
      <c r="C139" s="19">
        <v>137</v>
      </c>
    </row>
    <row r="140" spans="1:3" x14ac:dyDescent="0.35">
      <c r="A140" s="11" t="s">
        <v>109</v>
      </c>
      <c r="B140" s="12" t="s">
        <v>44</v>
      </c>
      <c r="C140" s="19">
        <v>161</v>
      </c>
    </row>
    <row r="141" spans="1:3" x14ac:dyDescent="0.35">
      <c r="A141" s="11" t="s">
        <v>110</v>
      </c>
      <c r="B141" s="12" t="s">
        <v>44</v>
      </c>
      <c r="C141" s="19">
        <v>39</v>
      </c>
    </row>
    <row r="142" spans="1:3" x14ac:dyDescent="0.35">
      <c r="A142" s="11" t="s">
        <v>111</v>
      </c>
      <c r="B142" s="12" t="s">
        <v>44</v>
      </c>
      <c r="C142" s="19">
        <v>10</v>
      </c>
    </row>
    <row r="143" spans="1:3" x14ac:dyDescent="0.35">
      <c r="A143" s="11" t="s">
        <v>112</v>
      </c>
      <c r="B143" s="12" t="s">
        <v>44</v>
      </c>
      <c r="C143" s="19">
        <v>22</v>
      </c>
    </row>
    <row r="144" spans="1:3" x14ac:dyDescent="0.35">
      <c r="A144" s="11" t="s">
        <v>113</v>
      </c>
      <c r="B144" s="12" t="s">
        <v>44</v>
      </c>
      <c r="C144" s="19">
        <v>110</v>
      </c>
    </row>
    <row r="145" spans="1:3" x14ac:dyDescent="0.35">
      <c r="A145" s="11" t="s">
        <v>114</v>
      </c>
      <c r="B145" s="12" t="s">
        <v>44</v>
      </c>
      <c r="C145" s="19">
        <v>466</v>
      </c>
    </row>
    <row r="146" spans="1:3" x14ac:dyDescent="0.35">
      <c r="A146" s="11" t="s">
        <v>115</v>
      </c>
      <c r="B146" s="12" t="s">
        <v>44</v>
      </c>
      <c r="C146" s="19">
        <v>4</v>
      </c>
    </row>
    <row r="147" spans="1:3" x14ac:dyDescent="0.35">
      <c r="A147" s="11" t="s">
        <v>116</v>
      </c>
      <c r="B147" s="12" t="s">
        <v>43</v>
      </c>
      <c r="C147" s="19">
        <v>99</v>
      </c>
    </row>
    <row r="148" spans="1:3" x14ac:dyDescent="0.35">
      <c r="A148" s="11" t="s">
        <v>117</v>
      </c>
      <c r="B148" s="12" t="s">
        <v>44</v>
      </c>
      <c r="C148" s="19">
        <v>235</v>
      </c>
    </row>
    <row r="149" spans="1:3" x14ac:dyDescent="0.35">
      <c r="A149" s="11" t="s">
        <v>117</v>
      </c>
      <c r="B149" s="12" t="s">
        <v>43</v>
      </c>
      <c r="C149" s="19">
        <v>109</v>
      </c>
    </row>
    <row r="150" spans="1:3" x14ac:dyDescent="0.35">
      <c r="A150" s="11" t="s">
        <v>118</v>
      </c>
      <c r="B150" s="13" t="s">
        <v>76</v>
      </c>
      <c r="C150" s="19">
        <v>7</v>
      </c>
    </row>
    <row r="151" spans="1:3" x14ac:dyDescent="0.35">
      <c r="A151" s="11" t="s">
        <v>119</v>
      </c>
      <c r="B151" s="13" t="s">
        <v>76</v>
      </c>
      <c r="C151" s="19">
        <v>20</v>
      </c>
    </row>
    <row r="152" spans="1:3" x14ac:dyDescent="0.35">
      <c r="A152" s="11" t="s">
        <v>120</v>
      </c>
      <c r="B152" s="13" t="s">
        <v>76</v>
      </c>
      <c r="C152" s="19">
        <v>158</v>
      </c>
    </row>
    <row r="153" spans="1:3" x14ac:dyDescent="0.35">
      <c r="A153" s="11" t="s">
        <v>121</v>
      </c>
      <c r="B153" s="13" t="s">
        <v>76</v>
      </c>
      <c r="C153" s="19">
        <v>54</v>
      </c>
    </row>
    <row r="154" spans="1:3" x14ac:dyDescent="0.35">
      <c r="A154" s="11" t="s">
        <v>122</v>
      </c>
      <c r="B154" s="12" t="s">
        <v>43</v>
      </c>
      <c r="C154" s="19">
        <v>53</v>
      </c>
    </row>
    <row r="155" spans="1:3" x14ac:dyDescent="0.35">
      <c r="A155" s="11" t="s">
        <v>123</v>
      </c>
      <c r="B155" s="12" t="s">
        <v>43</v>
      </c>
      <c r="C155" s="19">
        <v>1135</v>
      </c>
    </row>
    <row r="156" spans="1:3" x14ac:dyDescent="0.35">
      <c r="A156" s="11" t="s">
        <v>124</v>
      </c>
      <c r="B156" s="12" t="s">
        <v>44</v>
      </c>
      <c r="C156" s="19">
        <v>115</v>
      </c>
    </row>
    <row r="157" spans="1:3" x14ac:dyDescent="0.35">
      <c r="A157" s="11" t="s">
        <v>124</v>
      </c>
      <c r="B157" s="12" t="s">
        <v>43</v>
      </c>
      <c r="C157" s="19">
        <v>52</v>
      </c>
    </row>
    <row r="158" spans="1:3" x14ac:dyDescent="0.35">
      <c r="A158" s="11" t="s">
        <v>125</v>
      </c>
      <c r="B158" s="12" t="s">
        <v>44</v>
      </c>
      <c r="C158" s="19">
        <v>132</v>
      </c>
    </row>
    <row r="159" spans="1:3" x14ac:dyDescent="0.35">
      <c r="A159" s="11" t="s">
        <v>126</v>
      </c>
      <c r="B159" s="12" t="s">
        <v>44</v>
      </c>
      <c r="C159" s="19">
        <v>148</v>
      </c>
    </row>
    <row r="160" spans="1:3" x14ac:dyDescent="0.35">
      <c r="A160" s="11" t="s">
        <v>127</v>
      </c>
      <c r="B160" s="12" t="s">
        <v>44</v>
      </c>
      <c r="C160" s="19">
        <v>184</v>
      </c>
    </row>
    <row r="161" spans="1:3" x14ac:dyDescent="0.35">
      <c r="A161" s="11" t="s">
        <v>128</v>
      </c>
      <c r="B161" s="12" t="s">
        <v>44</v>
      </c>
      <c r="C161" s="19">
        <v>170</v>
      </c>
    </row>
    <row r="162" spans="1:3" x14ac:dyDescent="0.35">
      <c r="A162" s="11" t="s">
        <v>129</v>
      </c>
      <c r="B162" s="14" t="s">
        <v>44</v>
      </c>
      <c r="C162" s="19">
        <v>9</v>
      </c>
    </row>
    <row r="163" spans="1:3" x14ac:dyDescent="0.35">
      <c r="A163" s="11" t="s">
        <v>130</v>
      </c>
      <c r="B163" s="14" t="s">
        <v>44</v>
      </c>
      <c r="C163" s="19">
        <v>10</v>
      </c>
    </row>
    <row r="164" spans="1:3" x14ac:dyDescent="0.35">
      <c r="A164" s="11" t="s">
        <v>131</v>
      </c>
      <c r="B164" s="14" t="s">
        <v>44</v>
      </c>
      <c r="C164" s="19">
        <v>1</v>
      </c>
    </row>
    <row r="165" spans="1:3" x14ac:dyDescent="0.35">
      <c r="A165" s="11" t="s">
        <v>132</v>
      </c>
      <c r="B165" s="12" t="s">
        <v>44</v>
      </c>
      <c r="C165" s="19">
        <v>126</v>
      </c>
    </row>
    <row r="166" spans="1:3" x14ac:dyDescent="0.35">
      <c r="A166" s="11" t="s">
        <v>133</v>
      </c>
      <c r="B166" s="12" t="s">
        <v>44</v>
      </c>
      <c r="C166" s="19">
        <v>12</v>
      </c>
    </row>
    <row r="167" spans="1:3" x14ac:dyDescent="0.35">
      <c r="A167" s="13" t="s">
        <v>134</v>
      </c>
      <c r="B167" s="12" t="s">
        <v>43</v>
      </c>
      <c r="C167" s="19">
        <v>11</v>
      </c>
    </row>
    <row r="168" spans="1:3" x14ac:dyDescent="0.35">
      <c r="A168" s="11" t="s">
        <v>135</v>
      </c>
      <c r="B168" s="12" t="s">
        <v>44</v>
      </c>
      <c r="C168" s="19">
        <v>107</v>
      </c>
    </row>
    <row r="169" spans="1:3" x14ac:dyDescent="0.35">
      <c r="A169" s="11" t="s">
        <v>135</v>
      </c>
      <c r="B169" s="12" t="s">
        <v>43</v>
      </c>
      <c r="C169" s="19">
        <v>40</v>
      </c>
    </row>
    <row r="170" spans="1:3" x14ac:dyDescent="0.35">
      <c r="A170" s="11" t="s">
        <v>136</v>
      </c>
      <c r="B170" s="12" t="s">
        <v>43</v>
      </c>
      <c r="C170" s="19">
        <v>26</v>
      </c>
    </row>
    <row r="171" spans="1:3" x14ac:dyDescent="0.35">
      <c r="A171" s="11" t="s">
        <v>137</v>
      </c>
      <c r="B171" s="12" t="s">
        <v>44</v>
      </c>
      <c r="C171" s="19">
        <v>169</v>
      </c>
    </row>
    <row r="172" spans="1:3" x14ac:dyDescent="0.35">
      <c r="A172" s="11" t="s">
        <v>138</v>
      </c>
      <c r="B172" s="11" t="s">
        <v>44</v>
      </c>
      <c r="C172" s="19">
        <v>24</v>
      </c>
    </row>
    <row r="173" spans="1:3" x14ac:dyDescent="0.35">
      <c r="A173" s="11" t="s">
        <v>139</v>
      </c>
      <c r="B173" s="12" t="s">
        <v>44</v>
      </c>
      <c r="C173" s="19">
        <v>30</v>
      </c>
    </row>
    <row r="174" spans="1:3" x14ac:dyDescent="0.35">
      <c r="A174" s="11" t="s">
        <v>140</v>
      </c>
      <c r="B174" s="12" t="s">
        <v>44</v>
      </c>
      <c r="C174" s="19">
        <v>7</v>
      </c>
    </row>
    <row r="175" spans="1:3" x14ac:dyDescent="0.35">
      <c r="A175" s="13" t="s">
        <v>141</v>
      </c>
      <c r="B175" s="12" t="s">
        <v>44</v>
      </c>
      <c r="C175" s="19">
        <v>12</v>
      </c>
    </row>
    <row r="176" spans="1:3" x14ac:dyDescent="0.35">
      <c r="A176" s="11" t="s">
        <v>142</v>
      </c>
      <c r="B176" s="14" t="s">
        <v>47</v>
      </c>
      <c r="C176" s="19">
        <v>27</v>
      </c>
    </row>
    <row r="177" spans="1:3" x14ac:dyDescent="0.35">
      <c r="A177" s="11" t="s">
        <v>143</v>
      </c>
      <c r="B177" s="14" t="s">
        <v>47</v>
      </c>
      <c r="C177" s="19">
        <v>14</v>
      </c>
    </row>
    <row r="178" spans="1:3" x14ac:dyDescent="0.35">
      <c r="A178" s="11" t="s">
        <v>144</v>
      </c>
      <c r="B178" s="12" t="s">
        <v>76</v>
      </c>
      <c r="C178" s="19">
        <v>376</v>
      </c>
    </row>
    <row r="179" spans="1:3" x14ac:dyDescent="0.35">
      <c r="A179" s="11" t="s">
        <v>145</v>
      </c>
      <c r="B179" s="14" t="s">
        <v>76</v>
      </c>
      <c r="C179" s="19">
        <v>107</v>
      </c>
    </row>
    <row r="180" spans="1:3" x14ac:dyDescent="0.35">
      <c r="A180" s="11" t="s">
        <v>146</v>
      </c>
      <c r="B180" s="14" t="s">
        <v>76</v>
      </c>
      <c r="C180" s="19">
        <v>36</v>
      </c>
    </row>
    <row r="181" spans="1:3" x14ac:dyDescent="0.35">
      <c r="A181" s="11" t="s">
        <v>147</v>
      </c>
      <c r="B181" s="14" t="s">
        <v>76</v>
      </c>
      <c r="C181" s="19">
        <v>62</v>
      </c>
    </row>
    <row r="182" spans="1:3" x14ac:dyDescent="0.35">
      <c r="A182" s="11" t="s">
        <v>148</v>
      </c>
      <c r="B182" s="12" t="s">
        <v>76</v>
      </c>
      <c r="C182" s="19">
        <v>9</v>
      </c>
    </row>
    <row r="183" spans="1:3" x14ac:dyDescent="0.35">
      <c r="A183" s="11" t="s">
        <v>149</v>
      </c>
      <c r="B183" s="12" t="s">
        <v>76</v>
      </c>
      <c r="C183" s="19">
        <v>21</v>
      </c>
    </row>
    <row r="184" spans="1:3" x14ac:dyDescent="0.35">
      <c r="A184" s="13" t="s">
        <v>150</v>
      </c>
      <c r="B184" s="14" t="s">
        <v>151</v>
      </c>
      <c r="C184" s="19">
        <v>20</v>
      </c>
    </row>
    <row r="185" spans="1:3" x14ac:dyDescent="0.35">
      <c r="A185" s="13" t="s">
        <v>152</v>
      </c>
      <c r="B185" s="14" t="s">
        <v>151</v>
      </c>
      <c r="C185" s="19">
        <v>11</v>
      </c>
    </row>
    <row r="186" spans="1:3" x14ac:dyDescent="0.35">
      <c r="A186" s="13" t="s">
        <v>153</v>
      </c>
      <c r="B186" s="14" t="s">
        <v>151</v>
      </c>
      <c r="C186" s="19">
        <v>13</v>
      </c>
    </row>
    <row r="187" spans="1:3" x14ac:dyDescent="0.35">
      <c r="A187" s="11" t="s">
        <v>154</v>
      </c>
      <c r="B187" s="12" t="s">
        <v>43</v>
      </c>
      <c r="C187" s="19">
        <v>71</v>
      </c>
    </row>
    <row r="188" spans="1:3" x14ac:dyDescent="0.35">
      <c r="A188" s="11" t="s">
        <v>155</v>
      </c>
      <c r="B188" s="12" t="s">
        <v>76</v>
      </c>
      <c r="C188" s="19">
        <v>15</v>
      </c>
    </row>
    <row r="189" spans="1:3" x14ac:dyDescent="0.35">
      <c r="A189" s="11" t="s">
        <v>156</v>
      </c>
      <c r="B189" s="12" t="s">
        <v>43</v>
      </c>
      <c r="C189" s="19">
        <v>84</v>
      </c>
    </row>
    <row r="190" spans="1:3" x14ac:dyDescent="0.35">
      <c r="A190" s="11" t="s">
        <v>157</v>
      </c>
      <c r="B190" s="14" t="s">
        <v>47</v>
      </c>
      <c r="C190" s="19">
        <v>17</v>
      </c>
    </row>
    <row r="191" spans="1:3" x14ac:dyDescent="0.35">
      <c r="A191" s="11" t="s">
        <v>158</v>
      </c>
      <c r="B191" s="14" t="s">
        <v>47</v>
      </c>
      <c r="C191" s="19">
        <v>4</v>
      </c>
    </row>
    <row r="192" spans="1:3" x14ac:dyDescent="0.35">
      <c r="A192" s="11" t="s">
        <v>159</v>
      </c>
      <c r="B192" s="14" t="s">
        <v>160</v>
      </c>
      <c r="C192" s="19">
        <v>3</v>
      </c>
    </row>
    <row r="193" spans="1:3" x14ac:dyDescent="0.35">
      <c r="A193" s="11" t="s">
        <v>161</v>
      </c>
      <c r="B193" s="14" t="s">
        <v>76</v>
      </c>
      <c r="C193" s="19">
        <v>20</v>
      </c>
    </row>
    <row r="194" spans="1:3" x14ac:dyDescent="0.35">
      <c r="A194" s="11" t="s">
        <v>162</v>
      </c>
      <c r="B194" s="14" t="s">
        <v>76</v>
      </c>
      <c r="C194" s="19">
        <v>26</v>
      </c>
    </row>
    <row r="195" spans="1:3" x14ac:dyDescent="0.35">
      <c r="A195" s="11" t="s">
        <v>163</v>
      </c>
      <c r="B195" s="14" t="s">
        <v>76</v>
      </c>
      <c r="C195" s="19">
        <v>14</v>
      </c>
    </row>
    <row r="196" spans="1:3" x14ac:dyDescent="0.35">
      <c r="A196" s="11" t="s">
        <v>164</v>
      </c>
      <c r="B196" s="14" t="s">
        <v>76</v>
      </c>
      <c r="C196" s="19">
        <v>12</v>
      </c>
    </row>
    <row r="197" spans="1:3" x14ac:dyDescent="0.35">
      <c r="A197" s="11" t="s">
        <v>165</v>
      </c>
      <c r="B197" s="12" t="s">
        <v>43</v>
      </c>
      <c r="C197" s="19">
        <v>34</v>
      </c>
    </row>
    <row r="198" spans="1:3" x14ac:dyDescent="0.35">
      <c r="A198" s="11" t="s">
        <v>166</v>
      </c>
      <c r="B198" s="12" t="s">
        <v>44</v>
      </c>
      <c r="C198" s="19">
        <v>4523</v>
      </c>
    </row>
    <row r="199" spans="1:3" x14ac:dyDescent="0.35">
      <c r="A199" s="11" t="s">
        <v>166</v>
      </c>
      <c r="B199" s="12" t="s">
        <v>43</v>
      </c>
      <c r="C199" s="19">
        <v>9</v>
      </c>
    </row>
    <row r="200" spans="1:3" x14ac:dyDescent="0.35">
      <c r="A200" s="11" t="s">
        <v>167</v>
      </c>
      <c r="B200" s="12" t="s">
        <v>44</v>
      </c>
      <c r="C200" s="19">
        <v>48</v>
      </c>
    </row>
    <row r="201" spans="1:3" x14ac:dyDescent="0.35">
      <c r="A201" s="11" t="s">
        <v>168</v>
      </c>
      <c r="B201" s="12" t="s">
        <v>43</v>
      </c>
      <c r="C201" s="19">
        <v>27</v>
      </c>
    </row>
    <row r="202" spans="1:3" x14ac:dyDescent="0.35">
      <c r="A202" s="11" t="s">
        <v>169</v>
      </c>
      <c r="B202" s="12" t="s">
        <v>43</v>
      </c>
      <c r="C202" s="19">
        <v>13</v>
      </c>
    </row>
    <row r="203" spans="1:3" x14ac:dyDescent="0.35">
      <c r="A203" s="11" t="s">
        <v>170</v>
      </c>
      <c r="B203" s="12" t="s">
        <v>43</v>
      </c>
      <c r="C203" s="19">
        <v>80</v>
      </c>
    </row>
    <row r="204" spans="1:3" x14ac:dyDescent="0.35">
      <c r="A204" s="11" t="s">
        <v>171</v>
      </c>
      <c r="B204" s="12" t="s">
        <v>43</v>
      </c>
      <c r="C204" s="19">
        <v>26</v>
      </c>
    </row>
    <row r="205" spans="1:3" x14ac:dyDescent="0.35">
      <c r="A205" s="11" t="s">
        <v>172</v>
      </c>
      <c r="B205" s="12" t="s">
        <v>44</v>
      </c>
      <c r="C205" s="19">
        <v>4</v>
      </c>
    </row>
    <row r="206" spans="1:3" x14ac:dyDescent="0.35">
      <c r="A206" s="11" t="s">
        <v>172</v>
      </c>
      <c r="B206" s="12" t="s">
        <v>43</v>
      </c>
      <c r="C206" s="19">
        <v>47</v>
      </c>
    </row>
    <row r="207" spans="1:3" x14ac:dyDescent="0.35">
      <c r="A207" s="11" t="s">
        <v>173</v>
      </c>
      <c r="B207" s="12" t="s">
        <v>44</v>
      </c>
      <c r="C207" s="19">
        <v>212</v>
      </c>
    </row>
    <row r="208" spans="1:3" x14ac:dyDescent="0.35">
      <c r="A208" s="11" t="s">
        <v>173</v>
      </c>
      <c r="B208" s="12" t="s">
        <v>43</v>
      </c>
      <c r="C208" s="19">
        <v>70</v>
      </c>
    </row>
    <row r="209" spans="1:3" x14ac:dyDescent="0.35">
      <c r="A209" s="11" t="s">
        <v>174</v>
      </c>
      <c r="B209" s="12" t="s">
        <v>44</v>
      </c>
      <c r="C209" s="19">
        <v>10</v>
      </c>
    </row>
    <row r="210" spans="1:3" x14ac:dyDescent="0.35">
      <c r="A210" s="11" t="s">
        <v>175</v>
      </c>
      <c r="B210" s="14" t="s">
        <v>44</v>
      </c>
      <c r="C210" s="19">
        <v>55</v>
      </c>
    </row>
    <row r="211" spans="1:3" x14ac:dyDescent="0.35">
      <c r="A211" s="11" t="s">
        <v>176</v>
      </c>
      <c r="B211" s="12" t="s">
        <v>76</v>
      </c>
      <c r="C211" s="19">
        <v>1</v>
      </c>
    </row>
    <row r="212" spans="1:3" x14ac:dyDescent="0.35">
      <c r="A212" s="11" t="s">
        <v>177</v>
      </c>
      <c r="B212" s="12" t="s">
        <v>44</v>
      </c>
      <c r="C212" s="19">
        <v>271</v>
      </c>
    </row>
    <row r="213" spans="1:3" x14ac:dyDescent="0.35">
      <c r="A213" s="11" t="s">
        <v>177</v>
      </c>
      <c r="B213" s="12" t="s">
        <v>43</v>
      </c>
      <c r="C213" s="19">
        <v>1593</v>
      </c>
    </row>
    <row r="214" spans="1:3" x14ac:dyDescent="0.35">
      <c r="A214" s="11" t="s">
        <v>178</v>
      </c>
      <c r="B214" s="12" t="s">
        <v>44</v>
      </c>
      <c r="C214" s="19">
        <v>65</v>
      </c>
    </row>
    <row r="215" spans="1:3" x14ac:dyDescent="0.35">
      <c r="A215" s="11" t="s">
        <v>179</v>
      </c>
      <c r="B215" s="14" t="s">
        <v>44</v>
      </c>
      <c r="C215" s="19">
        <v>59</v>
      </c>
    </row>
    <row r="216" spans="1:3" x14ac:dyDescent="0.35">
      <c r="A216" s="11" t="s">
        <v>180</v>
      </c>
      <c r="B216" s="14" t="s">
        <v>44</v>
      </c>
      <c r="C216" s="19">
        <v>8</v>
      </c>
    </row>
    <row r="217" spans="1:3" x14ac:dyDescent="0.35">
      <c r="A217" s="11" t="s">
        <v>181</v>
      </c>
      <c r="B217" s="14" t="s">
        <v>44</v>
      </c>
      <c r="C217" s="19">
        <v>90</v>
      </c>
    </row>
    <row r="218" spans="1:3" x14ac:dyDescent="0.35">
      <c r="A218" s="11" t="s">
        <v>182</v>
      </c>
      <c r="B218" s="14" t="s">
        <v>44</v>
      </c>
      <c r="C218" s="19">
        <v>56</v>
      </c>
    </row>
    <row r="219" spans="1:3" x14ac:dyDescent="0.35">
      <c r="A219" s="11" t="s">
        <v>183</v>
      </c>
      <c r="B219" s="14" t="s">
        <v>151</v>
      </c>
      <c r="C219" s="19">
        <v>120</v>
      </c>
    </row>
    <row r="220" spans="1:3" x14ac:dyDescent="0.35">
      <c r="A220" s="11" t="s">
        <v>184</v>
      </c>
      <c r="B220" s="14" t="s">
        <v>151</v>
      </c>
      <c r="C220" s="19">
        <v>55</v>
      </c>
    </row>
    <row r="221" spans="1:3" x14ac:dyDescent="0.35">
      <c r="A221" s="11" t="s">
        <v>185</v>
      </c>
      <c r="B221" s="14" t="s">
        <v>151</v>
      </c>
      <c r="C221" s="19">
        <v>41</v>
      </c>
    </row>
    <row r="222" spans="1:3" x14ac:dyDescent="0.35">
      <c r="A222" s="11" t="s">
        <v>186</v>
      </c>
      <c r="B222" s="14" t="s">
        <v>151</v>
      </c>
      <c r="C222" s="19">
        <v>87</v>
      </c>
    </row>
    <row r="223" spans="1:3" x14ac:dyDescent="0.35">
      <c r="A223" s="11" t="s">
        <v>187</v>
      </c>
      <c r="B223" s="14" t="s">
        <v>151</v>
      </c>
      <c r="C223" s="19">
        <v>62</v>
      </c>
    </row>
    <row r="224" spans="1:3" x14ac:dyDescent="0.35">
      <c r="A224" s="11" t="s">
        <v>188</v>
      </c>
      <c r="B224" s="14" t="s">
        <v>151</v>
      </c>
      <c r="C224" s="19">
        <v>92</v>
      </c>
    </row>
    <row r="225" spans="1:3" x14ac:dyDescent="0.35">
      <c r="A225" s="11" t="s">
        <v>189</v>
      </c>
      <c r="B225" s="14" t="s">
        <v>151</v>
      </c>
      <c r="C225" s="19">
        <v>20</v>
      </c>
    </row>
    <row r="226" spans="1:3" x14ac:dyDescent="0.35">
      <c r="A226" s="11" t="s">
        <v>190</v>
      </c>
      <c r="B226" s="14" t="s">
        <v>191</v>
      </c>
      <c r="C226" s="19">
        <v>33</v>
      </c>
    </row>
    <row r="227" spans="1:3" x14ac:dyDescent="0.35">
      <c r="A227" s="11" t="s">
        <v>192</v>
      </c>
      <c r="B227" s="14" t="s">
        <v>191</v>
      </c>
      <c r="C227" s="19">
        <v>30</v>
      </c>
    </row>
    <row r="228" spans="1:3" x14ac:dyDescent="0.35">
      <c r="A228" s="11" t="s">
        <v>193</v>
      </c>
      <c r="B228" s="14" t="s">
        <v>76</v>
      </c>
      <c r="C228" s="19">
        <v>88</v>
      </c>
    </row>
    <row r="229" spans="1:3" x14ac:dyDescent="0.35">
      <c r="A229" s="11" t="s">
        <v>194</v>
      </c>
      <c r="B229" s="14" t="s">
        <v>76</v>
      </c>
      <c r="C229" s="19">
        <v>32</v>
      </c>
    </row>
    <row r="230" spans="1:3" x14ac:dyDescent="0.35">
      <c r="A230" s="11" t="s">
        <v>195</v>
      </c>
      <c r="B230" s="14" t="s">
        <v>76</v>
      </c>
      <c r="C230" s="19">
        <v>13</v>
      </c>
    </row>
    <row r="231" spans="1:3" x14ac:dyDescent="0.35">
      <c r="A231" s="11" t="s">
        <v>196</v>
      </c>
      <c r="B231" s="14" t="s">
        <v>76</v>
      </c>
      <c r="C231" s="19">
        <v>9</v>
      </c>
    </row>
    <row r="232" spans="1:3" x14ac:dyDescent="0.35">
      <c r="A232" s="11" t="s">
        <v>197</v>
      </c>
      <c r="B232" s="14" t="s">
        <v>76</v>
      </c>
      <c r="C232" s="19">
        <v>16</v>
      </c>
    </row>
    <row r="233" spans="1:3" x14ac:dyDescent="0.35">
      <c r="A233" s="11" t="s">
        <v>198</v>
      </c>
      <c r="B233" s="14" t="s">
        <v>76</v>
      </c>
      <c r="C233" s="19">
        <v>17</v>
      </c>
    </row>
    <row r="234" spans="1:3" x14ac:dyDescent="0.35">
      <c r="A234" s="13" t="s">
        <v>199</v>
      </c>
      <c r="B234" s="14" t="s">
        <v>76</v>
      </c>
      <c r="C234" s="19">
        <v>65</v>
      </c>
    </row>
    <row r="235" spans="1:3" x14ac:dyDescent="0.35">
      <c r="A235" s="11" t="s">
        <v>200</v>
      </c>
      <c r="B235" s="14" t="s">
        <v>76</v>
      </c>
      <c r="C235" s="19">
        <v>21</v>
      </c>
    </row>
    <row r="236" spans="1:3" x14ac:dyDescent="0.35">
      <c r="A236" s="13" t="s">
        <v>201</v>
      </c>
      <c r="B236" s="12" t="s">
        <v>191</v>
      </c>
      <c r="C236" s="19">
        <v>54</v>
      </c>
    </row>
    <row r="237" spans="1:3" x14ac:dyDescent="0.35">
      <c r="A237" s="13" t="s">
        <v>202</v>
      </c>
      <c r="B237" s="12" t="s">
        <v>191</v>
      </c>
      <c r="C237" s="19">
        <v>14</v>
      </c>
    </row>
    <row r="238" spans="1:3" x14ac:dyDescent="0.35">
      <c r="A238" s="13" t="s">
        <v>203</v>
      </c>
      <c r="B238" s="12" t="s">
        <v>191</v>
      </c>
      <c r="C238" s="19">
        <v>60</v>
      </c>
    </row>
    <row r="239" spans="1:3" x14ac:dyDescent="0.35">
      <c r="A239" s="13" t="s">
        <v>204</v>
      </c>
      <c r="B239" s="12" t="s">
        <v>191</v>
      </c>
      <c r="C239" s="19">
        <v>53</v>
      </c>
    </row>
    <row r="240" spans="1:3" x14ac:dyDescent="0.35">
      <c r="A240" s="13" t="s">
        <v>205</v>
      </c>
      <c r="B240" s="12" t="s">
        <v>191</v>
      </c>
      <c r="C240" s="19">
        <v>112</v>
      </c>
    </row>
    <row r="241" spans="1:3" x14ac:dyDescent="0.35">
      <c r="A241" s="13" t="s">
        <v>206</v>
      </c>
      <c r="B241" s="12" t="s">
        <v>191</v>
      </c>
      <c r="C241" s="19">
        <v>5</v>
      </c>
    </row>
    <row r="242" spans="1:3" x14ac:dyDescent="0.35">
      <c r="A242" s="11" t="s">
        <v>207</v>
      </c>
      <c r="B242" s="12" t="s">
        <v>44</v>
      </c>
      <c r="C242" s="19">
        <v>112</v>
      </c>
    </row>
    <row r="243" spans="1:3" x14ac:dyDescent="0.35">
      <c r="A243" s="11" t="s">
        <v>208</v>
      </c>
      <c r="B243" s="12" t="s">
        <v>160</v>
      </c>
      <c r="C243" s="19">
        <v>291</v>
      </c>
    </row>
    <row r="244" spans="1:3" x14ac:dyDescent="0.35">
      <c r="A244" s="11" t="s">
        <v>209</v>
      </c>
      <c r="B244" s="12" t="s">
        <v>160</v>
      </c>
      <c r="C244" s="19">
        <v>8</v>
      </c>
    </row>
    <row r="245" spans="1:3" x14ac:dyDescent="0.35">
      <c r="A245" s="11" t="s">
        <v>210</v>
      </c>
      <c r="B245" s="12" t="s">
        <v>44</v>
      </c>
      <c r="C245" s="19">
        <v>39</v>
      </c>
    </row>
    <row r="246" spans="1:3" x14ac:dyDescent="0.35">
      <c r="A246" s="11" t="s">
        <v>211</v>
      </c>
      <c r="B246" s="12" t="s">
        <v>44</v>
      </c>
      <c r="C246" s="19">
        <v>239</v>
      </c>
    </row>
    <row r="247" spans="1:3" x14ac:dyDescent="0.35">
      <c r="A247" s="11" t="s">
        <v>212</v>
      </c>
      <c r="B247" s="12" t="s">
        <v>44</v>
      </c>
      <c r="C247" s="19">
        <v>85</v>
      </c>
    </row>
    <row r="248" spans="1:3" x14ac:dyDescent="0.35">
      <c r="A248" s="11" t="s">
        <v>213</v>
      </c>
      <c r="B248" s="12" t="s">
        <v>44</v>
      </c>
      <c r="C248" s="19">
        <v>585</v>
      </c>
    </row>
    <row r="249" spans="1:3" x14ac:dyDescent="0.35">
      <c r="A249" s="13" t="s">
        <v>214</v>
      </c>
      <c r="B249" s="12" t="s">
        <v>44</v>
      </c>
      <c r="C249" s="19">
        <v>83</v>
      </c>
    </row>
    <row r="250" spans="1:3" x14ac:dyDescent="0.35">
      <c r="A250" s="13" t="s">
        <v>215</v>
      </c>
      <c r="B250" s="12" t="s">
        <v>44</v>
      </c>
      <c r="C250" s="19">
        <v>47</v>
      </c>
    </row>
    <row r="251" spans="1:3" x14ac:dyDescent="0.35">
      <c r="A251" s="11" t="s">
        <v>216</v>
      </c>
      <c r="B251" s="12" t="s">
        <v>44</v>
      </c>
      <c r="C251" s="19">
        <v>8</v>
      </c>
    </row>
    <row r="252" spans="1:3" x14ac:dyDescent="0.35">
      <c r="A252" s="11" t="s">
        <v>217</v>
      </c>
      <c r="B252" s="12" t="s">
        <v>44</v>
      </c>
      <c r="C252" s="19">
        <v>13</v>
      </c>
    </row>
    <row r="253" spans="1:3" x14ac:dyDescent="0.35">
      <c r="A253" s="11" t="s">
        <v>218</v>
      </c>
      <c r="B253" s="12" t="s">
        <v>219</v>
      </c>
      <c r="C253" s="19">
        <v>20</v>
      </c>
    </row>
    <row r="254" spans="1:3" x14ac:dyDescent="0.35">
      <c r="A254" s="11" t="s">
        <v>220</v>
      </c>
      <c r="B254" s="12" t="s">
        <v>219</v>
      </c>
      <c r="C254" s="19">
        <v>96</v>
      </c>
    </row>
    <row r="255" spans="1:3" x14ac:dyDescent="0.35">
      <c r="A255" s="11" t="s">
        <v>221</v>
      </c>
      <c r="B255" s="12" t="s">
        <v>219</v>
      </c>
      <c r="C255" s="19">
        <v>44</v>
      </c>
    </row>
    <row r="256" spans="1:3" x14ac:dyDescent="0.35">
      <c r="A256" s="11" t="s">
        <v>222</v>
      </c>
      <c r="B256" s="12" t="s">
        <v>219</v>
      </c>
      <c r="C256" s="19">
        <v>83</v>
      </c>
    </row>
    <row r="257" spans="1:3" x14ac:dyDescent="0.35">
      <c r="A257" s="11" t="s">
        <v>223</v>
      </c>
      <c r="B257" s="14" t="s">
        <v>44</v>
      </c>
      <c r="C257" s="19">
        <v>256</v>
      </c>
    </row>
    <row r="258" spans="1:3" x14ac:dyDescent="0.35">
      <c r="A258" s="11">
        <v>501</v>
      </c>
      <c r="B258" s="11" t="s">
        <v>44</v>
      </c>
      <c r="C258" s="19">
        <v>611</v>
      </c>
    </row>
    <row r="259" spans="1:3" x14ac:dyDescent="0.35">
      <c r="A259" s="11">
        <v>701</v>
      </c>
      <c r="B259" s="11" t="s">
        <v>44</v>
      </c>
      <c r="C259" s="19">
        <v>5753</v>
      </c>
    </row>
    <row r="260" spans="1:3" x14ac:dyDescent="0.35">
      <c r="A260" s="11">
        <v>701</v>
      </c>
      <c r="B260" s="11" t="s">
        <v>45</v>
      </c>
      <c r="C260" s="19">
        <v>240</v>
      </c>
    </row>
    <row r="261" spans="1:3" x14ac:dyDescent="0.35">
      <c r="A261" s="11">
        <v>701</v>
      </c>
      <c r="B261" s="11" t="s">
        <v>46</v>
      </c>
      <c r="C261" s="19">
        <v>104</v>
      </c>
    </row>
    <row r="262" spans="1:3" x14ac:dyDescent="0.35">
      <c r="A262" s="11">
        <v>702</v>
      </c>
      <c r="B262" s="11" t="s">
        <v>44</v>
      </c>
      <c r="C262" s="19">
        <v>100</v>
      </c>
    </row>
    <row r="263" spans="1:3" x14ac:dyDescent="0.35">
      <c r="A263" s="11">
        <v>704</v>
      </c>
      <c r="B263" s="11" t="s">
        <v>44</v>
      </c>
      <c r="C263" s="19">
        <v>154</v>
      </c>
    </row>
    <row r="264" spans="1:3" x14ac:dyDescent="0.35">
      <c r="A264" s="11">
        <v>513</v>
      </c>
      <c r="B264" s="11" t="s">
        <v>44</v>
      </c>
      <c r="C264" s="19">
        <v>587</v>
      </c>
    </row>
    <row r="265" spans="1:3" x14ac:dyDescent="0.35">
      <c r="A265" s="11">
        <v>513</v>
      </c>
      <c r="B265" s="11" t="s">
        <v>46</v>
      </c>
      <c r="C265" s="19">
        <v>89</v>
      </c>
    </row>
    <row r="266" spans="1:3" x14ac:dyDescent="0.35">
      <c r="A266" s="11">
        <v>517</v>
      </c>
      <c r="B266" s="11" t="s">
        <v>44</v>
      </c>
      <c r="C266" s="19">
        <v>4</v>
      </c>
    </row>
    <row r="267" spans="1:3" x14ac:dyDescent="0.35">
      <c r="A267" s="8" t="s">
        <v>224</v>
      </c>
      <c r="B267" s="11" t="s">
        <v>44</v>
      </c>
      <c r="C267" s="19">
        <v>295</v>
      </c>
    </row>
    <row r="268" spans="1:3" x14ac:dyDescent="0.35">
      <c r="A268" s="11">
        <v>178</v>
      </c>
      <c r="B268" s="11" t="s">
        <v>225</v>
      </c>
      <c r="C268" s="19">
        <v>249</v>
      </c>
    </row>
    <row r="269" spans="1:3" x14ac:dyDescent="0.35">
      <c r="A269" s="11" t="s">
        <v>226</v>
      </c>
      <c r="B269" s="11" t="s">
        <v>44</v>
      </c>
      <c r="C269" s="19">
        <v>287</v>
      </c>
    </row>
    <row r="270" spans="1:3" x14ac:dyDescent="0.35">
      <c r="A270" s="11">
        <v>321</v>
      </c>
      <c r="B270" s="11" t="s">
        <v>44</v>
      </c>
      <c r="C270" s="19">
        <v>480</v>
      </c>
    </row>
    <row r="271" spans="1:3" x14ac:dyDescent="0.35">
      <c r="A271" s="11">
        <v>324</v>
      </c>
      <c r="B271" s="11" t="s">
        <v>44</v>
      </c>
      <c r="C271" s="19">
        <v>6304</v>
      </c>
    </row>
    <row r="272" spans="1:3" x14ac:dyDescent="0.35">
      <c r="A272" s="11">
        <v>326</v>
      </c>
      <c r="B272" s="11" t="s">
        <v>43</v>
      </c>
      <c r="C272" s="19">
        <v>15</v>
      </c>
    </row>
    <row r="273" spans="1:3" x14ac:dyDescent="0.35">
      <c r="A273" s="11">
        <v>327</v>
      </c>
      <c r="B273" s="11" t="s">
        <v>44</v>
      </c>
      <c r="C273" s="19">
        <v>2188</v>
      </c>
    </row>
    <row r="274" spans="1:3" x14ac:dyDescent="0.35">
      <c r="A274" s="11">
        <v>328</v>
      </c>
      <c r="B274" s="11" t="s">
        <v>44</v>
      </c>
      <c r="C274" s="19">
        <v>223</v>
      </c>
    </row>
    <row r="275" spans="1:3" x14ac:dyDescent="0.35">
      <c r="A275" s="11">
        <v>343</v>
      </c>
      <c r="B275" s="11" t="s">
        <v>44</v>
      </c>
      <c r="C275" s="19">
        <v>1390</v>
      </c>
    </row>
    <row r="276" spans="1:3" x14ac:dyDescent="0.35">
      <c r="A276" s="11">
        <v>345</v>
      </c>
      <c r="B276" s="11" t="s">
        <v>44</v>
      </c>
      <c r="C276" s="19">
        <v>172</v>
      </c>
    </row>
    <row r="277" spans="1:3" x14ac:dyDescent="0.35">
      <c r="A277" s="11">
        <v>362</v>
      </c>
      <c r="B277" s="11" t="s">
        <v>44</v>
      </c>
      <c r="C277" s="19">
        <v>95</v>
      </c>
    </row>
    <row r="278" spans="1:3" x14ac:dyDescent="0.35">
      <c r="A278" s="11">
        <v>3271</v>
      </c>
      <c r="B278" s="11" t="s">
        <v>44</v>
      </c>
      <c r="C278" s="19">
        <v>927</v>
      </c>
    </row>
    <row r="279" spans="1:3" x14ac:dyDescent="0.35">
      <c r="A279" s="11">
        <v>3272</v>
      </c>
      <c r="B279" s="11" t="s">
        <v>44</v>
      </c>
      <c r="C279" s="19">
        <v>6754</v>
      </c>
    </row>
    <row r="280" spans="1:3" x14ac:dyDescent="0.35">
      <c r="A280" s="11">
        <v>3281</v>
      </c>
      <c r="B280" s="11" t="s">
        <v>44</v>
      </c>
      <c r="C280" s="19">
        <v>94</v>
      </c>
    </row>
    <row r="281" spans="1:3" x14ac:dyDescent="0.35">
      <c r="A281" s="11" t="s">
        <v>227</v>
      </c>
      <c r="B281" s="13" t="s">
        <v>44</v>
      </c>
      <c r="C281" s="19">
        <v>5959</v>
      </c>
    </row>
    <row r="282" spans="1:3" x14ac:dyDescent="0.35">
      <c r="A282" s="11" t="s">
        <v>228</v>
      </c>
      <c r="B282" s="11" t="s">
        <v>44</v>
      </c>
      <c r="C282" s="19">
        <v>117</v>
      </c>
    </row>
    <row r="283" spans="1:3" x14ac:dyDescent="0.35">
      <c r="A283" s="11" t="s">
        <v>229</v>
      </c>
      <c r="B283" s="13" t="s">
        <v>47</v>
      </c>
      <c r="C283" s="19">
        <v>298</v>
      </c>
    </row>
    <row r="284" spans="1:3" x14ac:dyDescent="0.35">
      <c r="A284" s="11" t="s">
        <v>230</v>
      </c>
      <c r="B284" s="13" t="s">
        <v>44</v>
      </c>
      <c r="C284" s="19">
        <v>29</v>
      </c>
    </row>
    <row r="285" spans="1:3" x14ac:dyDescent="0.35">
      <c r="A285" s="11" t="s">
        <v>231</v>
      </c>
      <c r="B285" s="13" t="s">
        <v>44</v>
      </c>
      <c r="C285" s="19">
        <v>450</v>
      </c>
    </row>
    <row r="286" spans="1:3" x14ac:dyDescent="0.35">
      <c r="A286" s="13" t="s">
        <v>232</v>
      </c>
      <c r="B286" s="13" t="s">
        <v>45</v>
      </c>
      <c r="C286" s="19">
        <v>47</v>
      </c>
    </row>
    <row r="287" spans="1:3" x14ac:dyDescent="0.35">
      <c r="A287" s="13" t="s">
        <v>232</v>
      </c>
      <c r="B287" s="13" t="s">
        <v>46</v>
      </c>
      <c r="C287" s="19">
        <v>46</v>
      </c>
    </row>
    <row r="288" spans="1:3" x14ac:dyDescent="0.35">
      <c r="A288" s="13" t="s">
        <v>233</v>
      </c>
      <c r="B288" s="13" t="s">
        <v>47</v>
      </c>
      <c r="C288" s="19">
        <v>2863</v>
      </c>
    </row>
    <row r="289" spans="1:3" x14ac:dyDescent="0.35">
      <c r="A289" s="13" t="s">
        <v>234</v>
      </c>
      <c r="B289" s="13" t="s">
        <v>235</v>
      </c>
      <c r="C289" s="19">
        <v>2406</v>
      </c>
    </row>
    <row r="290" spans="1:3" x14ac:dyDescent="0.35">
      <c r="A290" s="13" t="s">
        <v>236</v>
      </c>
      <c r="B290" s="13" t="s">
        <v>235</v>
      </c>
      <c r="C290" s="19">
        <v>1764</v>
      </c>
    </row>
    <row r="291" spans="1:3" x14ac:dyDescent="0.35">
      <c r="A291" s="13" t="s">
        <v>237</v>
      </c>
      <c r="B291" s="13" t="s">
        <v>235</v>
      </c>
      <c r="C291" s="19">
        <v>1936</v>
      </c>
    </row>
    <row r="292" spans="1:3" x14ac:dyDescent="0.35">
      <c r="A292" s="13" t="s">
        <v>238</v>
      </c>
      <c r="B292" s="13" t="s">
        <v>235</v>
      </c>
      <c r="C292" s="19">
        <v>674</v>
      </c>
    </row>
    <row r="293" spans="1:3" x14ac:dyDescent="0.35">
      <c r="A293" s="13" t="s">
        <v>239</v>
      </c>
      <c r="B293" s="13" t="s">
        <v>235</v>
      </c>
      <c r="C293" s="19">
        <v>1116</v>
      </c>
    </row>
    <row r="294" spans="1:3" x14ac:dyDescent="0.35">
      <c r="A294" s="13" t="s">
        <v>240</v>
      </c>
      <c r="B294" s="15" t="s">
        <v>235</v>
      </c>
      <c r="C294" s="19">
        <v>508</v>
      </c>
    </row>
    <row r="295" spans="1:3" x14ac:dyDescent="0.35">
      <c r="A295" s="16" t="s">
        <v>241</v>
      </c>
      <c r="B295" s="16" t="s">
        <v>191</v>
      </c>
      <c r="C295" s="19">
        <v>78</v>
      </c>
    </row>
    <row r="296" spans="1:3" x14ac:dyDescent="0.35">
      <c r="A296" s="16" t="s">
        <v>242</v>
      </c>
      <c r="B296" s="16" t="s">
        <v>191</v>
      </c>
      <c r="C296" s="19">
        <v>39</v>
      </c>
    </row>
    <row r="297" spans="1:3" x14ac:dyDescent="0.35">
      <c r="A297" s="16" t="s">
        <v>243</v>
      </c>
      <c r="B297" s="16" t="s">
        <v>47</v>
      </c>
      <c r="C297" s="19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0936-61E1-47F4-B427-1A46E9580871}">
  <dimension ref="A1:F37"/>
  <sheetViews>
    <sheetView workbookViewId="0">
      <selection activeCell="C1" sqref="C1"/>
    </sheetView>
  </sheetViews>
  <sheetFormatPr defaultRowHeight="14.5" x14ac:dyDescent="0.35"/>
  <cols>
    <col min="1" max="1" width="10.81640625" customWidth="1"/>
  </cols>
  <sheetData>
    <row r="1" spans="1:6" ht="15.5" x14ac:dyDescent="0.35">
      <c r="C1" s="7">
        <f>SUBTOTAL(9,C3:C1048576)</f>
        <v>4531</v>
      </c>
    </row>
    <row r="2" spans="1:6" x14ac:dyDescent="0.35">
      <c r="A2" s="1" t="s">
        <v>0</v>
      </c>
      <c r="B2" s="2" t="s">
        <v>1</v>
      </c>
      <c r="C2" s="6" t="s">
        <v>2</v>
      </c>
    </row>
    <row r="3" spans="1:6" x14ac:dyDescent="0.35">
      <c r="A3" s="3" t="s">
        <v>3</v>
      </c>
      <c r="B3" s="4" t="s">
        <v>4</v>
      </c>
      <c r="C3" s="4">
        <v>6</v>
      </c>
    </row>
    <row r="4" spans="1:6" x14ac:dyDescent="0.35">
      <c r="A4" s="3" t="s">
        <v>5</v>
      </c>
      <c r="B4" s="4" t="s">
        <v>4</v>
      </c>
      <c r="C4" s="4">
        <v>5</v>
      </c>
    </row>
    <row r="5" spans="1:6" x14ac:dyDescent="0.35">
      <c r="A5" s="3" t="s">
        <v>6</v>
      </c>
      <c r="B5" s="4" t="s">
        <v>4</v>
      </c>
      <c r="C5" s="4">
        <v>10</v>
      </c>
      <c r="E5" s="5" t="s">
        <v>8</v>
      </c>
      <c r="F5" s="5">
        <v>2955</v>
      </c>
    </row>
    <row r="6" spans="1:6" x14ac:dyDescent="0.35">
      <c r="A6" s="3" t="s">
        <v>7</v>
      </c>
      <c r="B6" s="4" t="s">
        <v>4</v>
      </c>
      <c r="C6" s="4">
        <v>30</v>
      </c>
      <c r="E6" s="5" t="s">
        <v>10</v>
      </c>
      <c r="F6" s="5">
        <v>1576</v>
      </c>
    </row>
    <row r="7" spans="1:6" ht="15.5" x14ac:dyDescent="0.35">
      <c r="A7" s="3" t="s">
        <v>9</v>
      </c>
      <c r="B7" s="4" t="s">
        <v>4</v>
      </c>
      <c r="C7" s="4">
        <v>30</v>
      </c>
      <c r="F7" s="7">
        <f>SUM(F5:F6)</f>
        <v>4531</v>
      </c>
    </row>
    <row r="8" spans="1:6" x14ac:dyDescent="0.35">
      <c r="A8" s="3" t="s">
        <v>11</v>
      </c>
      <c r="B8" s="4" t="s">
        <v>4</v>
      </c>
      <c r="C8" s="4">
        <v>40</v>
      </c>
    </row>
    <row r="9" spans="1:6" x14ac:dyDescent="0.35">
      <c r="A9" s="3" t="s">
        <v>12</v>
      </c>
      <c r="B9" s="4" t="s">
        <v>4</v>
      </c>
      <c r="C9" s="4">
        <v>40</v>
      </c>
    </row>
    <row r="10" spans="1:6" x14ac:dyDescent="0.35">
      <c r="A10" s="3" t="s">
        <v>13</v>
      </c>
      <c r="B10" s="4" t="s">
        <v>4</v>
      </c>
      <c r="C10" s="4">
        <v>40</v>
      </c>
    </row>
    <row r="11" spans="1:6" x14ac:dyDescent="0.35">
      <c r="A11" s="3" t="s">
        <v>14</v>
      </c>
      <c r="B11" s="4" t="s">
        <v>4</v>
      </c>
      <c r="C11" s="4">
        <v>28</v>
      </c>
    </row>
    <row r="12" spans="1:6" x14ac:dyDescent="0.35">
      <c r="A12" s="3" t="s">
        <v>15</v>
      </c>
      <c r="B12" s="4" t="s">
        <v>4</v>
      </c>
      <c r="C12" s="4">
        <v>788</v>
      </c>
    </row>
    <row r="13" spans="1:6" x14ac:dyDescent="0.35">
      <c r="A13" s="3" t="s">
        <v>16</v>
      </c>
      <c r="B13" s="4" t="s">
        <v>4</v>
      </c>
      <c r="C13" s="4">
        <v>272</v>
      </c>
    </row>
    <row r="14" spans="1:6" x14ac:dyDescent="0.35">
      <c r="A14" s="3" t="s">
        <v>17</v>
      </c>
      <c r="B14" s="4" t="s">
        <v>4</v>
      </c>
      <c r="C14" s="4">
        <v>136</v>
      </c>
    </row>
    <row r="15" spans="1:6" x14ac:dyDescent="0.35">
      <c r="A15" s="3" t="s">
        <v>18</v>
      </c>
      <c r="B15" s="4" t="s">
        <v>4</v>
      </c>
      <c r="C15" s="4">
        <v>994</v>
      </c>
    </row>
    <row r="16" spans="1:6" x14ac:dyDescent="0.35">
      <c r="A16" s="3" t="s">
        <v>19</v>
      </c>
      <c r="B16" s="4" t="s">
        <v>4</v>
      </c>
      <c r="C16" s="4">
        <v>12</v>
      </c>
    </row>
    <row r="17" spans="1:3" x14ac:dyDescent="0.35">
      <c r="A17" s="3" t="s">
        <v>20</v>
      </c>
      <c r="B17" s="4" t="s">
        <v>4</v>
      </c>
      <c r="C17" s="4">
        <v>299</v>
      </c>
    </row>
    <row r="18" spans="1:3" x14ac:dyDescent="0.35">
      <c r="A18" s="3" t="s">
        <v>21</v>
      </c>
      <c r="B18" s="4" t="s">
        <v>4</v>
      </c>
      <c r="C18" s="4">
        <v>16</v>
      </c>
    </row>
    <row r="19" spans="1:3" x14ac:dyDescent="0.35">
      <c r="A19" s="3" t="s">
        <v>22</v>
      </c>
      <c r="B19" s="4" t="s">
        <v>4</v>
      </c>
      <c r="C19" s="4">
        <v>58</v>
      </c>
    </row>
    <row r="20" spans="1:3" x14ac:dyDescent="0.35">
      <c r="A20" s="3" t="s">
        <v>23</v>
      </c>
      <c r="B20" s="4" t="s">
        <v>4</v>
      </c>
      <c r="C20" s="4">
        <v>25</v>
      </c>
    </row>
    <row r="21" spans="1:3" x14ac:dyDescent="0.35">
      <c r="A21" s="3" t="s">
        <v>24</v>
      </c>
      <c r="B21" s="4" t="s">
        <v>4</v>
      </c>
      <c r="C21" s="4">
        <v>70</v>
      </c>
    </row>
    <row r="22" spans="1:3" x14ac:dyDescent="0.35">
      <c r="A22" s="3" t="s">
        <v>25</v>
      </c>
      <c r="B22" s="4" t="s">
        <v>4</v>
      </c>
      <c r="C22" s="4">
        <v>20</v>
      </c>
    </row>
    <row r="23" spans="1:3" x14ac:dyDescent="0.35">
      <c r="A23" s="3" t="s">
        <v>26</v>
      </c>
      <c r="B23" s="4" t="s">
        <v>4</v>
      </c>
      <c r="C23" s="4">
        <v>12</v>
      </c>
    </row>
    <row r="24" spans="1:3" x14ac:dyDescent="0.35">
      <c r="A24" s="3" t="s">
        <v>27</v>
      </c>
      <c r="B24" s="4" t="s">
        <v>4</v>
      </c>
      <c r="C24" s="4">
        <v>4</v>
      </c>
    </row>
    <row r="25" spans="1:3" x14ac:dyDescent="0.35">
      <c r="A25" s="3" t="s">
        <v>28</v>
      </c>
      <c r="B25" s="4" t="s">
        <v>4</v>
      </c>
      <c r="C25" s="4">
        <v>4</v>
      </c>
    </row>
    <row r="26" spans="1:3" x14ac:dyDescent="0.35">
      <c r="A26" s="3" t="s">
        <v>29</v>
      </c>
      <c r="B26" s="4"/>
      <c r="C26" s="4">
        <v>54</v>
      </c>
    </row>
    <row r="27" spans="1:3" x14ac:dyDescent="0.35">
      <c r="A27" s="3" t="s">
        <v>30</v>
      </c>
      <c r="B27" s="4"/>
      <c r="C27" s="4">
        <v>88</v>
      </c>
    </row>
    <row r="28" spans="1:3" x14ac:dyDescent="0.35">
      <c r="A28" s="3" t="s">
        <v>31</v>
      </c>
      <c r="B28" s="4"/>
      <c r="C28" s="4">
        <v>496</v>
      </c>
    </row>
    <row r="29" spans="1:3" x14ac:dyDescent="0.35">
      <c r="A29" s="3" t="s">
        <v>32</v>
      </c>
      <c r="B29" s="4"/>
      <c r="C29" s="4">
        <v>544</v>
      </c>
    </row>
    <row r="30" spans="1:3" x14ac:dyDescent="0.35">
      <c r="A30" s="3" t="s">
        <v>33</v>
      </c>
      <c r="B30" s="4"/>
      <c r="C30" s="4">
        <v>220</v>
      </c>
    </row>
    <row r="31" spans="1:3" x14ac:dyDescent="0.35">
      <c r="A31" s="3" t="s">
        <v>34</v>
      </c>
      <c r="B31" s="4"/>
      <c r="C31" s="4">
        <v>92</v>
      </c>
    </row>
    <row r="32" spans="1:3" x14ac:dyDescent="0.35">
      <c r="A32" s="3" t="s">
        <v>35</v>
      </c>
      <c r="B32" s="4"/>
      <c r="C32" s="4">
        <v>21</v>
      </c>
    </row>
    <row r="33" spans="1:3" x14ac:dyDescent="0.35">
      <c r="A33" s="3" t="s">
        <v>36</v>
      </c>
      <c r="B33" s="4"/>
      <c r="C33" s="4">
        <v>34</v>
      </c>
    </row>
    <row r="34" spans="1:3" x14ac:dyDescent="0.35">
      <c r="A34" s="3" t="s">
        <v>37</v>
      </c>
      <c r="B34" s="4"/>
      <c r="C34" s="4">
        <v>8</v>
      </c>
    </row>
    <row r="35" spans="1:3" x14ac:dyDescent="0.35">
      <c r="A35" s="3" t="s">
        <v>38</v>
      </c>
      <c r="B35" s="4"/>
      <c r="C35" s="4">
        <v>19</v>
      </c>
    </row>
    <row r="36" spans="1:3" x14ac:dyDescent="0.35">
      <c r="A36" s="3" t="s">
        <v>39</v>
      </c>
      <c r="B36" s="4" t="s">
        <v>4</v>
      </c>
      <c r="C36" s="4">
        <v>12</v>
      </c>
    </row>
    <row r="37" spans="1:3" x14ac:dyDescent="0.35">
      <c r="A37" s="3" t="s">
        <v>40</v>
      </c>
      <c r="B37" s="4" t="s">
        <v>4</v>
      </c>
      <c r="C37" s="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1E02-DF13-400A-A561-A7B43C9A0D2E}">
  <dimension ref="A1:H318"/>
  <sheetViews>
    <sheetView workbookViewId="0">
      <selection activeCell="B5" sqref="B5"/>
    </sheetView>
  </sheetViews>
  <sheetFormatPr defaultColWidth="8.90625" defaultRowHeight="14.5" x14ac:dyDescent="0.35"/>
  <cols>
    <col min="1" max="1" width="11" style="34" bestFit="1" customWidth="1"/>
    <col min="2" max="2" width="44.1796875" customWidth="1"/>
    <col min="3" max="3" width="12.6328125" style="34" bestFit="1" customWidth="1"/>
    <col min="4" max="4" width="8.54296875" style="34" customWidth="1"/>
    <col min="5" max="5" width="9" style="34" customWidth="1"/>
    <col min="7" max="7" width="13.26953125" style="31" bestFit="1" customWidth="1"/>
    <col min="8" max="8" width="13.6328125" style="31" bestFit="1" customWidth="1"/>
  </cols>
  <sheetData>
    <row r="1" spans="1:8" ht="15.5" x14ac:dyDescent="0.35">
      <c r="A1" s="20" t="s">
        <v>244</v>
      </c>
      <c r="B1" s="21"/>
      <c r="C1" s="21"/>
      <c r="D1" s="22"/>
      <c r="E1" s="7">
        <f>SUBTOTAL(9,E3:E1048576)</f>
        <v>-544544</v>
      </c>
    </row>
    <row r="2" spans="1:8" ht="26" x14ac:dyDescent="0.35">
      <c r="A2" s="38" t="s">
        <v>41</v>
      </c>
      <c r="B2" s="23" t="s">
        <v>245</v>
      </c>
      <c r="C2" s="35" t="s">
        <v>246</v>
      </c>
      <c r="D2" s="24" t="s">
        <v>247</v>
      </c>
      <c r="E2" s="25" t="s">
        <v>248</v>
      </c>
    </row>
    <row r="3" spans="1:8" ht="15.5" x14ac:dyDescent="0.35">
      <c r="A3" s="32" t="s">
        <v>786</v>
      </c>
      <c r="B3" s="27" t="s">
        <v>787</v>
      </c>
      <c r="C3" s="32" t="s">
        <v>788</v>
      </c>
      <c r="D3" s="32">
        <v>25</v>
      </c>
      <c r="E3" s="32">
        <v>-326</v>
      </c>
      <c r="G3" s="41" t="s">
        <v>855</v>
      </c>
      <c r="H3" s="42" t="s">
        <v>248</v>
      </c>
    </row>
    <row r="4" spans="1:8" x14ac:dyDescent="0.35">
      <c r="A4" s="32" t="s">
        <v>789</v>
      </c>
      <c r="B4" s="27" t="s">
        <v>790</v>
      </c>
      <c r="C4" s="32" t="s">
        <v>788</v>
      </c>
      <c r="D4" s="32">
        <v>40</v>
      </c>
      <c r="E4" s="32">
        <v>-385</v>
      </c>
      <c r="G4" s="29" t="s">
        <v>788</v>
      </c>
      <c r="H4" s="36">
        <v>-18133</v>
      </c>
    </row>
    <row r="5" spans="1:8" x14ac:dyDescent="0.35">
      <c r="A5" s="32" t="s">
        <v>791</v>
      </c>
      <c r="B5" s="27" t="s">
        <v>792</v>
      </c>
      <c r="C5" s="32" t="s">
        <v>788</v>
      </c>
      <c r="D5" s="32">
        <v>15</v>
      </c>
      <c r="E5" s="32">
        <v>-123</v>
      </c>
      <c r="G5" s="29" t="s">
        <v>854</v>
      </c>
      <c r="H5" s="36">
        <v>-6195</v>
      </c>
    </row>
    <row r="6" spans="1:8" x14ac:dyDescent="0.35">
      <c r="A6" s="32" t="s">
        <v>811</v>
      </c>
      <c r="B6" s="27" t="s">
        <v>812</v>
      </c>
      <c r="C6" s="32" t="s">
        <v>788</v>
      </c>
      <c r="D6" s="32">
        <v>75</v>
      </c>
      <c r="E6" s="32">
        <v>-75</v>
      </c>
      <c r="G6" s="29" t="s">
        <v>849</v>
      </c>
      <c r="H6" s="36">
        <v>-837</v>
      </c>
    </row>
    <row r="7" spans="1:8" x14ac:dyDescent="0.35">
      <c r="A7" s="32" t="s">
        <v>816</v>
      </c>
      <c r="B7" s="26" t="s">
        <v>817</v>
      </c>
      <c r="C7" s="32" t="s">
        <v>788</v>
      </c>
      <c r="D7" s="32">
        <v>0</v>
      </c>
      <c r="E7" s="32">
        <v>-200</v>
      </c>
      <c r="G7" s="29" t="s">
        <v>783</v>
      </c>
      <c r="H7" s="36">
        <v>-175170</v>
      </c>
    </row>
    <row r="8" spans="1:8" x14ac:dyDescent="0.35">
      <c r="A8" s="32" t="s">
        <v>818</v>
      </c>
      <c r="B8" s="26" t="s">
        <v>819</v>
      </c>
      <c r="C8" s="32" t="s">
        <v>788</v>
      </c>
      <c r="D8" s="32">
        <v>25</v>
      </c>
      <c r="E8" s="32">
        <v>-15</v>
      </c>
      <c r="G8" s="29" t="s">
        <v>850</v>
      </c>
      <c r="H8" s="36">
        <v>-38244</v>
      </c>
    </row>
    <row r="9" spans="1:8" x14ac:dyDescent="0.35">
      <c r="A9" s="32" t="s">
        <v>820</v>
      </c>
      <c r="B9" s="27" t="s">
        <v>821</v>
      </c>
      <c r="C9" s="32" t="s">
        <v>788</v>
      </c>
      <c r="D9" s="32">
        <v>250</v>
      </c>
      <c r="E9" s="32">
        <v>-500</v>
      </c>
      <c r="G9" s="29" t="s">
        <v>851</v>
      </c>
      <c r="H9" s="36">
        <v>-1345</v>
      </c>
    </row>
    <row r="10" spans="1:8" x14ac:dyDescent="0.35">
      <c r="A10" s="32" t="s">
        <v>822</v>
      </c>
      <c r="B10" s="27" t="s">
        <v>823</v>
      </c>
      <c r="C10" s="32" t="s">
        <v>788</v>
      </c>
      <c r="D10" s="32">
        <v>250</v>
      </c>
      <c r="E10" s="32">
        <v>-250</v>
      </c>
      <c r="G10" s="29" t="s">
        <v>802</v>
      </c>
      <c r="H10" s="36">
        <v>-94654</v>
      </c>
    </row>
    <row r="11" spans="1:8" x14ac:dyDescent="0.35">
      <c r="A11" s="32" t="s">
        <v>824</v>
      </c>
      <c r="B11" s="27" t="s">
        <v>825</v>
      </c>
      <c r="C11" s="32" t="s">
        <v>788</v>
      </c>
      <c r="D11" s="32">
        <v>200</v>
      </c>
      <c r="E11" s="32">
        <v>-200</v>
      </c>
      <c r="G11" s="29" t="s">
        <v>852</v>
      </c>
      <c r="H11" s="36">
        <v>-33392</v>
      </c>
    </row>
    <row r="12" spans="1:8" x14ac:dyDescent="0.35">
      <c r="A12" s="32" t="s">
        <v>826</v>
      </c>
      <c r="B12" s="27" t="s">
        <v>827</v>
      </c>
      <c r="C12" s="32" t="s">
        <v>788</v>
      </c>
      <c r="D12" s="32">
        <v>200</v>
      </c>
      <c r="E12" s="32">
        <v>-200</v>
      </c>
      <c r="G12" s="29" t="s">
        <v>853</v>
      </c>
      <c r="H12" s="36">
        <v>-21</v>
      </c>
    </row>
    <row r="13" spans="1:8" x14ac:dyDescent="0.35">
      <c r="A13" s="32" t="s">
        <v>828</v>
      </c>
      <c r="B13" s="27" t="s">
        <v>829</v>
      </c>
      <c r="C13" s="32" t="s">
        <v>788</v>
      </c>
      <c r="D13" s="32">
        <v>0</v>
      </c>
      <c r="E13" s="32">
        <v>-200</v>
      </c>
      <c r="G13" s="29" t="s">
        <v>847</v>
      </c>
      <c r="H13" s="36">
        <v>-2046</v>
      </c>
    </row>
    <row r="14" spans="1:8" x14ac:dyDescent="0.35">
      <c r="A14" s="32" t="s">
        <v>703</v>
      </c>
      <c r="B14" s="27" t="s">
        <v>704</v>
      </c>
      <c r="C14" s="32" t="s">
        <v>788</v>
      </c>
      <c r="D14" s="32">
        <v>75</v>
      </c>
      <c r="E14" s="32">
        <v>-808</v>
      </c>
      <c r="G14" s="29" t="s">
        <v>834</v>
      </c>
      <c r="H14" s="36">
        <v>-64</v>
      </c>
    </row>
    <row r="15" spans="1:8" x14ac:dyDescent="0.35">
      <c r="A15" s="32" t="s">
        <v>705</v>
      </c>
      <c r="B15" s="27" t="s">
        <v>706</v>
      </c>
      <c r="C15" s="32" t="s">
        <v>788</v>
      </c>
      <c r="D15" s="32">
        <v>50</v>
      </c>
      <c r="E15" s="32">
        <v>-769</v>
      </c>
      <c r="G15" s="29" t="s">
        <v>843</v>
      </c>
      <c r="H15" s="36">
        <v>-174223</v>
      </c>
    </row>
    <row r="16" spans="1:8" x14ac:dyDescent="0.35">
      <c r="A16" s="32" t="s">
        <v>707</v>
      </c>
      <c r="B16" s="27" t="s">
        <v>708</v>
      </c>
      <c r="C16" s="32" t="s">
        <v>788</v>
      </c>
      <c r="D16" s="32">
        <v>400</v>
      </c>
      <c r="E16" s="32">
        <v>-305</v>
      </c>
      <c r="G16" s="29" t="s">
        <v>745</v>
      </c>
      <c r="H16" s="36">
        <v>-220</v>
      </c>
    </row>
    <row r="17" spans="1:8" ht="15.5" x14ac:dyDescent="0.35">
      <c r="A17" s="32" t="s">
        <v>709</v>
      </c>
      <c r="B17" s="27" t="s">
        <v>710</v>
      </c>
      <c r="C17" s="32" t="s">
        <v>788</v>
      </c>
      <c r="D17" s="32">
        <v>50</v>
      </c>
      <c r="E17" s="32">
        <v>-482</v>
      </c>
      <c r="G17" s="41" t="s">
        <v>848</v>
      </c>
      <c r="H17" s="43">
        <f>SUM(H4:H16)</f>
        <v>-544544</v>
      </c>
    </row>
    <row r="18" spans="1:8" x14ac:dyDescent="0.35">
      <c r="A18" s="32" t="s">
        <v>711</v>
      </c>
      <c r="B18" s="27" t="s">
        <v>712</v>
      </c>
      <c r="C18" s="32" t="s">
        <v>788</v>
      </c>
      <c r="D18" s="32">
        <v>150</v>
      </c>
      <c r="E18" s="32">
        <v>-46</v>
      </c>
    </row>
    <row r="19" spans="1:8" x14ac:dyDescent="0.35">
      <c r="A19" s="32" t="s">
        <v>713</v>
      </c>
      <c r="B19" s="27" t="s">
        <v>714</v>
      </c>
      <c r="C19" s="32" t="s">
        <v>788</v>
      </c>
      <c r="D19" s="32">
        <v>25</v>
      </c>
      <c r="E19" s="32">
        <v>-220</v>
      </c>
    </row>
    <row r="20" spans="1:8" x14ac:dyDescent="0.35">
      <c r="A20" s="32" t="s">
        <v>715</v>
      </c>
      <c r="B20" s="27" t="s">
        <v>716</v>
      </c>
      <c r="C20" s="32" t="s">
        <v>788</v>
      </c>
      <c r="D20" s="32">
        <v>8</v>
      </c>
      <c r="E20" s="32">
        <v>-1</v>
      </c>
    </row>
    <row r="21" spans="1:8" x14ac:dyDescent="0.35">
      <c r="A21" s="32" t="s">
        <v>717</v>
      </c>
      <c r="B21" s="27" t="s">
        <v>718</v>
      </c>
      <c r="C21" s="32" t="s">
        <v>788</v>
      </c>
      <c r="D21" s="32">
        <v>45</v>
      </c>
      <c r="E21" s="32">
        <v>-353</v>
      </c>
    </row>
    <row r="22" spans="1:8" x14ac:dyDescent="0.35">
      <c r="A22" s="32" t="s">
        <v>719</v>
      </c>
      <c r="B22" s="27" t="s">
        <v>720</v>
      </c>
      <c r="C22" s="32" t="s">
        <v>788</v>
      </c>
      <c r="D22" s="32">
        <v>250</v>
      </c>
      <c r="E22" s="32">
        <v>-3057</v>
      </c>
    </row>
    <row r="23" spans="1:8" x14ac:dyDescent="0.35">
      <c r="A23" s="32" t="s">
        <v>721</v>
      </c>
      <c r="B23" s="27" t="s">
        <v>722</v>
      </c>
      <c r="C23" s="32" t="s">
        <v>788</v>
      </c>
      <c r="D23" s="32">
        <v>200</v>
      </c>
      <c r="E23" s="32">
        <v>-3255</v>
      </c>
    </row>
    <row r="24" spans="1:8" x14ac:dyDescent="0.35">
      <c r="A24" s="32" t="s">
        <v>723</v>
      </c>
      <c r="B24" s="27" t="s">
        <v>724</v>
      </c>
      <c r="C24" s="32" t="s">
        <v>788</v>
      </c>
      <c r="D24" s="32">
        <v>40</v>
      </c>
      <c r="E24" s="32">
        <v>-14</v>
      </c>
    </row>
    <row r="25" spans="1:8" x14ac:dyDescent="0.35">
      <c r="A25" s="32" t="s">
        <v>725</v>
      </c>
      <c r="B25" s="27" t="s">
        <v>726</v>
      </c>
      <c r="C25" s="32" t="s">
        <v>788</v>
      </c>
      <c r="D25" s="32">
        <v>225</v>
      </c>
      <c r="E25" s="32">
        <v>-526</v>
      </c>
    </row>
    <row r="26" spans="1:8" x14ac:dyDescent="0.35">
      <c r="A26" s="32" t="s">
        <v>727</v>
      </c>
      <c r="B26" s="27" t="s">
        <v>728</v>
      </c>
      <c r="C26" s="32" t="s">
        <v>788</v>
      </c>
      <c r="D26" s="32">
        <v>75</v>
      </c>
      <c r="E26" s="32">
        <v>-2751</v>
      </c>
    </row>
    <row r="27" spans="1:8" x14ac:dyDescent="0.35">
      <c r="A27" s="32" t="s">
        <v>729</v>
      </c>
      <c r="B27" s="27" t="s">
        <v>730</v>
      </c>
      <c r="C27" s="32" t="s">
        <v>788</v>
      </c>
      <c r="D27" s="32">
        <v>200</v>
      </c>
      <c r="E27" s="32">
        <v>-292</v>
      </c>
    </row>
    <row r="28" spans="1:8" x14ac:dyDescent="0.35">
      <c r="A28" s="32" t="s">
        <v>731</v>
      </c>
      <c r="B28" s="27" t="s">
        <v>732</v>
      </c>
      <c r="C28" s="32" t="s">
        <v>788</v>
      </c>
      <c r="D28" s="32">
        <v>40</v>
      </c>
      <c r="E28" s="32">
        <v>-22</v>
      </c>
    </row>
    <row r="29" spans="1:8" x14ac:dyDescent="0.35">
      <c r="A29" s="32" t="s">
        <v>733</v>
      </c>
      <c r="B29" s="27" t="s">
        <v>734</v>
      </c>
      <c r="C29" s="32" t="s">
        <v>788</v>
      </c>
      <c r="D29" s="32">
        <v>26</v>
      </c>
      <c r="E29" s="32">
        <v>-130</v>
      </c>
    </row>
    <row r="30" spans="1:8" x14ac:dyDescent="0.35">
      <c r="A30" s="32" t="s">
        <v>735</v>
      </c>
      <c r="B30" s="27" t="s">
        <v>736</v>
      </c>
      <c r="C30" s="32" t="s">
        <v>788</v>
      </c>
      <c r="D30" s="32">
        <v>24</v>
      </c>
      <c r="E30" s="32">
        <v>-32</v>
      </c>
    </row>
    <row r="31" spans="1:8" x14ac:dyDescent="0.35">
      <c r="A31" s="32" t="s">
        <v>737</v>
      </c>
      <c r="B31" s="27" t="s">
        <v>738</v>
      </c>
      <c r="C31" s="32" t="s">
        <v>788</v>
      </c>
      <c r="D31" s="32">
        <v>75</v>
      </c>
      <c r="E31" s="32">
        <v>-304</v>
      </c>
    </row>
    <row r="32" spans="1:8" x14ac:dyDescent="0.35">
      <c r="A32" s="32" t="s">
        <v>739</v>
      </c>
      <c r="B32" s="27" t="s">
        <v>740</v>
      </c>
      <c r="C32" s="32" t="s">
        <v>788</v>
      </c>
      <c r="D32" s="32">
        <v>21</v>
      </c>
      <c r="E32" s="32">
        <v>-71</v>
      </c>
    </row>
    <row r="33" spans="1:5" x14ac:dyDescent="0.35">
      <c r="A33" s="32" t="s">
        <v>756</v>
      </c>
      <c r="B33" s="27" t="s">
        <v>757</v>
      </c>
      <c r="C33" s="32" t="s">
        <v>788</v>
      </c>
      <c r="D33" s="32">
        <v>75</v>
      </c>
      <c r="E33" s="32">
        <v>-592</v>
      </c>
    </row>
    <row r="34" spans="1:5" x14ac:dyDescent="0.35">
      <c r="A34" s="32" t="s">
        <v>758</v>
      </c>
      <c r="B34" s="27" t="s">
        <v>759</v>
      </c>
      <c r="C34" s="32" t="s">
        <v>788</v>
      </c>
      <c r="D34" s="32">
        <v>150</v>
      </c>
      <c r="E34" s="32">
        <v>-1019</v>
      </c>
    </row>
    <row r="35" spans="1:5" x14ac:dyDescent="0.35">
      <c r="A35" s="32" t="s">
        <v>760</v>
      </c>
      <c r="B35" s="27" t="s">
        <v>761</v>
      </c>
      <c r="C35" s="32" t="s">
        <v>788</v>
      </c>
      <c r="D35" s="32">
        <v>100</v>
      </c>
      <c r="E35" s="32">
        <v>-243</v>
      </c>
    </row>
    <row r="36" spans="1:5" x14ac:dyDescent="0.35">
      <c r="A36" s="32" t="s">
        <v>762</v>
      </c>
      <c r="B36" s="27" t="s">
        <v>763</v>
      </c>
      <c r="C36" s="32" t="s">
        <v>788</v>
      </c>
      <c r="D36" s="32">
        <v>120</v>
      </c>
      <c r="E36" s="32">
        <v>-32</v>
      </c>
    </row>
    <row r="37" spans="1:5" x14ac:dyDescent="0.35">
      <c r="A37" s="32" t="s">
        <v>764</v>
      </c>
      <c r="B37" s="27" t="s">
        <v>765</v>
      </c>
      <c r="C37" s="32" t="s">
        <v>788</v>
      </c>
      <c r="D37" s="32">
        <v>50</v>
      </c>
      <c r="E37" s="32">
        <v>-162</v>
      </c>
    </row>
    <row r="38" spans="1:5" x14ac:dyDescent="0.35">
      <c r="A38" s="32" t="s">
        <v>770</v>
      </c>
      <c r="B38" s="27" t="s">
        <v>771</v>
      </c>
      <c r="C38" s="32" t="s">
        <v>788</v>
      </c>
      <c r="D38" s="32">
        <v>35</v>
      </c>
      <c r="E38" s="32">
        <v>-70</v>
      </c>
    </row>
    <row r="39" spans="1:5" x14ac:dyDescent="0.35">
      <c r="A39" s="32" t="s">
        <v>772</v>
      </c>
      <c r="B39" s="27" t="s">
        <v>773</v>
      </c>
      <c r="C39" s="32" t="s">
        <v>788</v>
      </c>
      <c r="D39" s="32">
        <v>55</v>
      </c>
      <c r="E39" s="32">
        <v>-103</v>
      </c>
    </row>
    <row r="40" spans="1:5" x14ac:dyDescent="0.35">
      <c r="A40" s="32" t="s">
        <v>669</v>
      </c>
      <c r="B40" s="27" t="s">
        <v>670</v>
      </c>
      <c r="C40" s="32" t="s">
        <v>846</v>
      </c>
      <c r="D40" s="32">
        <v>1</v>
      </c>
      <c r="E40" s="32">
        <v>-375</v>
      </c>
    </row>
    <row r="41" spans="1:5" x14ac:dyDescent="0.35">
      <c r="A41" s="32" t="s">
        <v>671</v>
      </c>
      <c r="B41" s="27" t="s">
        <v>672</v>
      </c>
      <c r="C41" s="32" t="s">
        <v>846</v>
      </c>
      <c r="D41" s="32">
        <v>1</v>
      </c>
      <c r="E41" s="32">
        <v>-515</v>
      </c>
    </row>
    <row r="42" spans="1:5" x14ac:dyDescent="0.35">
      <c r="A42" s="32" t="s">
        <v>673</v>
      </c>
      <c r="B42" s="27" t="s">
        <v>674</v>
      </c>
      <c r="C42" s="32" t="s">
        <v>846</v>
      </c>
      <c r="D42" s="32">
        <v>1</v>
      </c>
      <c r="E42" s="32">
        <v>-38</v>
      </c>
    </row>
    <row r="43" spans="1:5" x14ac:dyDescent="0.35">
      <c r="A43" s="32" t="s">
        <v>675</v>
      </c>
      <c r="B43" s="27" t="s">
        <v>676</v>
      </c>
      <c r="C43" s="32" t="s">
        <v>846</v>
      </c>
      <c r="D43" s="32">
        <v>1</v>
      </c>
      <c r="E43" s="32">
        <v>-662</v>
      </c>
    </row>
    <row r="44" spans="1:5" x14ac:dyDescent="0.35">
      <c r="A44" s="32" t="s">
        <v>677</v>
      </c>
      <c r="B44" s="27" t="s">
        <v>678</v>
      </c>
      <c r="C44" s="32" t="s">
        <v>846</v>
      </c>
      <c r="D44" s="32">
        <v>1</v>
      </c>
      <c r="E44" s="32">
        <v>-240</v>
      </c>
    </row>
    <row r="45" spans="1:5" x14ac:dyDescent="0.35">
      <c r="A45" s="32" t="s">
        <v>679</v>
      </c>
      <c r="B45" s="27" t="s">
        <v>680</v>
      </c>
      <c r="C45" s="32" t="s">
        <v>846</v>
      </c>
      <c r="D45" s="32">
        <v>1</v>
      </c>
      <c r="E45" s="32">
        <v>-10</v>
      </c>
    </row>
    <row r="46" spans="1:5" x14ac:dyDescent="0.35">
      <c r="A46" s="32" t="s">
        <v>681</v>
      </c>
      <c r="B46" s="27" t="s">
        <v>682</v>
      </c>
      <c r="C46" s="32" t="s">
        <v>846</v>
      </c>
      <c r="D46" s="32">
        <v>1</v>
      </c>
      <c r="E46" s="32">
        <v>-534</v>
      </c>
    </row>
    <row r="47" spans="1:5" x14ac:dyDescent="0.35">
      <c r="A47" s="32" t="s">
        <v>683</v>
      </c>
      <c r="B47" s="27" t="s">
        <v>684</v>
      </c>
      <c r="C47" s="32" t="s">
        <v>846</v>
      </c>
      <c r="D47" s="32">
        <v>1</v>
      </c>
      <c r="E47" s="32">
        <v>-482</v>
      </c>
    </row>
    <row r="48" spans="1:5" x14ac:dyDescent="0.35">
      <c r="A48" s="32" t="s">
        <v>685</v>
      </c>
      <c r="B48" s="27" t="s">
        <v>686</v>
      </c>
      <c r="C48" s="32" t="s">
        <v>846</v>
      </c>
      <c r="D48" s="32">
        <v>1</v>
      </c>
      <c r="E48" s="32">
        <v>-4</v>
      </c>
    </row>
    <row r="49" spans="1:5" x14ac:dyDescent="0.35">
      <c r="A49" s="32" t="s">
        <v>687</v>
      </c>
      <c r="B49" s="27" t="s">
        <v>688</v>
      </c>
      <c r="C49" s="32" t="s">
        <v>846</v>
      </c>
      <c r="D49" s="32">
        <v>1</v>
      </c>
      <c r="E49" s="32">
        <v>-583</v>
      </c>
    </row>
    <row r="50" spans="1:5" x14ac:dyDescent="0.35">
      <c r="A50" s="32" t="s">
        <v>689</v>
      </c>
      <c r="B50" s="27" t="s">
        <v>690</v>
      </c>
      <c r="C50" s="32" t="s">
        <v>846</v>
      </c>
      <c r="D50" s="32">
        <v>1</v>
      </c>
      <c r="E50" s="32">
        <v>-154</v>
      </c>
    </row>
    <row r="51" spans="1:5" x14ac:dyDescent="0.35">
      <c r="A51" s="32" t="s">
        <v>691</v>
      </c>
      <c r="B51" s="27" t="s">
        <v>692</v>
      </c>
      <c r="C51" s="32" t="s">
        <v>846</v>
      </c>
      <c r="D51" s="32">
        <v>1</v>
      </c>
      <c r="E51" s="32">
        <v>-107</v>
      </c>
    </row>
    <row r="52" spans="1:5" x14ac:dyDescent="0.35">
      <c r="A52" s="32" t="s">
        <v>693</v>
      </c>
      <c r="B52" s="27" t="s">
        <v>694</v>
      </c>
      <c r="C52" s="32" t="s">
        <v>846</v>
      </c>
      <c r="D52" s="32">
        <v>1</v>
      </c>
      <c r="E52" s="32">
        <v>-34</v>
      </c>
    </row>
    <row r="53" spans="1:5" x14ac:dyDescent="0.35">
      <c r="A53" s="39" t="s">
        <v>695</v>
      </c>
      <c r="B53" s="27" t="s">
        <v>696</v>
      </c>
      <c r="C53" s="32" t="s">
        <v>846</v>
      </c>
      <c r="D53" s="32">
        <v>1</v>
      </c>
      <c r="E53" s="32">
        <v>-73</v>
      </c>
    </row>
    <row r="54" spans="1:5" x14ac:dyDescent="0.35">
      <c r="A54" s="32" t="s">
        <v>697</v>
      </c>
      <c r="B54" s="27" t="s">
        <v>698</v>
      </c>
      <c r="C54" s="32" t="s">
        <v>846</v>
      </c>
      <c r="D54" s="32">
        <v>1</v>
      </c>
      <c r="E54" s="32">
        <v>-15</v>
      </c>
    </row>
    <row r="55" spans="1:5" x14ac:dyDescent="0.35">
      <c r="A55" s="39" t="s">
        <v>699</v>
      </c>
      <c r="B55" s="27" t="s">
        <v>700</v>
      </c>
      <c r="C55" s="32" t="s">
        <v>846</v>
      </c>
      <c r="D55" s="32">
        <v>1</v>
      </c>
      <c r="E55" s="32">
        <v>-252</v>
      </c>
    </row>
    <row r="56" spans="1:5" x14ac:dyDescent="0.35">
      <c r="A56" s="32" t="s">
        <v>701</v>
      </c>
      <c r="B56" s="27" t="s">
        <v>702</v>
      </c>
      <c r="C56" s="32" t="s">
        <v>846</v>
      </c>
      <c r="D56" s="32">
        <v>1</v>
      </c>
      <c r="E56" s="32">
        <v>-119</v>
      </c>
    </row>
    <row r="57" spans="1:5" x14ac:dyDescent="0.35">
      <c r="A57" s="32" t="s">
        <v>748</v>
      </c>
      <c r="B57" s="27" t="s">
        <v>749</v>
      </c>
      <c r="C57" s="32" t="s">
        <v>846</v>
      </c>
      <c r="D57" s="32">
        <v>1</v>
      </c>
      <c r="E57" s="32">
        <v>-1421</v>
      </c>
    </row>
    <row r="58" spans="1:5" x14ac:dyDescent="0.35">
      <c r="A58" s="32" t="s">
        <v>750</v>
      </c>
      <c r="B58" s="27" t="s">
        <v>751</v>
      </c>
      <c r="C58" s="32" t="s">
        <v>846</v>
      </c>
      <c r="D58" s="32">
        <v>1</v>
      </c>
      <c r="E58" s="32">
        <v>-15</v>
      </c>
    </row>
    <row r="59" spans="1:5" x14ac:dyDescent="0.35">
      <c r="A59" s="32" t="s">
        <v>752</v>
      </c>
      <c r="B59" s="27" t="s">
        <v>753</v>
      </c>
      <c r="C59" s="32" t="s">
        <v>846</v>
      </c>
      <c r="D59" s="32">
        <v>1</v>
      </c>
      <c r="E59" s="32">
        <v>-8</v>
      </c>
    </row>
    <row r="60" spans="1:5" x14ac:dyDescent="0.35">
      <c r="A60" s="32" t="s">
        <v>754</v>
      </c>
      <c r="B60" s="27" t="s">
        <v>755</v>
      </c>
      <c r="C60" s="32" t="s">
        <v>846</v>
      </c>
      <c r="D60" s="32">
        <v>1</v>
      </c>
      <c r="E60" s="32">
        <v>-300</v>
      </c>
    </row>
    <row r="61" spans="1:5" x14ac:dyDescent="0.35">
      <c r="A61" s="32" t="s">
        <v>803</v>
      </c>
      <c r="B61" s="27" t="s">
        <v>804</v>
      </c>
      <c r="C61" s="32" t="s">
        <v>846</v>
      </c>
      <c r="D61" s="32">
        <v>1</v>
      </c>
      <c r="E61" s="32">
        <v>-98</v>
      </c>
    </row>
    <row r="62" spans="1:5" x14ac:dyDescent="0.35">
      <c r="A62" s="32" t="s">
        <v>805</v>
      </c>
      <c r="B62" s="27" t="s">
        <v>806</v>
      </c>
      <c r="C62" s="32" t="s">
        <v>846</v>
      </c>
      <c r="D62" s="32">
        <v>1</v>
      </c>
      <c r="E62" s="32">
        <v>-55</v>
      </c>
    </row>
    <row r="63" spans="1:5" x14ac:dyDescent="0.35">
      <c r="A63" s="32" t="s">
        <v>807</v>
      </c>
      <c r="B63" s="27" t="s">
        <v>808</v>
      </c>
      <c r="C63" s="32" t="s">
        <v>846</v>
      </c>
      <c r="D63" s="32">
        <v>1</v>
      </c>
      <c r="E63" s="32">
        <v>-38</v>
      </c>
    </row>
    <row r="64" spans="1:5" x14ac:dyDescent="0.35">
      <c r="A64" s="32" t="s">
        <v>809</v>
      </c>
      <c r="B64" s="27" t="s">
        <v>810</v>
      </c>
      <c r="C64" s="32" t="s">
        <v>846</v>
      </c>
      <c r="D64" s="32">
        <v>1</v>
      </c>
      <c r="E64" s="32">
        <v>-63</v>
      </c>
    </row>
    <row r="65" spans="1:5" x14ac:dyDescent="0.35">
      <c r="A65" s="32" t="s">
        <v>741</v>
      </c>
      <c r="B65" s="27" t="s">
        <v>742</v>
      </c>
      <c r="C65" s="32" t="s">
        <v>849</v>
      </c>
      <c r="D65" s="32">
        <v>96</v>
      </c>
      <c r="E65" s="32">
        <v>-837</v>
      </c>
    </row>
    <row r="66" spans="1:5" x14ac:dyDescent="0.35">
      <c r="A66" s="32" t="s">
        <v>781</v>
      </c>
      <c r="B66" s="27" t="s">
        <v>782</v>
      </c>
      <c r="C66" s="32" t="s">
        <v>783</v>
      </c>
      <c r="D66" s="32">
        <v>32</v>
      </c>
      <c r="E66" s="32">
        <v>-352</v>
      </c>
    </row>
    <row r="67" spans="1:5" x14ac:dyDescent="0.35">
      <c r="A67" s="32" t="s">
        <v>830</v>
      </c>
      <c r="B67" s="30" t="s">
        <v>831</v>
      </c>
      <c r="C67" s="32" t="s">
        <v>783</v>
      </c>
      <c r="D67" s="32">
        <v>24</v>
      </c>
      <c r="E67" s="32">
        <v>-131</v>
      </c>
    </row>
    <row r="68" spans="1:5" x14ac:dyDescent="0.35">
      <c r="A68" s="32" t="s">
        <v>844</v>
      </c>
      <c r="B68" s="26" t="s">
        <v>845</v>
      </c>
      <c r="C68" s="32" t="s">
        <v>783</v>
      </c>
      <c r="D68" s="32">
        <v>1</v>
      </c>
      <c r="E68" s="32">
        <v>-45</v>
      </c>
    </row>
    <row r="69" spans="1:5" x14ac:dyDescent="0.35">
      <c r="A69" s="32" t="s">
        <v>268</v>
      </c>
      <c r="B69" s="27" t="s">
        <v>269</v>
      </c>
      <c r="C69" s="32" t="s">
        <v>783</v>
      </c>
      <c r="D69" s="32">
        <v>15</v>
      </c>
      <c r="E69" s="32">
        <v>-243</v>
      </c>
    </row>
    <row r="70" spans="1:5" x14ac:dyDescent="0.35">
      <c r="A70" s="32" t="s">
        <v>270</v>
      </c>
      <c r="B70" s="27" t="s">
        <v>271</v>
      </c>
      <c r="C70" s="32" t="s">
        <v>783</v>
      </c>
      <c r="D70" s="32">
        <v>44</v>
      </c>
      <c r="E70" s="32">
        <v>-1085</v>
      </c>
    </row>
    <row r="71" spans="1:5" x14ac:dyDescent="0.35">
      <c r="A71" s="32" t="s">
        <v>272</v>
      </c>
      <c r="B71" s="27" t="s">
        <v>273</v>
      </c>
      <c r="C71" s="32" t="s">
        <v>783</v>
      </c>
      <c r="D71" s="32">
        <v>100</v>
      </c>
      <c r="E71" s="32">
        <v>-1451</v>
      </c>
    </row>
    <row r="72" spans="1:5" x14ac:dyDescent="0.35">
      <c r="A72" s="32" t="s">
        <v>274</v>
      </c>
      <c r="B72" s="27" t="s">
        <v>275</v>
      </c>
      <c r="C72" s="32" t="s">
        <v>783</v>
      </c>
      <c r="D72" s="32">
        <v>70</v>
      </c>
      <c r="E72" s="32">
        <v>-1580</v>
      </c>
    </row>
    <row r="73" spans="1:5" x14ac:dyDescent="0.35">
      <c r="A73" s="32" t="s">
        <v>276</v>
      </c>
      <c r="B73" s="27" t="s">
        <v>277</v>
      </c>
      <c r="C73" s="32" t="s">
        <v>783</v>
      </c>
      <c r="D73" s="32">
        <v>40</v>
      </c>
      <c r="E73" s="32">
        <v>-755</v>
      </c>
    </row>
    <row r="74" spans="1:5" x14ac:dyDescent="0.35">
      <c r="A74" s="32" t="s">
        <v>278</v>
      </c>
      <c r="B74" s="27" t="s">
        <v>279</v>
      </c>
      <c r="C74" s="32" t="s">
        <v>783</v>
      </c>
      <c r="D74" s="32">
        <v>15</v>
      </c>
      <c r="E74" s="32">
        <v>-30</v>
      </c>
    </row>
    <row r="75" spans="1:5" x14ac:dyDescent="0.35">
      <c r="A75" s="32" t="s">
        <v>280</v>
      </c>
      <c r="B75" s="27" t="s">
        <v>281</v>
      </c>
      <c r="C75" s="32" t="s">
        <v>783</v>
      </c>
      <c r="D75" s="32">
        <v>150</v>
      </c>
      <c r="E75" s="32">
        <v>-968</v>
      </c>
    </row>
    <row r="76" spans="1:5" x14ac:dyDescent="0.35">
      <c r="A76" s="32" t="s">
        <v>282</v>
      </c>
      <c r="B76" s="27" t="s">
        <v>283</v>
      </c>
      <c r="C76" s="32" t="s">
        <v>783</v>
      </c>
      <c r="D76" s="32">
        <v>100</v>
      </c>
      <c r="E76" s="32">
        <v>-2532</v>
      </c>
    </row>
    <row r="77" spans="1:5" x14ac:dyDescent="0.35">
      <c r="A77" s="32" t="s">
        <v>284</v>
      </c>
      <c r="B77" s="27" t="s">
        <v>285</v>
      </c>
      <c r="C77" s="32" t="s">
        <v>783</v>
      </c>
      <c r="D77" s="32">
        <v>600</v>
      </c>
      <c r="E77" s="32">
        <v>-7518</v>
      </c>
    </row>
    <row r="78" spans="1:5" x14ac:dyDescent="0.35">
      <c r="A78" s="32" t="s">
        <v>286</v>
      </c>
      <c r="B78" s="27" t="s">
        <v>287</v>
      </c>
      <c r="C78" s="32" t="s">
        <v>783</v>
      </c>
      <c r="D78" s="32">
        <v>600</v>
      </c>
      <c r="E78" s="32">
        <v>-12920</v>
      </c>
    </row>
    <row r="79" spans="1:5" x14ac:dyDescent="0.35">
      <c r="A79" s="32" t="s">
        <v>288</v>
      </c>
      <c r="B79" s="27" t="s">
        <v>289</v>
      </c>
      <c r="C79" s="32" t="s">
        <v>783</v>
      </c>
      <c r="D79" s="32">
        <v>200</v>
      </c>
      <c r="E79" s="32">
        <v>-1105</v>
      </c>
    </row>
    <row r="80" spans="1:5" x14ac:dyDescent="0.35">
      <c r="A80" s="32" t="s">
        <v>290</v>
      </c>
      <c r="B80" s="27" t="s">
        <v>291</v>
      </c>
      <c r="C80" s="32" t="s">
        <v>783</v>
      </c>
      <c r="D80" s="32">
        <v>18</v>
      </c>
      <c r="E80" s="32">
        <v>-17</v>
      </c>
    </row>
    <row r="81" spans="1:5" x14ac:dyDescent="0.35">
      <c r="A81" s="32" t="s">
        <v>292</v>
      </c>
      <c r="B81" s="27" t="s">
        <v>293</v>
      </c>
      <c r="C81" s="32" t="s">
        <v>783</v>
      </c>
      <c r="D81" s="32">
        <v>800</v>
      </c>
      <c r="E81" s="32">
        <v>-40769</v>
      </c>
    </row>
    <row r="82" spans="1:5" x14ac:dyDescent="0.35">
      <c r="A82" s="32" t="s">
        <v>294</v>
      </c>
      <c r="B82" s="27" t="s">
        <v>295</v>
      </c>
      <c r="C82" s="32" t="s">
        <v>783</v>
      </c>
      <c r="D82" s="32">
        <v>400</v>
      </c>
      <c r="E82" s="32">
        <v>-31688</v>
      </c>
    </row>
    <row r="83" spans="1:5" x14ac:dyDescent="0.35">
      <c r="A83" s="32" t="s">
        <v>296</v>
      </c>
      <c r="B83" s="27" t="s">
        <v>297</v>
      </c>
      <c r="C83" s="32" t="s">
        <v>783</v>
      </c>
      <c r="D83" s="32">
        <v>500</v>
      </c>
      <c r="E83" s="32">
        <v>-6942</v>
      </c>
    </row>
    <row r="84" spans="1:5" x14ac:dyDescent="0.35">
      <c r="A84" s="32" t="s">
        <v>298</v>
      </c>
      <c r="B84" s="27" t="s">
        <v>299</v>
      </c>
      <c r="C84" s="32" t="s">
        <v>783</v>
      </c>
      <c r="D84" s="32">
        <v>300</v>
      </c>
      <c r="E84" s="32">
        <v>-7445</v>
      </c>
    </row>
    <row r="85" spans="1:5" x14ac:dyDescent="0.35">
      <c r="A85" s="32" t="s">
        <v>300</v>
      </c>
      <c r="B85" s="27" t="s">
        <v>301</v>
      </c>
      <c r="C85" s="32" t="s">
        <v>783</v>
      </c>
      <c r="D85" s="32">
        <v>150</v>
      </c>
      <c r="E85" s="32">
        <v>-170</v>
      </c>
    </row>
    <row r="86" spans="1:5" x14ac:dyDescent="0.35">
      <c r="A86" s="32" t="s">
        <v>302</v>
      </c>
      <c r="B86" s="27" t="s">
        <v>303</v>
      </c>
      <c r="C86" s="32" t="s">
        <v>783</v>
      </c>
      <c r="D86" s="32">
        <v>50</v>
      </c>
      <c r="E86" s="32">
        <v>-1248</v>
      </c>
    </row>
    <row r="87" spans="1:5" x14ac:dyDescent="0.35">
      <c r="A87" s="32" t="s">
        <v>304</v>
      </c>
      <c r="B87" s="27" t="s">
        <v>305</v>
      </c>
      <c r="C87" s="32" t="s">
        <v>783</v>
      </c>
      <c r="D87" s="32">
        <v>25</v>
      </c>
      <c r="E87" s="32">
        <v>-228</v>
      </c>
    </row>
    <row r="88" spans="1:5" x14ac:dyDescent="0.35">
      <c r="A88" s="32" t="s">
        <v>306</v>
      </c>
      <c r="B88" s="27" t="s">
        <v>307</v>
      </c>
      <c r="C88" s="32" t="s">
        <v>783</v>
      </c>
      <c r="D88" s="32">
        <v>200</v>
      </c>
      <c r="E88" s="32">
        <v>-623</v>
      </c>
    </row>
    <row r="89" spans="1:5" x14ac:dyDescent="0.35">
      <c r="A89" s="32" t="s">
        <v>308</v>
      </c>
      <c r="B89" s="27" t="s">
        <v>309</v>
      </c>
      <c r="C89" s="32" t="s">
        <v>783</v>
      </c>
      <c r="D89" s="32">
        <v>300</v>
      </c>
      <c r="E89" s="32">
        <v>-3086</v>
      </c>
    </row>
    <row r="90" spans="1:5" x14ac:dyDescent="0.35">
      <c r="A90" s="32" t="s">
        <v>310</v>
      </c>
      <c r="B90" s="27" t="s">
        <v>311</v>
      </c>
      <c r="C90" s="32" t="s">
        <v>783</v>
      </c>
      <c r="D90" s="32">
        <v>200</v>
      </c>
      <c r="E90" s="32">
        <v>-24</v>
      </c>
    </row>
    <row r="91" spans="1:5" x14ac:dyDescent="0.35">
      <c r="A91" s="32" t="s">
        <v>312</v>
      </c>
      <c r="B91" s="27" t="s">
        <v>313</v>
      </c>
      <c r="C91" s="32" t="s">
        <v>783</v>
      </c>
      <c r="D91" s="32">
        <v>50</v>
      </c>
      <c r="E91" s="32">
        <v>-3989</v>
      </c>
    </row>
    <row r="92" spans="1:5" x14ac:dyDescent="0.35">
      <c r="A92" s="32" t="s">
        <v>314</v>
      </c>
      <c r="B92" s="27" t="s">
        <v>315</v>
      </c>
      <c r="C92" s="32" t="s">
        <v>783</v>
      </c>
      <c r="D92" s="32">
        <v>40</v>
      </c>
      <c r="E92" s="32">
        <v>-551</v>
      </c>
    </row>
    <row r="93" spans="1:5" x14ac:dyDescent="0.35">
      <c r="A93" s="32" t="s">
        <v>316</v>
      </c>
      <c r="B93" s="27" t="s">
        <v>317</v>
      </c>
      <c r="C93" s="32" t="s">
        <v>783</v>
      </c>
      <c r="D93" s="32">
        <v>30</v>
      </c>
      <c r="E93" s="32">
        <v>-200</v>
      </c>
    </row>
    <row r="94" spans="1:5" x14ac:dyDescent="0.35">
      <c r="A94" s="32" t="s">
        <v>318</v>
      </c>
      <c r="B94" s="27" t="s">
        <v>319</v>
      </c>
      <c r="C94" s="32" t="s">
        <v>783</v>
      </c>
      <c r="D94" s="32">
        <v>20</v>
      </c>
      <c r="E94" s="32">
        <v>-87</v>
      </c>
    </row>
    <row r="95" spans="1:5" x14ac:dyDescent="0.35">
      <c r="A95" s="32" t="s">
        <v>320</v>
      </c>
      <c r="B95" s="27" t="s">
        <v>321</v>
      </c>
      <c r="C95" s="32" t="s">
        <v>783</v>
      </c>
      <c r="D95" s="32">
        <v>50</v>
      </c>
      <c r="E95" s="32">
        <v>-57</v>
      </c>
    </row>
    <row r="96" spans="1:5" x14ac:dyDescent="0.35">
      <c r="A96" s="32" t="s">
        <v>322</v>
      </c>
      <c r="B96" s="27" t="s">
        <v>323</v>
      </c>
      <c r="C96" s="32" t="s">
        <v>783</v>
      </c>
      <c r="D96" s="32">
        <v>40</v>
      </c>
      <c r="E96" s="32">
        <v>-70</v>
      </c>
    </row>
    <row r="97" spans="1:5" x14ac:dyDescent="0.35">
      <c r="A97" s="32" t="s">
        <v>324</v>
      </c>
      <c r="B97" s="27" t="s">
        <v>325</v>
      </c>
      <c r="C97" s="32" t="s">
        <v>783</v>
      </c>
      <c r="D97" s="32">
        <v>30</v>
      </c>
      <c r="E97" s="32">
        <v>-76</v>
      </c>
    </row>
    <row r="98" spans="1:5" x14ac:dyDescent="0.35">
      <c r="A98" s="32" t="s">
        <v>326</v>
      </c>
      <c r="B98" s="27" t="s">
        <v>327</v>
      </c>
      <c r="C98" s="32" t="s">
        <v>783</v>
      </c>
      <c r="D98" s="32">
        <v>100</v>
      </c>
      <c r="E98" s="32">
        <v>-5387</v>
      </c>
    </row>
    <row r="99" spans="1:5" x14ac:dyDescent="0.35">
      <c r="A99" s="32" t="s">
        <v>328</v>
      </c>
      <c r="B99" s="27" t="s">
        <v>329</v>
      </c>
      <c r="C99" s="32" t="s">
        <v>783</v>
      </c>
      <c r="D99" s="32">
        <v>75</v>
      </c>
      <c r="E99" s="32">
        <v>-893</v>
      </c>
    </row>
    <row r="100" spans="1:5" x14ac:dyDescent="0.35">
      <c r="A100" s="32" t="s">
        <v>330</v>
      </c>
      <c r="B100" s="27" t="s">
        <v>331</v>
      </c>
      <c r="C100" s="32" t="s">
        <v>783</v>
      </c>
      <c r="D100" s="32">
        <v>200</v>
      </c>
      <c r="E100" s="32">
        <v>-1324</v>
      </c>
    </row>
    <row r="101" spans="1:5" x14ac:dyDescent="0.35">
      <c r="A101" s="32" t="s">
        <v>332</v>
      </c>
      <c r="B101" s="27" t="s">
        <v>333</v>
      </c>
      <c r="C101" s="32" t="s">
        <v>783</v>
      </c>
      <c r="D101" s="32">
        <v>60</v>
      </c>
      <c r="E101" s="32">
        <v>-292</v>
      </c>
    </row>
    <row r="102" spans="1:5" x14ac:dyDescent="0.35">
      <c r="A102" s="32" t="s">
        <v>334</v>
      </c>
      <c r="B102" s="27" t="s">
        <v>335</v>
      </c>
      <c r="C102" s="32" t="s">
        <v>783</v>
      </c>
      <c r="D102" s="32">
        <v>150</v>
      </c>
      <c r="E102" s="32">
        <v>-7909</v>
      </c>
    </row>
    <row r="103" spans="1:5" x14ac:dyDescent="0.35">
      <c r="A103" s="32" t="s">
        <v>336</v>
      </c>
      <c r="B103" s="27" t="s">
        <v>337</v>
      </c>
      <c r="C103" s="32" t="s">
        <v>783</v>
      </c>
      <c r="D103" s="32">
        <v>100</v>
      </c>
      <c r="E103" s="32">
        <v>-11001</v>
      </c>
    </row>
    <row r="104" spans="1:5" x14ac:dyDescent="0.35">
      <c r="A104" s="32" t="s">
        <v>338</v>
      </c>
      <c r="B104" s="27" t="s">
        <v>339</v>
      </c>
      <c r="C104" s="32" t="s">
        <v>783</v>
      </c>
      <c r="D104" s="32">
        <v>75</v>
      </c>
      <c r="E104" s="32">
        <v>-533</v>
      </c>
    </row>
    <row r="105" spans="1:5" x14ac:dyDescent="0.35">
      <c r="A105" s="32" t="s">
        <v>340</v>
      </c>
      <c r="B105" s="27" t="s">
        <v>341</v>
      </c>
      <c r="C105" s="32" t="s">
        <v>783</v>
      </c>
      <c r="D105" s="32">
        <v>40</v>
      </c>
      <c r="E105" s="32">
        <v>-82</v>
      </c>
    </row>
    <row r="106" spans="1:5" x14ac:dyDescent="0.35">
      <c r="A106" s="32" t="s">
        <v>342</v>
      </c>
      <c r="B106" s="27" t="s">
        <v>343</v>
      </c>
      <c r="C106" s="32" t="s">
        <v>783</v>
      </c>
      <c r="D106" s="32">
        <v>1000</v>
      </c>
      <c r="E106" s="32">
        <v>-809</v>
      </c>
    </row>
    <row r="107" spans="1:5" x14ac:dyDescent="0.35">
      <c r="A107" s="32" t="s">
        <v>344</v>
      </c>
      <c r="B107" s="27" t="s">
        <v>345</v>
      </c>
      <c r="C107" s="32" t="s">
        <v>783</v>
      </c>
      <c r="D107" s="32">
        <v>100</v>
      </c>
      <c r="E107" s="32">
        <v>-237</v>
      </c>
    </row>
    <row r="108" spans="1:5" x14ac:dyDescent="0.35">
      <c r="A108" s="32" t="s">
        <v>346</v>
      </c>
      <c r="B108" s="27" t="s">
        <v>347</v>
      </c>
      <c r="C108" s="32" t="s">
        <v>783</v>
      </c>
      <c r="D108" s="32">
        <v>100</v>
      </c>
      <c r="E108" s="32">
        <v>-1907</v>
      </c>
    </row>
    <row r="109" spans="1:5" x14ac:dyDescent="0.35">
      <c r="A109" s="32" t="s">
        <v>348</v>
      </c>
      <c r="B109" s="27" t="s">
        <v>349</v>
      </c>
      <c r="C109" s="32" t="s">
        <v>783</v>
      </c>
      <c r="D109" s="32">
        <v>600</v>
      </c>
      <c r="E109" s="32">
        <v>-1196</v>
      </c>
    </row>
    <row r="110" spans="1:5" x14ac:dyDescent="0.35">
      <c r="A110" s="32" t="s">
        <v>350</v>
      </c>
      <c r="B110" s="27" t="s">
        <v>351</v>
      </c>
      <c r="C110" s="32" t="s">
        <v>783</v>
      </c>
      <c r="D110" s="32">
        <v>300</v>
      </c>
      <c r="E110" s="32">
        <v>-1459</v>
      </c>
    </row>
    <row r="111" spans="1:5" x14ac:dyDescent="0.35">
      <c r="A111" s="32" t="s">
        <v>352</v>
      </c>
      <c r="B111" s="27" t="s">
        <v>353</v>
      </c>
      <c r="C111" s="32" t="s">
        <v>783</v>
      </c>
      <c r="D111" s="32">
        <v>200</v>
      </c>
      <c r="E111" s="32">
        <v>-162</v>
      </c>
    </row>
    <row r="112" spans="1:5" x14ac:dyDescent="0.35">
      <c r="A112" s="32" t="s">
        <v>354</v>
      </c>
      <c r="B112" s="27" t="s">
        <v>355</v>
      </c>
      <c r="C112" s="32" t="s">
        <v>783</v>
      </c>
      <c r="D112" s="32">
        <v>200</v>
      </c>
      <c r="E112" s="32">
        <v>-8004</v>
      </c>
    </row>
    <row r="113" spans="1:5" x14ac:dyDescent="0.35">
      <c r="A113" s="32" t="s">
        <v>356</v>
      </c>
      <c r="B113" s="27" t="s">
        <v>357</v>
      </c>
      <c r="C113" s="32" t="s">
        <v>783</v>
      </c>
      <c r="D113" s="32">
        <v>400</v>
      </c>
      <c r="E113" s="32">
        <v>-1796</v>
      </c>
    </row>
    <row r="114" spans="1:5" x14ac:dyDescent="0.35">
      <c r="A114" s="32" t="s">
        <v>358</v>
      </c>
      <c r="B114" s="27" t="s">
        <v>359</v>
      </c>
      <c r="C114" s="32" t="s">
        <v>783</v>
      </c>
      <c r="D114" s="32">
        <v>200</v>
      </c>
      <c r="E114" s="32">
        <v>-28</v>
      </c>
    </row>
    <row r="115" spans="1:5" x14ac:dyDescent="0.35">
      <c r="A115" s="32" t="s">
        <v>360</v>
      </c>
      <c r="B115" s="27" t="s">
        <v>361</v>
      </c>
      <c r="C115" s="32" t="s">
        <v>783</v>
      </c>
      <c r="D115" s="32">
        <v>32</v>
      </c>
      <c r="E115" s="32">
        <v>-256</v>
      </c>
    </row>
    <row r="116" spans="1:5" x14ac:dyDescent="0.35">
      <c r="A116" s="32" t="s">
        <v>362</v>
      </c>
      <c r="B116" s="27" t="s">
        <v>361</v>
      </c>
      <c r="C116" s="32" t="s">
        <v>783</v>
      </c>
      <c r="D116" s="32">
        <v>32</v>
      </c>
      <c r="E116" s="32">
        <v>-856</v>
      </c>
    </row>
    <row r="117" spans="1:5" x14ac:dyDescent="0.35">
      <c r="A117" s="39" t="s">
        <v>363</v>
      </c>
      <c r="B117" s="27" t="s">
        <v>361</v>
      </c>
      <c r="C117" s="32" t="s">
        <v>783</v>
      </c>
      <c r="D117" s="32">
        <v>32</v>
      </c>
      <c r="E117" s="32">
        <v>-32</v>
      </c>
    </row>
    <row r="118" spans="1:5" x14ac:dyDescent="0.35">
      <c r="A118" s="32" t="s">
        <v>364</v>
      </c>
      <c r="B118" s="27" t="s">
        <v>365</v>
      </c>
      <c r="C118" s="32" t="s">
        <v>783</v>
      </c>
      <c r="D118" s="32">
        <v>32</v>
      </c>
      <c r="E118" s="32">
        <v>-64</v>
      </c>
    </row>
    <row r="119" spans="1:5" x14ac:dyDescent="0.35">
      <c r="A119" s="32" t="s">
        <v>366</v>
      </c>
      <c r="B119" s="27" t="s">
        <v>367</v>
      </c>
      <c r="C119" s="32" t="s">
        <v>783</v>
      </c>
      <c r="D119" s="32">
        <v>32</v>
      </c>
      <c r="E119" s="32">
        <v>-448</v>
      </c>
    </row>
    <row r="120" spans="1:5" x14ac:dyDescent="0.35">
      <c r="A120" s="32" t="s">
        <v>368</v>
      </c>
      <c r="B120" s="27" t="s">
        <v>369</v>
      </c>
      <c r="C120" s="32" t="s">
        <v>783</v>
      </c>
      <c r="D120" s="32">
        <v>32</v>
      </c>
      <c r="E120" s="32">
        <v>-243</v>
      </c>
    </row>
    <row r="121" spans="1:5" x14ac:dyDescent="0.35">
      <c r="A121" s="32" t="s">
        <v>370</v>
      </c>
      <c r="B121" s="27" t="s">
        <v>371</v>
      </c>
      <c r="C121" s="32" t="s">
        <v>783</v>
      </c>
      <c r="D121" s="32">
        <v>32</v>
      </c>
      <c r="E121" s="32">
        <v>-576</v>
      </c>
    </row>
    <row r="122" spans="1:5" x14ac:dyDescent="0.35">
      <c r="A122" s="32" t="s">
        <v>372</v>
      </c>
      <c r="B122" s="27" t="s">
        <v>373</v>
      </c>
      <c r="C122" s="32" t="s">
        <v>783</v>
      </c>
      <c r="D122" s="32">
        <v>32</v>
      </c>
      <c r="E122" s="32">
        <v>-100</v>
      </c>
    </row>
    <row r="123" spans="1:5" x14ac:dyDescent="0.35">
      <c r="A123" s="32" t="s">
        <v>374</v>
      </c>
      <c r="B123" s="27" t="s">
        <v>375</v>
      </c>
      <c r="C123" s="32" t="s">
        <v>783</v>
      </c>
      <c r="D123" s="32">
        <v>50</v>
      </c>
      <c r="E123" s="32">
        <v>-50</v>
      </c>
    </row>
    <row r="124" spans="1:5" x14ac:dyDescent="0.35">
      <c r="A124" s="32" t="s">
        <v>376</v>
      </c>
      <c r="B124" s="27" t="s">
        <v>377</v>
      </c>
      <c r="C124" s="32" t="s">
        <v>783</v>
      </c>
      <c r="D124" s="32">
        <v>20</v>
      </c>
      <c r="E124" s="32">
        <v>-80</v>
      </c>
    </row>
    <row r="125" spans="1:5" x14ac:dyDescent="0.35">
      <c r="A125" s="32" t="s">
        <v>378</v>
      </c>
      <c r="B125" s="27" t="s">
        <v>379</v>
      </c>
      <c r="C125" s="32" t="s">
        <v>783</v>
      </c>
      <c r="D125" s="32">
        <v>20</v>
      </c>
      <c r="E125" s="32">
        <v>-58</v>
      </c>
    </row>
    <row r="126" spans="1:5" x14ac:dyDescent="0.35">
      <c r="A126" s="32" t="s">
        <v>380</v>
      </c>
      <c r="B126" s="27" t="s">
        <v>381</v>
      </c>
      <c r="C126" s="32" t="s">
        <v>783</v>
      </c>
      <c r="D126" s="32">
        <v>20</v>
      </c>
      <c r="E126" s="32">
        <v>-8</v>
      </c>
    </row>
    <row r="127" spans="1:5" x14ac:dyDescent="0.35">
      <c r="A127" s="32" t="s">
        <v>382</v>
      </c>
      <c r="B127" s="27" t="s">
        <v>383</v>
      </c>
      <c r="C127" s="32" t="s">
        <v>783</v>
      </c>
      <c r="D127" s="32">
        <v>50</v>
      </c>
      <c r="E127" s="32">
        <v>-150</v>
      </c>
    </row>
    <row r="128" spans="1:5" x14ac:dyDescent="0.35">
      <c r="A128" s="32" t="s">
        <v>384</v>
      </c>
      <c r="B128" s="27" t="s">
        <v>385</v>
      </c>
      <c r="C128" s="32" t="s">
        <v>783</v>
      </c>
      <c r="D128" s="32">
        <v>50</v>
      </c>
      <c r="E128" s="32">
        <v>-92</v>
      </c>
    </row>
    <row r="129" spans="1:5" x14ac:dyDescent="0.35">
      <c r="A129" s="32" t="s">
        <v>386</v>
      </c>
      <c r="B129" s="27" t="s">
        <v>387</v>
      </c>
      <c r="C129" s="32" t="s">
        <v>783</v>
      </c>
      <c r="D129" s="32">
        <v>50</v>
      </c>
      <c r="E129" s="32">
        <v>-60</v>
      </c>
    </row>
    <row r="130" spans="1:5" x14ac:dyDescent="0.35">
      <c r="A130" s="32" t="s">
        <v>388</v>
      </c>
      <c r="B130" s="27" t="s">
        <v>389</v>
      </c>
      <c r="C130" s="32" t="s">
        <v>783</v>
      </c>
      <c r="D130" s="32">
        <v>40</v>
      </c>
      <c r="E130" s="32">
        <v>-157</v>
      </c>
    </row>
    <row r="131" spans="1:5" x14ac:dyDescent="0.35">
      <c r="A131" s="32" t="s">
        <v>390</v>
      </c>
      <c r="B131" s="27" t="s">
        <v>391</v>
      </c>
      <c r="C131" s="32" t="s">
        <v>783</v>
      </c>
      <c r="D131" s="32">
        <v>20</v>
      </c>
      <c r="E131" s="32">
        <v>-11</v>
      </c>
    </row>
    <row r="132" spans="1:5" x14ac:dyDescent="0.35">
      <c r="A132" s="32" t="s">
        <v>392</v>
      </c>
      <c r="B132" s="27" t="s">
        <v>393</v>
      </c>
      <c r="C132" s="32" t="s">
        <v>783</v>
      </c>
      <c r="D132" s="32">
        <v>200</v>
      </c>
      <c r="E132" s="32">
        <v>-100</v>
      </c>
    </row>
    <row r="133" spans="1:5" x14ac:dyDescent="0.35">
      <c r="A133" s="32" t="s">
        <v>394</v>
      </c>
      <c r="B133" s="27" t="s">
        <v>395</v>
      </c>
      <c r="C133" s="32" t="s">
        <v>783</v>
      </c>
      <c r="D133" s="32">
        <v>25</v>
      </c>
      <c r="E133" s="32">
        <v>-17</v>
      </c>
    </row>
    <row r="134" spans="1:5" x14ac:dyDescent="0.35">
      <c r="A134" s="32" t="s">
        <v>396</v>
      </c>
      <c r="B134" s="27" t="s">
        <v>397</v>
      </c>
      <c r="C134" s="32" t="s">
        <v>783</v>
      </c>
      <c r="D134" s="32">
        <v>25</v>
      </c>
      <c r="E134" s="32">
        <v>-425</v>
      </c>
    </row>
    <row r="135" spans="1:5" x14ac:dyDescent="0.35">
      <c r="A135" s="32" t="s">
        <v>766</v>
      </c>
      <c r="B135" s="27" t="s">
        <v>767</v>
      </c>
      <c r="C135" s="32" t="s">
        <v>783</v>
      </c>
      <c r="D135" s="32">
        <v>32</v>
      </c>
      <c r="E135" s="32">
        <v>-178</v>
      </c>
    </row>
    <row r="136" spans="1:5" x14ac:dyDescent="0.35">
      <c r="A136" s="32" t="s">
        <v>768</v>
      </c>
      <c r="B136" s="27" t="s">
        <v>769</v>
      </c>
      <c r="C136" s="32" t="s">
        <v>783</v>
      </c>
      <c r="D136" s="32">
        <v>32</v>
      </c>
      <c r="E136" s="32">
        <v>-64</v>
      </c>
    </row>
    <row r="137" spans="1:5" x14ac:dyDescent="0.35">
      <c r="A137" s="32" t="s">
        <v>779</v>
      </c>
      <c r="B137" s="27" t="s">
        <v>780</v>
      </c>
      <c r="C137" s="32" t="s">
        <v>783</v>
      </c>
      <c r="D137" s="32">
        <v>75</v>
      </c>
      <c r="E137" s="32">
        <v>-141</v>
      </c>
    </row>
    <row r="138" spans="1:5" x14ac:dyDescent="0.35">
      <c r="A138" s="32" t="s">
        <v>249</v>
      </c>
      <c r="B138" s="27" t="s">
        <v>250</v>
      </c>
      <c r="C138" s="32" t="s">
        <v>850</v>
      </c>
      <c r="D138" s="32">
        <v>55</v>
      </c>
      <c r="E138" s="32">
        <v>-12623</v>
      </c>
    </row>
    <row r="139" spans="1:5" x14ac:dyDescent="0.35">
      <c r="A139" s="32" t="s">
        <v>251</v>
      </c>
      <c r="B139" s="27" t="s">
        <v>252</v>
      </c>
      <c r="C139" s="32" t="s">
        <v>850</v>
      </c>
      <c r="D139" s="32">
        <v>30</v>
      </c>
      <c r="E139" s="32">
        <v>-12330</v>
      </c>
    </row>
    <row r="140" spans="1:5" x14ac:dyDescent="0.35">
      <c r="A140" s="32" t="s">
        <v>253</v>
      </c>
      <c r="B140" s="27" t="s">
        <v>254</v>
      </c>
      <c r="C140" s="32" t="s">
        <v>850</v>
      </c>
      <c r="D140" s="32">
        <v>20</v>
      </c>
      <c r="E140" s="32">
        <v>-1010</v>
      </c>
    </row>
    <row r="141" spans="1:5" x14ac:dyDescent="0.35">
      <c r="A141" s="32" t="s">
        <v>255</v>
      </c>
      <c r="B141" s="27" t="s">
        <v>256</v>
      </c>
      <c r="C141" s="32" t="s">
        <v>850</v>
      </c>
      <c r="D141" s="32">
        <v>15</v>
      </c>
      <c r="E141" s="32">
        <v>-240</v>
      </c>
    </row>
    <row r="142" spans="1:5" x14ac:dyDescent="0.35">
      <c r="A142" s="32" t="s">
        <v>257</v>
      </c>
      <c r="B142" s="27" t="s">
        <v>258</v>
      </c>
      <c r="C142" s="32" t="s">
        <v>850</v>
      </c>
      <c r="D142" s="32">
        <v>55</v>
      </c>
      <c r="E142" s="32">
        <v>-5225</v>
      </c>
    </row>
    <row r="143" spans="1:5" x14ac:dyDescent="0.35">
      <c r="A143" s="32" t="s">
        <v>259</v>
      </c>
      <c r="B143" s="27" t="s">
        <v>260</v>
      </c>
      <c r="C143" s="32" t="s">
        <v>850</v>
      </c>
      <c r="D143" s="32">
        <v>30</v>
      </c>
      <c r="E143" s="32">
        <v>-6030</v>
      </c>
    </row>
    <row r="144" spans="1:5" x14ac:dyDescent="0.35">
      <c r="A144" s="32" t="s">
        <v>261</v>
      </c>
      <c r="B144" s="27" t="s">
        <v>262</v>
      </c>
      <c r="C144" s="32" t="s">
        <v>850</v>
      </c>
      <c r="D144" s="32">
        <v>20</v>
      </c>
      <c r="E144" s="32">
        <v>-242</v>
      </c>
    </row>
    <row r="145" spans="1:5" x14ac:dyDescent="0.35">
      <c r="A145" s="32" t="s">
        <v>263</v>
      </c>
      <c r="B145" s="27" t="s">
        <v>264</v>
      </c>
      <c r="C145" s="32" t="s">
        <v>850</v>
      </c>
      <c r="D145" s="32">
        <v>10</v>
      </c>
      <c r="E145" s="32">
        <v>-302</v>
      </c>
    </row>
    <row r="146" spans="1:5" x14ac:dyDescent="0.35">
      <c r="A146" s="32" t="s">
        <v>265</v>
      </c>
      <c r="B146" s="27" t="s">
        <v>266</v>
      </c>
      <c r="C146" s="32" t="s">
        <v>850</v>
      </c>
      <c r="D146" s="32">
        <v>100</v>
      </c>
      <c r="E146" s="32">
        <v>-132</v>
      </c>
    </row>
    <row r="147" spans="1:5" x14ac:dyDescent="0.35">
      <c r="A147" s="32" t="s">
        <v>267</v>
      </c>
      <c r="B147" s="27" t="s">
        <v>250</v>
      </c>
      <c r="C147" s="32" t="s">
        <v>850</v>
      </c>
      <c r="D147" s="32">
        <v>55</v>
      </c>
      <c r="E147" s="32">
        <v>-110</v>
      </c>
    </row>
    <row r="148" spans="1:5" x14ac:dyDescent="0.35">
      <c r="A148" s="32" t="s">
        <v>398</v>
      </c>
      <c r="B148" s="27" t="s">
        <v>399</v>
      </c>
      <c r="C148" s="32" t="s">
        <v>851</v>
      </c>
      <c r="D148" s="32">
        <v>144</v>
      </c>
      <c r="E148" s="32">
        <v>-1345</v>
      </c>
    </row>
    <row r="149" spans="1:5" x14ac:dyDescent="0.35">
      <c r="A149" s="32">
        <v>5793</v>
      </c>
      <c r="B149" s="27" t="s">
        <v>801</v>
      </c>
      <c r="C149" s="32" t="s">
        <v>802</v>
      </c>
      <c r="D149" s="32">
        <v>18</v>
      </c>
      <c r="E149" s="32">
        <v>-101</v>
      </c>
    </row>
    <row r="150" spans="1:5" x14ac:dyDescent="0.35">
      <c r="A150" s="32">
        <v>5106</v>
      </c>
      <c r="B150" s="27" t="s">
        <v>813</v>
      </c>
      <c r="C150" s="32" t="s">
        <v>802</v>
      </c>
      <c r="D150" s="32">
        <v>120</v>
      </c>
      <c r="E150" s="32">
        <v>-220</v>
      </c>
    </row>
    <row r="151" spans="1:5" x14ac:dyDescent="0.35">
      <c r="A151" s="32" t="s">
        <v>613</v>
      </c>
      <c r="B151" s="27" t="s">
        <v>614</v>
      </c>
      <c r="C151" s="32" t="s">
        <v>802</v>
      </c>
      <c r="D151" s="32">
        <v>25</v>
      </c>
      <c r="E151" s="32">
        <v>-787</v>
      </c>
    </row>
    <row r="152" spans="1:5" x14ac:dyDescent="0.35">
      <c r="A152" s="32" t="s">
        <v>615</v>
      </c>
      <c r="B152" s="27" t="s">
        <v>616</v>
      </c>
      <c r="C152" s="32" t="s">
        <v>802</v>
      </c>
      <c r="D152" s="32">
        <v>15</v>
      </c>
      <c r="E152" s="32">
        <v>-107</v>
      </c>
    </row>
    <row r="153" spans="1:5" x14ac:dyDescent="0.35">
      <c r="A153" s="32" t="s">
        <v>617</v>
      </c>
      <c r="B153" s="27" t="s">
        <v>618</v>
      </c>
      <c r="C153" s="32" t="s">
        <v>802</v>
      </c>
      <c r="D153" s="32">
        <v>20</v>
      </c>
      <c r="E153" s="32">
        <v>-205</v>
      </c>
    </row>
    <row r="154" spans="1:5" x14ac:dyDescent="0.35">
      <c r="A154" s="32" t="s">
        <v>619</v>
      </c>
      <c r="B154" s="27" t="s">
        <v>620</v>
      </c>
      <c r="C154" s="32" t="s">
        <v>802</v>
      </c>
      <c r="D154" s="32">
        <v>15</v>
      </c>
      <c r="E154" s="32">
        <v>-95</v>
      </c>
    </row>
    <row r="155" spans="1:5" x14ac:dyDescent="0.35">
      <c r="A155" s="32" t="s">
        <v>621</v>
      </c>
      <c r="B155" s="27" t="s">
        <v>622</v>
      </c>
      <c r="C155" s="32" t="s">
        <v>802</v>
      </c>
      <c r="D155" s="32">
        <v>10</v>
      </c>
      <c r="E155" s="32">
        <v>-70</v>
      </c>
    </row>
    <row r="156" spans="1:5" x14ac:dyDescent="0.35">
      <c r="A156" s="32" t="s">
        <v>623</v>
      </c>
      <c r="B156" s="27" t="s">
        <v>624</v>
      </c>
      <c r="C156" s="32" t="s">
        <v>802</v>
      </c>
      <c r="D156" s="32">
        <v>90</v>
      </c>
      <c r="E156" s="32">
        <v>-453</v>
      </c>
    </row>
    <row r="157" spans="1:5" x14ac:dyDescent="0.35">
      <c r="A157" s="32" t="s">
        <v>625</v>
      </c>
      <c r="B157" s="27" t="s">
        <v>626</v>
      </c>
      <c r="C157" s="32" t="s">
        <v>802</v>
      </c>
      <c r="D157" s="32">
        <v>45</v>
      </c>
      <c r="E157" s="32">
        <v>-429</v>
      </c>
    </row>
    <row r="158" spans="1:5" x14ac:dyDescent="0.35">
      <c r="A158" s="32" t="s">
        <v>627</v>
      </c>
      <c r="B158" s="27" t="s">
        <v>628</v>
      </c>
      <c r="C158" s="32" t="s">
        <v>802</v>
      </c>
      <c r="D158" s="32">
        <v>50</v>
      </c>
      <c r="E158" s="32">
        <v>-1235</v>
      </c>
    </row>
    <row r="159" spans="1:5" x14ac:dyDescent="0.35">
      <c r="A159" s="32" t="s">
        <v>629</v>
      </c>
      <c r="B159" s="27" t="s">
        <v>630</v>
      </c>
      <c r="C159" s="32" t="s">
        <v>802</v>
      </c>
      <c r="D159" s="32">
        <v>24</v>
      </c>
      <c r="E159" s="32">
        <v>-35</v>
      </c>
    </row>
    <row r="160" spans="1:5" x14ac:dyDescent="0.35">
      <c r="A160" s="32" t="s">
        <v>631</v>
      </c>
      <c r="B160" s="27" t="s">
        <v>632</v>
      </c>
      <c r="C160" s="32" t="s">
        <v>802</v>
      </c>
      <c r="D160" s="32">
        <v>20</v>
      </c>
      <c r="E160" s="32">
        <v>-299</v>
      </c>
    </row>
    <row r="161" spans="1:5" x14ac:dyDescent="0.35">
      <c r="A161" s="32">
        <v>5104</v>
      </c>
      <c r="B161" s="27" t="s">
        <v>633</v>
      </c>
      <c r="C161" s="32" t="s">
        <v>802</v>
      </c>
      <c r="D161" s="32">
        <v>1000</v>
      </c>
      <c r="E161" s="32">
        <v>-5000</v>
      </c>
    </row>
    <row r="162" spans="1:5" x14ac:dyDescent="0.35">
      <c r="A162" s="32">
        <v>5110</v>
      </c>
      <c r="B162" s="27" t="s">
        <v>634</v>
      </c>
      <c r="C162" s="32" t="s">
        <v>802</v>
      </c>
      <c r="D162" s="32">
        <v>25</v>
      </c>
      <c r="E162" s="32">
        <v>-6607</v>
      </c>
    </row>
    <row r="163" spans="1:5" x14ac:dyDescent="0.35">
      <c r="A163" s="32">
        <v>5111</v>
      </c>
      <c r="B163" s="27" t="s">
        <v>635</v>
      </c>
      <c r="C163" s="32" t="s">
        <v>802</v>
      </c>
      <c r="D163" s="32">
        <v>20</v>
      </c>
      <c r="E163" s="32">
        <v>-12268</v>
      </c>
    </row>
    <row r="164" spans="1:5" x14ac:dyDescent="0.35">
      <c r="A164" s="32">
        <v>5112</v>
      </c>
      <c r="B164" s="27" t="s">
        <v>636</v>
      </c>
      <c r="C164" s="32" t="s">
        <v>802</v>
      </c>
      <c r="D164" s="32">
        <v>18</v>
      </c>
      <c r="E164" s="32">
        <v>-1503</v>
      </c>
    </row>
    <row r="165" spans="1:5" x14ac:dyDescent="0.35">
      <c r="A165" s="32">
        <v>5121</v>
      </c>
      <c r="B165" s="27" t="s">
        <v>637</v>
      </c>
      <c r="C165" s="32" t="s">
        <v>802</v>
      </c>
      <c r="D165" s="32">
        <v>36</v>
      </c>
      <c r="E165" s="32">
        <v>-8432</v>
      </c>
    </row>
    <row r="166" spans="1:5" x14ac:dyDescent="0.35">
      <c r="A166" s="32">
        <v>5132</v>
      </c>
      <c r="B166" s="27" t="s">
        <v>638</v>
      </c>
      <c r="C166" s="32" t="s">
        <v>802</v>
      </c>
      <c r="D166" s="32">
        <v>7</v>
      </c>
      <c r="E166" s="32">
        <v>-8</v>
      </c>
    </row>
    <row r="167" spans="1:5" x14ac:dyDescent="0.35">
      <c r="A167" s="32">
        <v>5133</v>
      </c>
      <c r="B167" s="27" t="s">
        <v>639</v>
      </c>
      <c r="C167" s="32" t="s">
        <v>802</v>
      </c>
      <c r="D167" s="32">
        <v>15</v>
      </c>
      <c r="E167" s="32">
        <v>-3342</v>
      </c>
    </row>
    <row r="168" spans="1:5" x14ac:dyDescent="0.35">
      <c r="A168" s="32">
        <v>5134</v>
      </c>
      <c r="B168" s="27" t="s">
        <v>640</v>
      </c>
      <c r="C168" s="32" t="s">
        <v>802</v>
      </c>
      <c r="D168" s="32">
        <v>10</v>
      </c>
      <c r="E168" s="32">
        <v>-667</v>
      </c>
    </row>
    <row r="169" spans="1:5" x14ac:dyDescent="0.35">
      <c r="A169" s="32">
        <v>5143</v>
      </c>
      <c r="B169" s="27" t="s">
        <v>641</v>
      </c>
      <c r="C169" s="32" t="s">
        <v>802</v>
      </c>
      <c r="D169" s="32">
        <v>10</v>
      </c>
      <c r="E169" s="32">
        <v>-20</v>
      </c>
    </row>
    <row r="170" spans="1:5" x14ac:dyDescent="0.35">
      <c r="A170" s="32">
        <v>5151</v>
      </c>
      <c r="B170" s="27" t="s">
        <v>642</v>
      </c>
      <c r="C170" s="32" t="s">
        <v>802</v>
      </c>
      <c r="D170" s="32">
        <v>16</v>
      </c>
      <c r="E170" s="32">
        <v>-839</v>
      </c>
    </row>
    <row r="171" spans="1:5" x14ac:dyDescent="0.35">
      <c r="A171" s="32">
        <v>5155</v>
      </c>
      <c r="B171" s="27" t="s">
        <v>643</v>
      </c>
      <c r="C171" s="32" t="s">
        <v>802</v>
      </c>
      <c r="D171" s="32">
        <v>15</v>
      </c>
      <c r="E171" s="32">
        <v>-38</v>
      </c>
    </row>
    <row r="172" spans="1:5" x14ac:dyDescent="0.35">
      <c r="A172" s="32">
        <v>5157</v>
      </c>
      <c r="B172" s="27" t="s">
        <v>644</v>
      </c>
      <c r="C172" s="32" t="s">
        <v>802</v>
      </c>
      <c r="D172" s="32">
        <v>60</v>
      </c>
      <c r="E172" s="32">
        <v>-1503</v>
      </c>
    </row>
    <row r="173" spans="1:5" x14ac:dyDescent="0.35">
      <c r="A173" s="32">
        <v>5158</v>
      </c>
      <c r="B173" s="27" t="s">
        <v>645</v>
      </c>
      <c r="C173" s="32" t="s">
        <v>802</v>
      </c>
      <c r="D173" s="32">
        <v>15</v>
      </c>
      <c r="E173" s="32">
        <v>-337</v>
      </c>
    </row>
    <row r="174" spans="1:5" x14ac:dyDescent="0.35">
      <c r="A174" s="32">
        <v>5161</v>
      </c>
      <c r="B174" s="27" t="s">
        <v>646</v>
      </c>
      <c r="C174" s="32" t="s">
        <v>802</v>
      </c>
      <c r="D174" s="32">
        <v>108</v>
      </c>
      <c r="E174" s="32">
        <v>-1480</v>
      </c>
    </row>
    <row r="175" spans="1:5" x14ac:dyDescent="0.35">
      <c r="A175" s="32">
        <v>5162</v>
      </c>
      <c r="B175" s="27" t="s">
        <v>647</v>
      </c>
      <c r="C175" s="32" t="s">
        <v>802</v>
      </c>
      <c r="D175" s="32">
        <v>150</v>
      </c>
      <c r="E175" s="32">
        <v>-7441</v>
      </c>
    </row>
    <row r="176" spans="1:5" x14ac:dyDescent="0.35">
      <c r="A176" s="32">
        <v>5163</v>
      </c>
      <c r="B176" s="27" t="s">
        <v>648</v>
      </c>
      <c r="C176" s="32" t="s">
        <v>802</v>
      </c>
      <c r="D176" s="32">
        <v>24</v>
      </c>
      <c r="E176" s="32">
        <v>-146</v>
      </c>
    </row>
    <row r="177" spans="1:5" x14ac:dyDescent="0.35">
      <c r="A177" s="32">
        <v>5171</v>
      </c>
      <c r="B177" s="27" t="s">
        <v>649</v>
      </c>
      <c r="C177" s="32" t="s">
        <v>802</v>
      </c>
      <c r="D177" s="32">
        <v>10</v>
      </c>
      <c r="E177" s="32">
        <v>-1748</v>
      </c>
    </row>
    <row r="178" spans="1:5" x14ac:dyDescent="0.35">
      <c r="A178" s="32">
        <v>5711</v>
      </c>
      <c r="B178" s="27" t="s">
        <v>650</v>
      </c>
      <c r="C178" s="32" t="s">
        <v>802</v>
      </c>
      <c r="D178" s="32">
        <v>60</v>
      </c>
      <c r="E178" s="32">
        <v>-12632</v>
      </c>
    </row>
    <row r="179" spans="1:5" x14ac:dyDescent="0.35">
      <c r="A179" s="32">
        <v>5712</v>
      </c>
      <c r="B179" s="27" t="s">
        <v>651</v>
      </c>
      <c r="C179" s="32" t="s">
        <v>802</v>
      </c>
      <c r="D179" s="32">
        <v>50</v>
      </c>
      <c r="E179" s="32">
        <v>-3426</v>
      </c>
    </row>
    <row r="180" spans="1:5" x14ac:dyDescent="0.35">
      <c r="A180" s="32">
        <v>5721</v>
      </c>
      <c r="B180" s="27" t="s">
        <v>652</v>
      </c>
      <c r="C180" s="32" t="s">
        <v>802</v>
      </c>
      <c r="D180" s="32">
        <v>90</v>
      </c>
      <c r="E180" s="32">
        <v>-1414</v>
      </c>
    </row>
    <row r="181" spans="1:5" x14ac:dyDescent="0.35">
      <c r="A181" s="32">
        <v>5733</v>
      </c>
      <c r="B181" s="27" t="s">
        <v>653</v>
      </c>
      <c r="C181" s="32" t="s">
        <v>802</v>
      </c>
      <c r="D181" s="32">
        <v>40</v>
      </c>
      <c r="E181" s="32">
        <v>-1960</v>
      </c>
    </row>
    <row r="182" spans="1:5" x14ac:dyDescent="0.35">
      <c r="A182" s="32">
        <v>5734</v>
      </c>
      <c r="B182" s="27" t="s">
        <v>654</v>
      </c>
      <c r="C182" s="32" t="s">
        <v>802</v>
      </c>
      <c r="D182" s="32">
        <v>30</v>
      </c>
      <c r="E182" s="32">
        <v>-960</v>
      </c>
    </row>
    <row r="183" spans="1:5" x14ac:dyDescent="0.35">
      <c r="A183" s="32">
        <v>5761</v>
      </c>
      <c r="B183" s="27" t="s">
        <v>655</v>
      </c>
      <c r="C183" s="32" t="s">
        <v>802</v>
      </c>
      <c r="D183" s="32">
        <v>266</v>
      </c>
      <c r="E183" s="32">
        <v>-3701</v>
      </c>
    </row>
    <row r="184" spans="1:5" x14ac:dyDescent="0.35">
      <c r="A184" s="32">
        <v>5762</v>
      </c>
      <c r="B184" s="27" t="s">
        <v>656</v>
      </c>
      <c r="C184" s="32" t="s">
        <v>802</v>
      </c>
      <c r="D184" s="32">
        <v>200</v>
      </c>
      <c r="E184" s="32">
        <v>-8517</v>
      </c>
    </row>
    <row r="185" spans="1:5" x14ac:dyDescent="0.35">
      <c r="A185" s="32">
        <v>5763</v>
      </c>
      <c r="B185" s="27" t="s">
        <v>657</v>
      </c>
      <c r="C185" s="32" t="s">
        <v>802</v>
      </c>
      <c r="D185" s="32">
        <v>36</v>
      </c>
      <c r="E185" s="32">
        <v>-756</v>
      </c>
    </row>
    <row r="186" spans="1:5" x14ac:dyDescent="0.35">
      <c r="A186" s="32" t="s">
        <v>658</v>
      </c>
      <c r="B186" s="27" t="s">
        <v>659</v>
      </c>
      <c r="C186" s="32" t="s">
        <v>802</v>
      </c>
      <c r="D186" s="32">
        <v>36</v>
      </c>
      <c r="E186" s="32">
        <v>-1968</v>
      </c>
    </row>
    <row r="187" spans="1:5" x14ac:dyDescent="0.35">
      <c r="A187" s="32">
        <v>5765</v>
      </c>
      <c r="B187" s="27" t="s">
        <v>660</v>
      </c>
      <c r="C187" s="32" t="s">
        <v>802</v>
      </c>
      <c r="D187" s="32">
        <v>200</v>
      </c>
      <c r="E187" s="32">
        <v>-331</v>
      </c>
    </row>
    <row r="188" spans="1:5" x14ac:dyDescent="0.35">
      <c r="A188" s="32">
        <v>5771</v>
      </c>
      <c r="B188" s="27" t="s">
        <v>661</v>
      </c>
      <c r="C188" s="32" t="s">
        <v>802</v>
      </c>
      <c r="D188" s="32">
        <v>10</v>
      </c>
      <c r="E188" s="32">
        <v>-1140</v>
      </c>
    </row>
    <row r="189" spans="1:5" x14ac:dyDescent="0.35">
      <c r="A189" s="32">
        <v>5657</v>
      </c>
      <c r="B189" s="27" t="s">
        <v>662</v>
      </c>
      <c r="C189" s="32" t="s">
        <v>802</v>
      </c>
      <c r="D189" s="32">
        <v>24</v>
      </c>
      <c r="E189" s="32">
        <v>-174</v>
      </c>
    </row>
    <row r="190" spans="1:5" x14ac:dyDescent="0.35">
      <c r="A190" s="32">
        <v>5933</v>
      </c>
      <c r="B190" s="27" t="s">
        <v>663</v>
      </c>
      <c r="C190" s="32" t="s">
        <v>802</v>
      </c>
      <c r="D190" s="32">
        <v>20</v>
      </c>
      <c r="E190" s="32">
        <v>-85</v>
      </c>
    </row>
    <row r="191" spans="1:5" x14ac:dyDescent="0.35">
      <c r="A191" s="32">
        <v>4761</v>
      </c>
      <c r="B191" s="27" t="s">
        <v>664</v>
      </c>
      <c r="C191" s="32" t="s">
        <v>802</v>
      </c>
      <c r="D191" s="32">
        <v>250</v>
      </c>
      <c r="E191" s="32">
        <v>-764</v>
      </c>
    </row>
    <row r="192" spans="1:5" x14ac:dyDescent="0.35">
      <c r="A192" s="32" t="s">
        <v>665</v>
      </c>
      <c r="B192" s="27" t="s">
        <v>666</v>
      </c>
      <c r="C192" s="32" t="s">
        <v>802</v>
      </c>
      <c r="D192" s="32">
        <v>28</v>
      </c>
      <c r="E192" s="32">
        <v>-336</v>
      </c>
    </row>
    <row r="193" spans="1:5" x14ac:dyDescent="0.35">
      <c r="A193" s="32">
        <v>5792</v>
      </c>
      <c r="B193" s="27" t="s">
        <v>774</v>
      </c>
      <c r="C193" s="32" t="s">
        <v>802</v>
      </c>
      <c r="D193" s="32">
        <v>25</v>
      </c>
      <c r="E193" s="32">
        <v>-1075</v>
      </c>
    </row>
    <row r="194" spans="1:5" x14ac:dyDescent="0.35">
      <c r="A194" s="32" t="s">
        <v>571</v>
      </c>
      <c r="B194" s="27" t="s">
        <v>572</v>
      </c>
      <c r="C194" s="32" t="s">
        <v>852</v>
      </c>
      <c r="D194" s="32">
        <v>1</v>
      </c>
      <c r="E194" s="32">
        <v>-13299</v>
      </c>
    </row>
    <row r="195" spans="1:5" x14ac:dyDescent="0.35">
      <c r="A195" s="32" t="s">
        <v>573</v>
      </c>
      <c r="B195" s="27" t="s">
        <v>574</v>
      </c>
      <c r="C195" s="32" t="s">
        <v>852</v>
      </c>
      <c r="D195" s="32">
        <v>1</v>
      </c>
      <c r="E195" s="32">
        <v>-540</v>
      </c>
    </row>
    <row r="196" spans="1:5" x14ac:dyDescent="0.35">
      <c r="A196" s="32" t="s">
        <v>575</v>
      </c>
      <c r="B196" s="27" t="s">
        <v>576</v>
      </c>
      <c r="C196" s="32" t="s">
        <v>852</v>
      </c>
      <c r="D196" s="32">
        <v>1</v>
      </c>
      <c r="E196" s="32">
        <v>-353</v>
      </c>
    </row>
    <row r="197" spans="1:5" x14ac:dyDescent="0.35">
      <c r="A197" s="32" t="s">
        <v>577</v>
      </c>
      <c r="B197" s="27" t="s">
        <v>578</v>
      </c>
      <c r="C197" s="32" t="s">
        <v>852</v>
      </c>
      <c r="D197" s="32">
        <v>1</v>
      </c>
      <c r="E197" s="32">
        <v>-30</v>
      </c>
    </row>
    <row r="198" spans="1:5" x14ac:dyDescent="0.35">
      <c r="A198" s="32" t="s">
        <v>579</v>
      </c>
      <c r="B198" s="27" t="s">
        <v>580</v>
      </c>
      <c r="C198" s="32" t="s">
        <v>852</v>
      </c>
      <c r="D198" s="32">
        <v>1</v>
      </c>
      <c r="E198" s="32">
        <v>-101</v>
      </c>
    </row>
    <row r="199" spans="1:5" x14ac:dyDescent="0.35">
      <c r="A199" s="32" t="s">
        <v>581</v>
      </c>
      <c r="B199" s="27" t="s">
        <v>582</v>
      </c>
      <c r="C199" s="32" t="s">
        <v>852</v>
      </c>
      <c r="D199" s="32">
        <v>1</v>
      </c>
      <c r="E199" s="32">
        <v>-498</v>
      </c>
    </row>
    <row r="200" spans="1:5" x14ac:dyDescent="0.35">
      <c r="A200" s="32" t="s">
        <v>583</v>
      </c>
      <c r="B200" s="27" t="s">
        <v>584</v>
      </c>
      <c r="C200" s="32" t="s">
        <v>852</v>
      </c>
      <c r="D200" s="32">
        <v>1</v>
      </c>
      <c r="E200" s="32">
        <v>-150</v>
      </c>
    </row>
    <row r="201" spans="1:5" x14ac:dyDescent="0.35">
      <c r="A201" s="32" t="s">
        <v>585</v>
      </c>
      <c r="B201" s="27" t="s">
        <v>586</v>
      </c>
      <c r="C201" s="32" t="s">
        <v>852</v>
      </c>
      <c r="D201" s="32">
        <v>1</v>
      </c>
      <c r="E201" s="32">
        <v>-226</v>
      </c>
    </row>
    <row r="202" spans="1:5" x14ac:dyDescent="0.35">
      <c r="A202" s="32" t="s">
        <v>587</v>
      </c>
      <c r="B202" s="27" t="s">
        <v>588</v>
      </c>
      <c r="C202" s="32" t="s">
        <v>852</v>
      </c>
      <c r="D202" s="32">
        <v>1</v>
      </c>
      <c r="E202" s="32">
        <v>-18</v>
      </c>
    </row>
    <row r="203" spans="1:5" x14ac:dyDescent="0.35">
      <c r="A203" s="32" t="s">
        <v>589</v>
      </c>
      <c r="B203" s="27" t="s">
        <v>590</v>
      </c>
      <c r="C203" s="32" t="s">
        <v>852</v>
      </c>
      <c r="D203" s="32">
        <v>1</v>
      </c>
      <c r="E203" s="32">
        <v>-1010</v>
      </c>
    </row>
    <row r="204" spans="1:5" x14ac:dyDescent="0.35">
      <c r="A204" s="32" t="s">
        <v>591</v>
      </c>
      <c r="B204" s="27" t="s">
        <v>592</v>
      </c>
      <c r="C204" s="32" t="s">
        <v>852</v>
      </c>
      <c r="D204" s="32">
        <v>1</v>
      </c>
      <c r="E204" s="32">
        <v>-14670</v>
      </c>
    </row>
    <row r="205" spans="1:5" x14ac:dyDescent="0.35">
      <c r="A205" s="32" t="s">
        <v>593</v>
      </c>
      <c r="B205" s="27" t="s">
        <v>594</v>
      </c>
      <c r="C205" s="32" t="s">
        <v>852</v>
      </c>
      <c r="D205" s="32">
        <v>1</v>
      </c>
      <c r="E205" s="32">
        <v>-750</v>
      </c>
    </row>
    <row r="206" spans="1:5" x14ac:dyDescent="0.35">
      <c r="A206" s="32" t="s">
        <v>595</v>
      </c>
      <c r="B206" s="27" t="s">
        <v>596</v>
      </c>
      <c r="C206" s="32" t="s">
        <v>852</v>
      </c>
      <c r="D206" s="32">
        <v>1</v>
      </c>
      <c r="E206" s="32">
        <v>-210</v>
      </c>
    </row>
    <row r="207" spans="1:5" x14ac:dyDescent="0.35">
      <c r="A207" s="32" t="s">
        <v>597</v>
      </c>
      <c r="B207" s="27" t="s">
        <v>598</v>
      </c>
      <c r="C207" s="32" t="s">
        <v>852</v>
      </c>
      <c r="D207" s="32">
        <v>1</v>
      </c>
      <c r="E207" s="32">
        <v>-160</v>
      </c>
    </row>
    <row r="208" spans="1:5" x14ac:dyDescent="0.35">
      <c r="A208" s="32" t="s">
        <v>599</v>
      </c>
      <c r="B208" s="27" t="s">
        <v>600</v>
      </c>
      <c r="C208" s="32" t="s">
        <v>852</v>
      </c>
      <c r="D208" s="32">
        <v>1</v>
      </c>
      <c r="E208" s="32">
        <v>-457</v>
      </c>
    </row>
    <row r="209" spans="1:5" x14ac:dyDescent="0.35">
      <c r="A209" s="32" t="s">
        <v>601</v>
      </c>
      <c r="B209" s="27" t="s">
        <v>602</v>
      </c>
      <c r="C209" s="32" t="s">
        <v>852</v>
      </c>
      <c r="D209" s="32">
        <v>1</v>
      </c>
      <c r="E209" s="32">
        <v>-150</v>
      </c>
    </row>
    <row r="210" spans="1:5" x14ac:dyDescent="0.35">
      <c r="A210" s="32" t="s">
        <v>603</v>
      </c>
      <c r="B210" s="27" t="s">
        <v>604</v>
      </c>
      <c r="C210" s="32" t="s">
        <v>852</v>
      </c>
      <c r="D210" s="32">
        <v>1</v>
      </c>
      <c r="E210" s="32">
        <v>-157</v>
      </c>
    </row>
    <row r="211" spans="1:5" x14ac:dyDescent="0.35">
      <c r="A211" s="32" t="s">
        <v>605</v>
      </c>
      <c r="B211" s="27" t="s">
        <v>606</v>
      </c>
      <c r="C211" s="32" t="s">
        <v>852</v>
      </c>
      <c r="D211" s="32">
        <v>1</v>
      </c>
      <c r="E211" s="32">
        <v>-119</v>
      </c>
    </row>
    <row r="212" spans="1:5" x14ac:dyDescent="0.35">
      <c r="A212" s="32" t="s">
        <v>607</v>
      </c>
      <c r="B212" s="27" t="s">
        <v>608</v>
      </c>
      <c r="C212" s="32" t="s">
        <v>852</v>
      </c>
      <c r="D212" s="32">
        <v>1</v>
      </c>
      <c r="E212" s="32">
        <v>-55</v>
      </c>
    </row>
    <row r="213" spans="1:5" x14ac:dyDescent="0.35">
      <c r="A213" s="32" t="s">
        <v>609</v>
      </c>
      <c r="B213" s="27" t="s">
        <v>610</v>
      </c>
      <c r="C213" s="32" t="s">
        <v>852</v>
      </c>
      <c r="D213" s="32">
        <v>1</v>
      </c>
      <c r="E213" s="32">
        <v>-212</v>
      </c>
    </row>
    <row r="214" spans="1:5" x14ac:dyDescent="0.35">
      <c r="A214" s="32" t="s">
        <v>611</v>
      </c>
      <c r="B214" s="27" t="s">
        <v>612</v>
      </c>
      <c r="C214" s="32" t="s">
        <v>852</v>
      </c>
      <c r="D214" s="32">
        <v>1</v>
      </c>
      <c r="E214" s="32">
        <v>-27</v>
      </c>
    </row>
    <row r="215" spans="1:5" x14ac:dyDescent="0.35">
      <c r="A215" s="32" t="s">
        <v>775</v>
      </c>
      <c r="B215" s="26" t="s">
        <v>776</v>
      </c>
      <c r="C215" s="32" t="s">
        <v>852</v>
      </c>
      <c r="D215" s="32">
        <v>1</v>
      </c>
      <c r="E215" s="32">
        <v>-100</v>
      </c>
    </row>
    <row r="216" spans="1:5" x14ac:dyDescent="0.35">
      <c r="A216" s="32" t="s">
        <v>777</v>
      </c>
      <c r="B216" s="26" t="s">
        <v>778</v>
      </c>
      <c r="C216" s="32" t="s">
        <v>852</v>
      </c>
      <c r="D216" s="32">
        <v>1</v>
      </c>
      <c r="E216" s="32">
        <v>-100</v>
      </c>
    </row>
    <row r="217" spans="1:5" x14ac:dyDescent="0.35">
      <c r="A217" s="32" t="s">
        <v>667</v>
      </c>
      <c r="B217" s="27" t="s">
        <v>668</v>
      </c>
      <c r="C217" s="32" t="s">
        <v>853</v>
      </c>
      <c r="D217" s="32">
        <v>100</v>
      </c>
      <c r="E217" s="32">
        <v>-21</v>
      </c>
    </row>
    <row r="218" spans="1:5" x14ac:dyDescent="0.35">
      <c r="A218" s="32" t="s">
        <v>795</v>
      </c>
      <c r="B218" s="27" t="s">
        <v>796</v>
      </c>
      <c r="C218" s="32" t="s">
        <v>847</v>
      </c>
      <c r="D218" s="32">
        <v>2</v>
      </c>
      <c r="E218" s="32">
        <v>-20</v>
      </c>
    </row>
    <row r="219" spans="1:5" x14ac:dyDescent="0.35">
      <c r="A219" s="32" t="s">
        <v>797</v>
      </c>
      <c r="B219" s="27" t="s">
        <v>798</v>
      </c>
      <c r="C219" s="32" t="s">
        <v>847</v>
      </c>
      <c r="D219" s="32">
        <v>3</v>
      </c>
      <c r="E219" s="32">
        <v>-1</v>
      </c>
    </row>
    <row r="220" spans="1:5" x14ac:dyDescent="0.35">
      <c r="A220" s="32" t="s">
        <v>799</v>
      </c>
      <c r="B220" s="27" t="s">
        <v>800</v>
      </c>
      <c r="C220" s="32" t="s">
        <v>847</v>
      </c>
      <c r="D220" s="32">
        <v>6</v>
      </c>
      <c r="E220" s="32">
        <v>-65</v>
      </c>
    </row>
    <row r="221" spans="1:5" x14ac:dyDescent="0.35">
      <c r="A221" s="32">
        <v>5707</v>
      </c>
      <c r="B221" s="26" t="s">
        <v>814</v>
      </c>
      <c r="C221" s="32" t="s">
        <v>847</v>
      </c>
      <c r="D221" s="32">
        <v>160</v>
      </c>
      <c r="E221" s="32">
        <v>-560</v>
      </c>
    </row>
    <row r="222" spans="1:5" x14ac:dyDescent="0.35">
      <c r="A222" s="32">
        <v>5107</v>
      </c>
      <c r="B222" s="26" t="s">
        <v>815</v>
      </c>
      <c r="C222" s="32" t="s">
        <v>847</v>
      </c>
      <c r="D222" s="32">
        <v>72</v>
      </c>
      <c r="E222" s="32">
        <v>-1400</v>
      </c>
    </row>
    <row r="223" spans="1:5" x14ac:dyDescent="0.35">
      <c r="A223" s="32" t="s">
        <v>832</v>
      </c>
      <c r="B223" s="27" t="s">
        <v>833</v>
      </c>
      <c r="C223" s="32" t="s">
        <v>834</v>
      </c>
      <c r="D223" s="32">
        <v>32</v>
      </c>
      <c r="E223" s="32">
        <v>-64</v>
      </c>
    </row>
    <row r="224" spans="1:5" x14ac:dyDescent="0.35">
      <c r="A224" s="32" t="s">
        <v>841</v>
      </c>
      <c r="B224" s="27" t="s">
        <v>842</v>
      </c>
      <c r="C224" s="32" t="s">
        <v>843</v>
      </c>
      <c r="D224" s="32">
        <v>1</v>
      </c>
      <c r="E224" s="32">
        <v>-60</v>
      </c>
    </row>
    <row r="225" spans="1:5" x14ac:dyDescent="0.35">
      <c r="A225" s="32" t="s">
        <v>784</v>
      </c>
      <c r="B225" s="30" t="s">
        <v>785</v>
      </c>
      <c r="C225" s="32" t="s">
        <v>843</v>
      </c>
      <c r="D225" s="32">
        <v>15</v>
      </c>
      <c r="E225" s="32">
        <v>-2535</v>
      </c>
    </row>
    <row r="226" spans="1:5" x14ac:dyDescent="0.35">
      <c r="A226" s="40" t="s">
        <v>793</v>
      </c>
      <c r="B226" s="30" t="s">
        <v>794</v>
      </c>
      <c r="C226" s="32" t="s">
        <v>843</v>
      </c>
      <c r="D226" s="32">
        <v>10</v>
      </c>
      <c r="E226" s="32">
        <v>-240</v>
      </c>
    </row>
    <row r="227" spans="1:5" x14ac:dyDescent="0.35">
      <c r="A227" s="32" t="s">
        <v>419</v>
      </c>
      <c r="B227" s="27" t="s">
        <v>420</v>
      </c>
      <c r="C227" s="32" t="s">
        <v>843</v>
      </c>
      <c r="D227" s="32">
        <v>150</v>
      </c>
      <c r="E227" s="32">
        <v>-272</v>
      </c>
    </row>
    <row r="228" spans="1:5" x14ac:dyDescent="0.35">
      <c r="A228" s="32" t="s">
        <v>421</v>
      </c>
      <c r="B228" s="27" t="s">
        <v>422</v>
      </c>
      <c r="C228" s="32" t="s">
        <v>843</v>
      </c>
      <c r="D228" s="32">
        <v>150</v>
      </c>
      <c r="E228" s="32">
        <v>-159</v>
      </c>
    </row>
    <row r="229" spans="1:5" x14ac:dyDescent="0.35">
      <c r="A229" s="32" t="s">
        <v>423</v>
      </c>
      <c r="B229" s="27" t="s">
        <v>424</v>
      </c>
      <c r="C229" s="32" t="s">
        <v>843</v>
      </c>
      <c r="D229" s="32">
        <v>40</v>
      </c>
      <c r="E229" s="32">
        <v>-190</v>
      </c>
    </row>
    <row r="230" spans="1:5" x14ac:dyDescent="0.35">
      <c r="A230" s="32" t="s">
        <v>425</v>
      </c>
      <c r="B230" s="27" t="s">
        <v>426</v>
      </c>
      <c r="C230" s="32" t="s">
        <v>843</v>
      </c>
      <c r="D230" s="32">
        <v>300</v>
      </c>
      <c r="E230" s="32">
        <v>-325</v>
      </c>
    </row>
    <row r="231" spans="1:5" x14ac:dyDescent="0.35">
      <c r="A231" s="32" t="s">
        <v>427</v>
      </c>
      <c r="B231" s="27" t="s">
        <v>428</v>
      </c>
      <c r="C231" s="32" t="s">
        <v>843</v>
      </c>
      <c r="D231" s="32">
        <v>108</v>
      </c>
      <c r="E231" s="32">
        <v>-203</v>
      </c>
    </row>
    <row r="232" spans="1:5" x14ac:dyDescent="0.35">
      <c r="A232" s="32" t="s">
        <v>429</v>
      </c>
      <c r="B232" s="27" t="s">
        <v>430</v>
      </c>
      <c r="C232" s="32" t="s">
        <v>843</v>
      </c>
      <c r="D232" s="32">
        <v>40</v>
      </c>
      <c r="E232" s="32">
        <v>-814</v>
      </c>
    </row>
    <row r="233" spans="1:5" x14ac:dyDescent="0.35">
      <c r="A233" s="32" t="s">
        <v>431</v>
      </c>
      <c r="B233" s="27" t="s">
        <v>432</v>
      </c>
      <c r="C233" s="32" t="s">
        <v>843</v>
      </c>
      <c r="D233" s="32">
        <v>100</v>
      </c>
      <c r="E233" s="32">
        <v>-2807</v>
      </c>
    </row>
    <row r="234" spans="1:5" x14ac:dyDescent="0.35">
      <c r="A234" s="32" t="s">
        <v>433</v>
      </c>
      <c r="B234" s="27" t="s">
        <v>434</v>
      </c>
      <c r="C234" s="32" t="s">
        <v>843</v>
      </c>
      <c r="D234" s="32">
        <v>50</v>
      </c>
      <c r="E234" s="32">
        <v>-3300</v>
      </c>
    </row>
    <row r="235" spans="1:5" x14ac:dyDescent="0.35">
      <c r="A235" s="32" t="s">
        <v>435</v>
      </c>
      <c r="B235" s="27" t="s">
        <v>436</v>
      </c>
      <c r="C235" s="32" t="s">
        <v>843</v>
      </c>
      <c r="D235" s="32">
        <v>108</v>
      </c>
      <c r="E235" s="32">
        <v>-533</v>
      </c>
    </row>
    <row r="236" spans="1:5" x14ac:dyDescent="0.35">
      <c r="A236" s="33" t="s">
        <v>437</v>
      </c>
      <c r="B236" s="28" t="s">
        <v>438</v>
      </c>
      <c r="C236" s="32" t="s">
        <v>843</v>
      </c>
      <c r="D236" s="33">
        <v>28</v>
      </c>
      <c r="E236" s="32">
        <v>-28</v>
      </c>
    </row>
    <row r="237" spans="1:5" x14ac:dyDescent="0.35">
      <c r="A237" s="32" t="s">
        <v>439</v>
      </c>
      <c r="B237" s="27" t="s">
        <v>430</v>
      </c>
      <c r="C237" s="32" t="s">
        <v>843</v>
      </c>
      <c r="D237" s="32">
        <v>40</v>
      </c>
      <c r="E237" s="32">
        <v>-160</v>
      </c>
    </row>
    <row r="238" spans="1:5" x14ac:dyDescent="0.35">
      <c r="A238" s="32" t="s">
        <v>440</v>
      </c>
      <c r="B238" s="27" t="s">
        <v>441</v>
      </c>
      <c r="C238" s="32" t="s">
        <v>843</v>
      </c>
      <c r="D238" s="32">
        <v>80</v>
      </c>
      <c r="E238" s="32">
        <v>-1690</v>
      </c>
    </row>
    <row r="239" spans="1:5" x14ac:dyDescent="0.35">
      <c r="A239" s="32" t="s">
        <v>442</v>
      </c>
      <c r="B239" s="27" t="s">
        <v>434</v>
      </c>
      <c r="C239" s="32" t="s">
        <v>843</v>
      </c>
      <c r="D239" s="32">
        <v>50</v>
      </c>
      <c r="E239" s="32">
        <v>-3280</v>
      </c>
    </row>
    <row r="240" spans="1:5" x14ac:dyDescent="0.35">
      <c r="A240" s="32" t="s">
        <v>443</v>
      </c>
      <c r="B240" s="27" t="s">
        <v>444</v>
      </c>
      <c r="C240" s="32" t="s">
        <v>843</v>
      </c>
      <c r="D240" s="32">
        <v>30</v>
      </c>
      <c r="E240" s="32">
        <v>-486</v>
      </c>
    </row>
    <row r="241" spans="1:5" x14ac:dyDescent="0.35">
      <c r="A241" s="32" t="s">
        <v>445</v>
      </c>
      <c r="B241" s="27" t="s">
        <v>446</v>
      </c>
      <c r="C241" s="32" t="s">
        <v>843</v>
      </c>
      <c r="D241" s="32">
        <v>20</v>
      </c>
      <c r="E241" s="32">
        <v>-600</v>
      </c>
    </row>
    <row r="242" spans="1:5" x14ac:dyDescent="0.35">
      <c r="A242" s="32" t="s">
        <v>447</v>
      </c>
      <c r="B242" s="27" t="s">
        <v>448</v>
      </c>
      <c r="C242" s="32" t="s">
        <v>843</v>
      </c>
      <c r="D242" s="32">
        <v>200</v>
      </c>
      <c r="E242" s="32">
        <v>-132</v>
      </c>
    </row>
    <row r="243" spans="1:5" x14ac:dyDescent="0.35">
      <c r="A243" s="32" t="s">
        <v>449</v>
      </c>
      <c r="B243" s="27" t="s">
        <v>450</v>
      </c>
      <c r="C243" s="32" t="s">
        <v>843</v>
      </c>
      <c r="D243" s="32">
        <v>120</v>
      </c>
      <c r="E243" s="32">
        <v>-620</v>
      </c>
    </row>
    <row r="244" spans="1:5" x14ac:dyDescent="0.35">
      <c r="A244" s="32" t="s">
        <v>451</v>
      </c>
      <c r="B244" s="27" t="s">
        <v>452</v>
      </c>
      <c r="C244" s="32" t="s">
        <v>843</v>
      </c>
      <c r="D244" s="32">
        <v>80</v>
      </c>
      <c r="E244" s="32">
        <v>-3679</v>
      </c>
    </row>
    <row r="245" spans="1:5" x14ac:dyDescent="0.35">
      <c r="A245" s="32" t="s">
        <v>453</v>
      </c>
      <c r="B245" s="27" t="s">
        <v>454</v>
      </c>
      <c r="C245" s="32" t="s">
        <v>843</v>
      </c>
      <c r="D245" s="32">
        <v>30</v>
      </c>
      <c r="E245" s="32">
        <v>-313</v>
      </c>
    </row>
    <row r="246" spans="1:5" x14ac:dyDescent="0.35">
      <c r="A246" s="32" t="s">
        <v>455</v>
      </c>
      <c r="B246" s="27" t="s">
        <v>456</v>
      </c>
      <c r="C246" s="32" t="s">
        <v>843</v>
      </c>
      <c r="D246" s="32">
        <v>600</v>
      </c>
      <c r="E246" s="32">
        <v>-8669</v>
      </c>
    </row>
    <row r="247" spans="1:5" x14ac:dyDescent="0.35">
      <c r="A247" s="32" t="s">
        <v>457</v>
      </c>
      <c r="B247" s="27" t="s">
        <v>458</v>
      </c>
      <c r="C247" s="32" t="s">
        <v>843</v>
      </c>
      <c r="D247" s="32">
        <v>300</v>
      </c>
      <c r="E247" s="32">
        <v>-16452</v>
      </c>
    </row>
    <row r="248" spans="1:5" x14ac:dyDescent="0.35">
      <c r="A248" s="32" t="s">
        <v>459</v>
      </c>
      <c r="B248" s="27" t="s">
        <v>460</v>
      </c>
      <c r="C248" s="32" t="s">
        <v>843</v>
      </c>
      <c r="D248" s="32">
        <v>150</v>
      </c>
      <c r="E248" s="32">
        <v>-547</v>
      </c>
    </row>
    <row r="249" spans="1:5" x14ac:dyDescent="0.35">
      <c r="A249" s="32" t="s">
        <v>461</v>
      </c>
      <c r="B249" s="27" t="s">
        <v>462</v>
      </c>
      <c r="C249" s="32" t="s">
        <v>843</v>
      </c>
      <c r="D249" s="32">
        <v>50</v>
      </c>
      <c r="E249" s="32">
        <v>-172</v>
      </c>
    </row>
    <row r="250" spans="1:5" x14ac:dyDescent="0.35">
      <c r="A250" s="32" t="s">
        <v>463</v>
      </c>
      <c r="B250" s="27" t="s">
        <v>464</v>
      </c>
      <c r="C250" s="32" t="s">
        <v>843</v>
      </c>
      <c r="D250" s="32">
        <v>25</v>
      </c>
      <c r="E250" s="32">
        <v>-13</v>
      </c>
    </row>
    <row r="251" spans="1:5" x14ac:dyDescent="0.35">
      <c r="A251" s="32" t="s">
        <v>465</v>
      </c>
      <c r="B251" s="27" t="s">
        <v>466</v>
      </c>
      <c r="C251" s="32" t="s">
        <v>843</v>
      </c>
      <c r="D251" s="32">
        <v>10</v>
      </c>
      <c r="E251" s="32">
        <v>-10</v>
      </c>
    </row>
    <row r="252" spans="1:5" x14ac:dyDescent="0.35">
      <c r="A252" s="32" t="s">
        <v>467</v>
      </c>
      <c r="B252" s="27" t="s">
        <v>468</v>
      </c>
      <c r="C252" s="32" t="s">
        <v>843</v>
      </c>
      <c r="D252" s="32">
        <v>300</v>
      </c>
      <c r="E252" s="32">
        <v>-17645</v>
      </c>
    </row>
    <row r="253" spans="1:5" x14ac:dyDescent="0.35">
      <c r="A253" s="32" t="s">
        <v>469</v>
      </c>
      <c r="B253" s="27" t="s">
        <v>470</v>
      </c>
      <c r="C253" s="32" t="s">
        <v>843</v>
      </c>
      <c r="D253" s="32">
        <v>400</v>
      </c>
      <c r="E253" s="32">
        <v>-9026</v>
      </c>
    </row>
    <row r="254" spans="1:5" x14ac:dyDescent="0.35">
      <c r="A254" s="32" t="s">
        <v>471</v>
      </c>
      <c r="B254" s="27" t="s">
        <v>472</v>
      </c>
      <c r="C254" s="32" t="s">
        <v>843</v>
      </c>
      <c r="D254" s="32">
        <v>250</v>
      </c>
      <c r="E254" s="32">
        <v>-28865</v>
      </c>
    </row>
    <row r="255" spans="1:5" x14ac:dyDescent="0.35">
      <c r="A255" s="32" t="s">
        <v>473</v>
      </c>
      <c r="B255" s="27" t="s">
        <v>474</v>
      </c>
      <c r="C255" s="32" t="s">
        <v>843</v>
      </c>
      <c r="D255" s="32">
        <v>150</v>
      </c>
      <c r="E255" s="32">
        <v>-910</v>
      </c>
    </row>
    <row r="256" spans="1:5" x14ac:dyDescent="0.35">
      <c r="A256" s="32" t="s">
        <v>475</v>
      </c>
      <c r="B256" s="27" t="s">
        <v>476</v>
      </c>
      <c r="C256" s="32" t="s">
        <v>843</v>
      </c>
      <c r="D256" s="32">
        <v>100</v>
      </c>
      <c r="E256" s="32">
        <v>-1990</v>
      </c>
    </row>
    <row r="257" spans="1:5" x14ac:dyDescent="0.35">
      <c r="A257" s="32" t="s">
        <v>477</v>
      </c>
      <c r="B257" s="27" t="s">
        <v>478</v>
      </c>
      <c r="C257" s="32" t="s">
        <v>843</v>
      </c>
      <c r="D257" s="32">
        <v>50</v>
      </c>
      <c r="E257" s="32">
        <v>-250</v>
      </c>
    </row>
    <row r="258" spans="1:5" x14ac:dyDescent="0.35">
      <c r="A258" s="32" t="s">
        <v>479</v>
      </c>
      <c r="B258" s="27" t="s">
        <v>480</v>
      </c>
      <c r="C258" s="32" t="s">
        <v>843</v>
      </c>
      <c r="D258" s="32">
        <v>80</v>
      </c>
      <c r="E258" s="32">
        <v>-1093</v>
      </c>
    </row>
    <row r="259" spans="1:5" x14ac:dyDescent="0.35">
      <c r="A259" s="32" t="s">
        <v>481</v>
      </c>
      <c r="B259" s="27" t="s">
        <v>482</v>
      </c>
      <c r="C259" s="32" t="s">
        <v>843</v>
      </c>
      <c r="D259" s="32">
        <v>50</v>
      </c>
      <c r="E259" s="32">
        <v>-583</v>
      </c>
    </row>
    <row r="260" spans="1:5" x14ac:dyDescent="0.35">
      <c r="A260" s="32" t="s">
        <v>483</v>
      </c>
      <c r="B260" s="27" t="s">
        <v>484</v>
      </c>
      <c r="C260" s="32" t="s">
        <v>843</v>
      </c>
      <c r="D260" s="32">
        <v>6</v>
      </c>
      <c r="E260" s="32">
        <v>-8</v>
      </c>
    </row>
    <row r="261" spans="1:5" x14ac:dyDescent="0.35">
      <c r="A261" s="32" t="s">
        <v>485</v>
      </c>
      <c r="B261" s="27" t="s">
        <v>486</v>
      </c>
      <c r="C261" s="32" t="s">
        <v>843</v>
      </c>
      <c r="D261" s="32">
        <v>150</v>
      </c>
      <c r="E261" s="32">
        <v>-2020</v>
      </c>
    </row>
    <row r="262" spans="1:5" x14ac:dyDescent="0.35">
      <c r="A262" s="32" t="s">
        <v>487</v>
      </c>
      <c r="B262" s="27" t="s">
        <v>488</v>
      </c>
      <c r="C262" s="32" t="s">
        <v>843</v>
      </c>
      <c r="D262" s="32">
        <v>50</v>
      </c>
      <c r="E262" s="32">
        <v>-1075</v>
      </c>
    </row>
    <row r="263" spans="1:5" x14ac:dyDescent="0.35">
      <c r="A263" s="32" t="s">
        <v>489</v>
      </c>
      <c r="B263" s="27" t="s">
        <v>490</v>
      </c>
      <c r="C263" s="32" t="s">
        <v>843</v>
      </c>
      <c r="D263" s="32">
        <v>200</v>
      </c>
      <c r="E263" s="32">
        <v>-2275</v>
      </c>
    </row>
    <row r="264" spans="1:5" x14ac:dyDescent="0.35">
      <c r="A264" s="32" t="s">
        <v>491</v>
      </c>
      <c r="B264" s="27" t="s">
        <v>492</v>
      </c>
      <c r="C264" s="32" t="s">
        <v>843</v>
      </c>
      <c r="D264" s="32">
        <v>75</v>
      </c>
      <c r="E264" s="32">
        <v>-904</v>
      </c>
    </row>
    <row r="265" spans="1:5" x14ac:dyDescent="0.35">
      <c r="A265" s="32" t="s">
        <v>493</v>
      </c>
      <c r="B265" s="27" t="s">
        <v>494</v>
      </c>
      <c r="C265" s="32" t="s">
        <v>843</v>
      </c>
      <c r="D265" s="32">
        <v>40</v>
      </c>
      <c r="E265" s="32">
        <v>-82</v>
      </c>
    </row>
    <row r="266" spans="1:5" x14ac:dyDescent="0.35">
      <c r="A266" s="32" t="s">
        <v>495</v>
      </c>
      <c r="B266" s="27" t="s">
        <v>496</v>
      </c>
      <c r="C266" s="32" t="s">
        <v>843</v>
      </c>
      <c r="D266" s="32">
        <v>30</v>
      </c>
      <c r="E266" s="32">
        <v>-49</v>
      </c>
    </row>
    <row r="267" spans="1:5" x14ac:dyDescent="0.35">
      <c r="A267" s="32" t="s">
        <v>497</v>
      </c>
      <c r="B267" s="27" t="s">
        <v>498</v>
      </c>
      <c r="C267" s="32" t="s">
        <v>843</v>
      </c>
      <c r="D267" s="32">
        <v>200</v>
      </c>
      <c r="E267" s="32">
        <v>-210</v>
      </c>
    </row>
    <row r="268" spans="1:5" x14ac:dyDescent="0.35">
      <c r="A268" s="32" t="s">
        <v>499</v>
      </c>
      <c r="B268" s="27" t="s">
        <v>500</v>
      </c>
      <c r="C268" s="32" t="s">
        <v>843</v>
      </c>
      <c r="D268" s="32">
        <v>600</v>
      </c>
      <c r="E268" s="32">
        <v>-17</v>
      </c>
    </row>
    <row r="269" spans="1:5" x14ac:dyDescent="0.35">
      <c r="A269" s="32" t="s">
        <v>501</v>
      </c>
      <c r="B269" s="27" t="s">
        <v>502</v>
      </c>
      <c r="C269" s="32" t="s">
        <v>843</v>
      </c>
      <c r="D269" s="32">
        <v>300</v>
      </c>
      <c r="E269" s="32">
        <v>-5363</v>
      </c>
    </row>
    <row r="270" spans="1:5" x14ac:dyDescent="0.35">
      <c r="A270" s="32" t="s">
        <v>503</v>
      </c>
      <c r="B270" s="27" t="s">
        <v>504</v>
      </c>
      <c r="C270" s="32" t="s">
        <v>843</v>
      </c>
      <c r="D270" s="32">
        <v>80</v>
      </c>
      <c r="E270" s="32">
        <v>-129</v>
      </c>
    </row>
    <row r="271" spans="1:5" x14ac:dyDescent="0.35">
      <c r="A271" s="32" t="s">
        <v>505</v>
      </c>
      <c r="B271" s="27" t="s">
        <v>506</v>
      </c>
      <c r="C271" s="32" t="s">
        <v>843</v>
      </c>
      <c r="D271" s="32">
        <v>800</v>
      </c>
      <c r="E271" s="32">
        <v>-1993</v>
      </c>
    </row>
    <row r="272" spans="1:5" x14ac:dyDescent="0.35">
      <c r="A272" s="32" t="s">
        <v>507</v>
      </c>
      <c r="B272" s="27" t="s">
        <v>508</v>
      </c>
      <c r="C272" s="32" t="s">
        <v>843</v>
      </c>
      <c r="D272" s="32">
        <v>400</v>
      </c>
      <c r="E272" s="32">
        <v>-6175</v>
      </c>
    </row>
    <row r="273" spans="1:5" x14ac:dyDescent="0.35">
      <c r="A273" s="32" t="s">
        <v>509</v>
      </c>
      <c r="B273" s="27" t="s">
        <v>510</v>
      </c>
      <c r="C273" s="32" t="s">
        <v>843</v>
      </c>
      <c r="D273" s="32">
        <v>100</v>
      </c>
      <c r="E273" s="32">
        <v>-896</v>
      </c>
    </row>
    <row r="274" spans="1:5" x14ac:dyDescent="0.35">
      <c r="A274" s="32" t="s">
        <v>511</v>
      </c>
      <c r="B274" s="27" t="s">
        <v>512</v>
      </c>
      <c r="C274" s="32" t="s">
        <v>843</v>
      </c>
      <c r="D274" s="32">
        <v>75</v>
      </c>
      <c r="E274" s="32">
        <v>-2254</v>
      </c>
    </row>
    <row r="275" spans="1:5" x14ac:dyDescent="0.35">
      <c r="A275" s="32" t="s">
        <v>513</v>
      </c>
      <c r="B275" s="27" t="s">
        <v>514</v>
      </c>
      <c r="C275" s="32" t="s">
        <v>843</v>
      </c>
      <c r="D275" s="32">
        <v>50</v>
      </c>
      <c r="E275" s="32">
        <v>-102</v>
      </c>
    </row>
    <row r="276" spans="1:5" x14ac:dyDescent="0.35">
      <c r="A276" s="32" t="s">
        <v>515</v>
      </c>
      <c r="B276" s="27" t="s">
        <v>516</v>
      </c>
      <c r="C276" s="32" t="s">
        <v>843</v>
      </c>
      <c r="D276" s="32">
        <v>50</v>
      </c>
      <c r="E276" s="32">
        <v>-5285</v>
      </c>
    </row>
    <row r="277" spans="1:5" x14ac:dyDescent="0.35">
      <c r="A277" s="32" t="s">
        <v>517</v>
      </c>
      <c r="B277" s="27" t="s">
        <v>518</v>
      </c>
      <c r="C277" s="32" t="s">
        <v>843</v>
      </c>
      <c r="D277" s="32">
        <v>20</v>
      </c>
      <c r="E277" s="32">
        <v>-94</v>
      </c>
    </row>
    <row r="278" spans="1:5" x14ac:dyDescent="0.35">
      <c r="A278" s="32" t="s">
        <v>519</v>
      </c>
      <c r="B278" s="27" t="s">
        <v>520</v>
      </c>
      <c r="C278" s="32" t="s">
        <v>843</v>
      </c>
      <c r="D278" s="32">
        <v>100</v>
      </c>
      <c r="E278" s="32">
        <v>-2363</v>
      </c>
    </row>
    <row r="279" spans="1:5" x14ac:dyDescent="0.35">
      <c r="A279" s="32" t="s">
        <v>521</v>
      </c>
      <c r="B279" s="27" t="s">
        <v>522</v>
      </c>
      <c r="C279" s="32" t="s">
        <v>843</v>
      </c>
      <c r="D279" s="32">
        <v>75</v>
      </c>
      <c r="E279" s="32">
        <v>-3062</v>
      </c>
    </row>
    <row r="280" spans="1:5" x14ac:dyDescent="0.35">
      <c r="A280" s="32" t="s">
        <v>523</v>
      </c>
      <c r="B280" s="27" t="s">
        <v>524</v>
      </c>
      <c r="C280" s="32" t="s">
        <v>843</v>
      </c>
      <c r="D280" s="32">
        <v>100</v>
      </c>
      <c r="E280" s="32">
        <v>-2331</v>
      </c>
    </row>
    <row r="281" spans="1:5" x14ac:dyDescent="0.35">
      <c r="A281" s="32" t="s">
        <v>525</v>
      </c>
      <c r="B281" s="27" t="s">
        <v>526</v>
      </c>
      <c r="C281" s="32" t="s">
        <v>843</v>
      </c>
      <c r="D281" s="32">
        <v>50</v>
      </c>
      <c r="E281" s="32">
        <v>-125</v>
      </c>
    </row>
    <row r="282" spans="1:5" x14ac:dyDescent="0.35">
      <c r="A282" s="32" t="s">
        <v>527</v>
      </c>
      <c r="B282" s="27" t="s">
        <v>528</v>
      </c>
      <c r="C282" s="32" t="s">
        <v>843</v>
      </c>
      <c r="D282" s="32">
        <v>150</v>
      </c>
      <c r="E282" s="32">
        <v>-2856</v>
      </c>
    </row>
    <row r="283" spans="1:5" x14ac:dyDescent="0.35">
      <c r="A283" s="32" t="s">
        <v>529</v>
      </c>
      <c r="B283" s="27" t="s">
        <v>530</v>
      </c>
      <c r="C283" s="32" t="s">
        <v>843</v>
      </c>
      <c r="D283" s="32">
        <v>100</v>
      </c>
      <c r="E283" s="32">
        <v>-6634</v>
      </c>
    </row>
    <row r="284" spans="1:5" x14ac:dyDescent="0.35">
      <c r="A284" s="32" t="s">
        <v>531</v>
      </c>
      <c r="B284" s="27" t="s">
        <v>532</v>
      </c>
      <c r="C284" s="32" t="s">
        <v>843</v>
      </c>
      <c r="D284" s="32">
        <v>150</v>
      </c>
      <c r="E284" s="32">
        <v>-4045</v>
      </c>
    </row>
    <row r="285" spans="1:5" x14ac:dyDescent="0.35">
      <c r="A285" s="32" t="s">
        <v>533</v>
      </c>
      <c r="B285" s="27" t="s">
        <v>534</v>
      </c>
      <c r="C285" s="32" t="s">
        <v>843</v>
      </c>
      <c r="D285" s="32">
        <v>150</v>
      </c>
      <c r="E285" s="32">
        <v>-730</v>
      </c>
    </row>
    <row r="286" spans="1:5" x14ac:dyDescent="0.35">
      <c r="A286" s="32" t="s">
        <v>535</v>
      </c>
      <c r="B286" s="27" t="s">
        <v>536</v>
      </c>
      <c r="C286" s="32" t="s">
        <v>843</v>
      </c>
      <c r="D286" s="32">
        <v>150</v>
      </c>
      <c r="E286" s="32">
        <v>-812</v>
      </c>
    </row>
    <row r="287" spans="1:5" x14ac:dyDescent="0.35">
      <c r="A287" s="32" t="s">
        <v>537</v>
      </c>
      <c r="B287" s="27" t="s">
        <v>538</v>
      </c>
      <c r="C287" s="32" t="s">
        <v>843</v>
      </c>
      <c r="D287" s="32">
        <v>40</v>
      </c>
      <c r="E287" s="32">
        <v>-127</v>
      </c>
    </row>
    <row r="288" spans="1:5" x14ac:dyDescent="0.35">
      <c r="A288" s="32" t="s">
        <v>539</v>
      </c>
      <c r="B288" s="27" t="s">
        <v>540</v>
      </c>
      <c r="C288" s="32" t="s">
        <v>843</v>
      </c>
      <c r="D288" s="32">
        <v>100</v>
      </c>
      <c r="E288" s="32">
        <v>-207</v>
      </c>
    </row>
    <row r="289" spans="1:5" x14ac:dyDescent="0.35">
      <c r="A289" s="32" t="s">
        <v>541</v>
      </c>
      <c r="B289" s="27" t="s">
        <v>542</v>
      </c>
      <c r="C289" s="32" t="s">
        <v>843</v>
      </c>
      <c r="D289" s="32">
        <v>400</v>
      </c>
      <c r="E289" s="32">
        <v>-680</v>
      </c>
    </row>
    <row r="290" spans="1:5" x14ac:dyDescent="0.35">
      <c r="A290" s="32" t="s">
        <v>543</v>
      </c>
      <c r="B290" s="27" t="s">
        <v>544</v>
      </c>
      <c r="C290" s="32" t="s">
        <v>843</v>
      </c>
      <c r="D290" s="32">
        <v>100</v>
      </c>
      <c r="E290" s="32">
        <v>-150</v>
      </c>
    </row>
    <row r="291" spans="1:5" x14ac:dyDescent="0.35">
      <c r="A291" s="32" t="s">
        <v>545</v>
      </c>
      <c r="B291" s="27" t="s">
        <v>546</v>
      </c>
      <c r="C291" s="32" t="s">
        <v>843</v>
      </c>
      <c r="D291" s="32">
        <v>150</v>
      </c>
      <c r="E291" s="32">
        <v>-3576</v>
      </c>
    </row>
    <row r="292" spans="1:5" x14ac:dyDescent="0.35">
      <c r="A292" s="32" t="s">
        <v>547</v>
      </c>
      <c r="B292" s="27" t="s">
        <v>548</v>
      </c>
      <c r="C292" s="32" t="s">
        <v>843</v>
      </c>
      <c r="D292" s="32">
        <v>100</v>
      </c>
      <c r="E292" s="32">
        <v>-202</v>
      </c>
    </row>
    <row r="293" spans="1:5" x14ac:dyDescent="0.35">
      <c r="A293" s="32" t="s">
        <v>549</v>
      </c>
      <c r="B293" s="27" t="s">
        <v>550</v>
      </c>
      <c r="C293" s="32" t="s">
        <v>843</v>
      </c>
      <c r="D293" s="32">
        <v>32</v>
      </c>
      <c r="E293" s="32">
        <v>-160</v>
      </c>
    </row>
    <row r="294" spans="1:5" x14ac:dyDescent="0.35">
      <c r="A294" s="32" t="s">
        <v>551</v>
      </c>
      <c r="B294" s="27" t="s">
        <v>552</v>
      </c>
      <c r="C294" s="32" t="s">
        <v>843</v>
      </c>
      <c r="D294" s="32">
        <v>32</v>
      </c>
      <c r="E294" s="32">
        <v>-304</v>
      </c>
    </row>
    <row r="295" spans="1:5" x14ac:dyDescent="0.35">
      <c r="A295" s="32" t="s">
        <v>553</v>
      </c>
      <c r="B295" s="27" t="s">
        <v>554</v>
      </c>
      <c r="C295" s="32" t="s">
        <v>843</v>
      </c>
      <c r="D295" s="32">
        <v>32</v>
      </c>
      <c r="E295" s="32">
        <v>-640</v>
      </c>
    </row>
    <row r="296" spans="1:5" x14ac:dyDescent="0.35">
      <c r="A296" s="32" t="s">
        <v>555</v>
      </c>
      <c r="B296" s="27" t="s">
        <v>556</v>
      </c>
      <c r="C296" s="32" t="s">
        <v>843</v>
      </c>
      <c r="D296" s="32">
        <v>40</v>
      </c>
      <c r="E296" s="32">
        <v>-40</v>
      </c>
    </row>
    <row r="297" spans="1:5" x14ac:dyDescent="0.35">
      <c r="A297" s="32" t="s">
        <v>557</v>
      </c>
      <c r="B297" s="27" t="s">
        <v>558</v>
      </c>
      <c r="C297" s="32" t="s">
        <v>843</v>
      </c>
      <c r="D297" s="32">
        <v>10</v>
      </c>
      <c r="E297" s="32">
        <v>-33</v>
      </c>
    </row>
    <row r="298" spans="1:5" x14ac:dyDescent="0.35">
      <c r="A298" s="32" t="s">
        <v>559</v>
      </c>
      <c r="B298" s="27" t="s">
        <v>560</v>
      </c>
      <c r="C298" s="32" t="s">
        <v>843</v>
      </c>
      <c r="D298" s="32">
        <v>50</v>
      </c>
      <c r="E298" s="32">
        <v>-802</v>
      </c>
    </row>
    <row r="299" spans="1:5" x14ac:dyDescent="0.35">
      <c r="A299" s="32" t="s">
        <v>561</v>
      </c>
      <c r="B299" s="27" t="s">
        <v>562</v>
      </c>
      <c r="C299" s="32" t="s">
        <v>843</v>
      </c>
      <c r="D299" s="32">
        <v>50</v>
      </c>
      <c r="E299" s="32">
        <v>-50</v>
      </c>
    </row>
    <row r="300" spans="1:5" x14ac:dyDescent="0.35">
      <c r="A300" s="32" t="s">
        <v>563</v>
      </c>
      <c r="B300" s="27" t="s">
        <v>564</v>
      </c>
      <c r="C300" s="32" t="s">
        <v>843</v>
      </c>
      <c r="D300" s="32">
        <v>30</v>
      </c>
      <c r="E300" s="32">
        <v>-30</v>
      </c>
    </row>
    <row r="301" spans="1:5" x14ac:dyDescent="0.35">
      <c r="A301" s="32" t="s">
        <v>565</v>
      </c>
      <c r="B301" s="27" t="s">
        <v>566</v>
      </c>
      <c r="C301" s="32" t="s">
        <v>843</v>
      </c>
      <c r="D301" s="32">
        <v>60</v>
      </c>
      <c r="E301" s="32">
        <v>-33</v>
      </c>
    </row>
    <row r="302" spans="1:5" x14ac:dyDescent="0.35">
      <c r="A302" s="32" t="s">
        <v>567</v>
      </c>
      <c r="B302" s="27" t="s">
        <v>568</v>
      </c>
      <c r="C302" s="32" t="s">
        <v>843</v>
      </c>
      <c r="D302" s="32">
        <v>40</v>
      </c>
      <c r="E302" s="32">
        <v>-40</v>
      </c>
    </row>
    <row r="303" spans="1:5" x14ac:dyDescent="0.35">
      <c r="A303" s="32" t="s">
        <v>569</v>
      </c>
      <c r="B303" s="27" t="s">
        <v>570</v>
      </c>
      <c r="C303" s="32" t="s">
        <v>843</v>
      </c>
      <c r="D303" s="32">
        <v>50</v>
      </c>
      <c r="E303" s="32">
        <v>-42</v>
      </c>
    </row>
    <row r="304" spans="1:5" x14ac:dyDescent="0.35">
      <c r="A304" s="32" t="s">
        <v>400</v>
      </c>
      <c r="B304" s="27" t="s">
        <v>401</v>
      </c>
      <c r="C304" s="32" t="s">
        <v>843</v>
      </c>
      <c r="D304" s="32">
        <v>15</v>
      </c>
      <c r="E304" s="32">
        <v>-90</v>
      </c>
    </row>
    <row r="305" spans="1:5" x14ac:dyDescent="0.35">
      <c r="A305" s="32" t="s">
        <v>402</v>
      </c>
      <c r="B305" s="27" t="s">
        <v>403</v>
      </c>
      <c r="C305" s="32" t="s">
        <v>843</v>
      </c>
      <c r="D305" s="32">
        <v>4</v>
      </c>
      <c r="E305" s="32">
        <v>-20</v>
      </c>
    </row>
    <row r="306" spans="1:5" x14ac:dyDescent="0.35">
      <c r="A306" s="32" t="s">
        <v>404</v>
      </c>
      <c r="B306" s="27" t="s">
        <v>405</v>
      </c>
      <c r="C306" s="32" t="s">
        <v>843</v>
      </c>
      <c r="D306" s="32">
        <v>1</v>
      </c>
      <c r="E306" s="32">
        <v>-4</v>
      </c>
    </row>
    <row r="307" spans="1:5" x14ac:dyDescent="0.35">
      <c r="A307" s="32" t="s">
        <v>406</v>
      </c>
      <c r="B307" s="27" t="s">
        <v>407</v>
      </c>
      <c r="C307" s="32" t="s">
        <v>843</v>
      </c>
      <c r="D307" s="32">
        <v>8</v>
      </c>
      <c r="E307" s="32">
        <v>-72</v>
      </c>
    </row>
    <row r="308" spans="1:5" x14ac:dyDescent="0.35">
      <c r="A308" s="32" t="s">
        <v>408</v>
      </c>
      <c r="B308" s="27" t="s">
        <v>409</v>
      </c>
      <c r="C308" s="32" t="s">
        <v>843</v>
      </c>
      <c r="D308" s="32">
        <v>10</v>
      </c>
      <c r="E308" s="32">
        <v>-140</v>
      </c>
    </row>
    <row r="309" spans="1:5" x14ac:dyDescent="0.35">
      <c r="A309" s="32" t="s">
        <v>410</v>
      </c>
      <c r="B309" s="27" t="s">
        <v>411</v>
      </c>
      <c r="C309" s="32" t="s">
        <v>843</v>
      </c>
      <c r="D309" s="32">
        <v>25</v>
      </c>
      <c r="E309" s="32">
        <v>-750</v>
      </c>
    </row>
    <row r="310" spans="1:5" x14ac:dyDescent="0.35">
      <c r="A310" s="32" t="s">
        <v>412</v>
      </c>
      <c r="B310" s="27" t="s">
        <v>413</v>
      </c>
      <c r="C310" s="32" t="s">
        <v>843</v>
      </c>
      <c r="D310" s="32">
        <v>20</v>
      </c>
      <c r="E310" s="32">
        <v>-3220</v>
      </c>
    </row>
    <row r="311" spans="1:5" x14ac:dyDescent="0.35">
      <c r="A311" s="32" t="s">
        <v>414</v>
      </c>
      <c r="B311" s="27" t="s">
        <v>415</v>
      </c>
      <c r="C311" s="32" t="s">
        <v>843</v>
      </c>
      <c r="D311" s="32">
        <v>10</v>
      </c>
      <c r="E311" s="32">
        <v>-80</v>
      </c>
    </row>
    <row r="312" spans="1:5" x14ac:dyDescent="0.35">
      <c r="A312" s="32" t="s">
        <v>416</v>
      </c>
      <c r="B312" s="27" t="s">
        <v>407</v>
      </c>
      <c r="C312" s="32" t="s">
        <v>843</v>
      </c>
      <c r="D312" s="32">
        <v>8</v>
      </c>
      <c r="E312" s="32">
        <v>-16</v>
      </c>
    </row>
    <row r="313" spans="1:5" x14ac:dyDescent="0.35">
      <c r="A313" s="32" t="s">
        <v>417</v>
      </c>
      <c r="B313" s="27" t="s">
        <v>418</v>
      </c>
      <c r="C313" s="32" t="s">
        <v>843</v>
      </c>
      <c r="D313" s="32">
        <v>15</v>
      </c>
      <c r="E313" s="32">
        <v>-2175</v>
      </c>
    </row>
    <row r="314" spans="1:5" x14ac:dyDescent="0.35">
      <c r="A314" s="32" t="s">
        <v>743</v>
      </c>
      <c r="B314" s="27" t="s">
        <v>744</v>
      </c>
      <c r="C314" s="32" t="s">
        <v>745</v>
      </c>
      <c r="D314" s="32">
        <v>1</v>
      </c>
      <c r="E314" s="32">
        <v>-13</v>
      </c>
    </row>
    <row r="315" spans="1:5" x14ac:dyDescent="0.35">
      <c r="A315" s="32" t="s">
        <v>746</v>
      </c>
      <c r="B315" s="27" t="s">
        <v>747</v>
      </c>
      <c r="C315" s="32" t="s">
        <v>745</v>
      </c>
      <c r="D315" s="32">
        <v>1</v>
      </c>
      <c r="E315" s="32">
        <v>-1</v>
      </c>
    </row>
    <row r="316" spans="1:5" x14ac:dyDescent="0.35">
      <c r="A316" s="32" t="s">
        <v>835</v>
      </c>
      <c r="B316" s="27" t="s">
        <v>836</v>
      </c>
      <c r="C316" s="32" t="s">
        <v>745</v>
      </c>
      <c r="D316" s="32">
        <v>1</v>
      </c>
      <c r="E316" s="32">
        <v>-70</v>
      </c>
    </row>
    <row r="317" spans="1:5" x14ac:dyDescent="0.35">
      <c r="A317" s="32" t="s">
        <v>837</v>
      </c>
      <c r="B317" s="27" t="s">
        <v>838</v>
      </c>
      <c r="C317" s="32" t="s">
        <v>745</v>
      </c>
      <c r="D317" s="32">
        <v>1</v>
      </c>
      <c r="E317" s="32">
        <v>-25</v>
      </c>
    </row>
    <row r="318" spans="1:5" x14ac:dyDescent="0.35">
      <c r="A318" s="32" t="s">
        <v>839</v>
      </c>
      <c r="B318" s="27" t="s">
        <v>840</v>
      </c>
      <c r="C318" s="32" t="s">
        <v>745</v>
      </c>
      <c r="D318" s="32">
        <v>1</v>
      </c>
      <c r="E318" s="32">
        <v>-111</v>
      </c>
    </row>
  </sheetData>
  <autoFilter ref="A2:E318" xr:uid="{D7881E02-DF13-400A-A561-A7B43C9A0D2E}"/>
  <sortState xmlns:xlrd2="http://schemas.microsoft.com/office/spreadsheetml/2017/richdata2" ref="G4:H16">
    <sortCondition ref="G4:G16"/>
  </sortState>
  <mergeCells count="1">
    <mergeCell ref="A1:D1"/>
  </mergeCells>
  <conditionalFormatting sqref="A1:A2">
    <cfRule type="duplicateValues" dxfId="37" priority="35"/>
  </conditionalFormatting>
  <conditionalFormatting sqref="A3:A301">
    <cfRule type="duplicateValues" dxfId="36" priority="31"/>
  </conditionalFormatting>
  <conditionalFormatting sqref="A3:A316">
    <cfRule type="duplicateValues" dxfId="35" priority="30"/>
  </conditionalFormatting>
  <conditionalFormatting sqref="A61">
    <cfRule type="duplicateValues" dxfId="34" priority="29"/>
  </conditionalFormatting>
  <conditionalFormatting sqref="A236">
    <cfRule type="duplicateValues" dxfId="33" priority="28"/>
  </conditionalFormatting>
  <conditionalFormatting sqref="A244">
    <cfRule type="duplicateValues" dxfId="32" priority="27"/>
  </conditionalFormatting>
  <conditionalFormatting sqref="A246">
    <cfRule type="duplicateValues" dxfId="31" priority="26"/>
  </conditionalFormatting>
  <conditionalFormatting sqref="A272">
    <cfRule type="duplicateValues" dxfId="30" priority="25"/>
  </conditionalFormatting>
  <conditionalFormatting sqref="A273">
    <cfRule type="duplicateValues" dxfId="29" priority="24"/>
  </conditionalFormatting>
  <conditionalFormatting sqref="A276">
    <cfRule type="duplicateValues" dxfId="28" priority="23"/>
  </conditionalFormatting>
  <conditionalFormatting sqref="A279">
    <cfRule type="duplicateValues" dxfId="27" priority="22"/>
  </conditionalFormatting>
  <conditionalFormatting sqref="A280">
    <cfRule type="duplicateValues" dxfId="26" priority="21"/>
  </conditionalFormatting>
  <conditionalFormatting sqref="A282:A283">
    <cfRule type="duplicateValues" dxfId="25" priority="20"/>
  </conditionalFormatting>
  <conditionalFormatting sqref="A286">
    <cfRule type="duplicateValues" dxfId="24" priority="19"/>
  </conditionalFormatting>
  <conditionalFormatting sqref="A287">
    <cfRule type="duplicateValues" dxfId="23" priority="18"/>
  </conditionalFormatting>
  <conditionalFormatting sqref="A291">
    <cfRule type="duplicateValues" dxfId="22" priority="17"/>
  </conditionalFormatting>
  <conditionalFormatting sqref="A293:A295">
    <cfRule type="duplicateValues" dxfId="21" priority="15"/>
    <cfRule type="duplicateValues" dxfId="20" priority="16"/>
  </conditionalFormatting>
  <conditionalFormatting sqref="A296:A301 A3:A292">
    <cfRule type="duplicateValues" dxfId="19" priority="32"/>
  </conditionalFormatting>
  <conditionalFormatting sqref="A296:A301 A62:A292 A3:A60">
    <cfRule type="duplicateValues" dxfId="18" priority="33"/>
  </conditionalFormatting>
  <conditionalFormatting sqref="A302">
    <cfRule type="duplicateValues" dxfId="17" priority="13"/>
    <cfRule type="duplicateValues" dxfId="16" priority="14"/>
  </conditionalFormatting>
  <conditionalFormatting sqref="A303:A305">
    <cfRule type="duplicateValues" dxfId="15" priority="11"/>
    <cfRule type="duplicateValues" dxfId="14" priority="12"/>
  </conditionalFormatting>
  <conditionalFormatting sqref="A306">
    <cfRule type="duplicateValues" dxfId="13" priority="10"/>
  </conditionalFormatting>
  <conditionalFormatting sqref="A307:A311">
    <cfRule type="duplicateValues" dxfId="12" priority="8"/>
    <cfRule type="duplicateValues" dxfId="11" priority="9"/>
  </conditionalFormatting>
  <conditionalFormatting sqref="A312">
    <cfRule type="duplicateValues" dxfId="10" priority="5"/>
  </conditionalFormatting>
  <conditionalFormatting sqref="A313">
    <cfRule type="duplicateValues" dxfId="9" priority="6"/>
    <cfRule type="duplicateValues" dxfId="8" priority="7"/>
  </conditionalFormatting>
  <conditionalFormatting sqref="A314:A316">
    <cfRule type="duplicateValues" dxfId="7" priority="4"/>
  </conditionalFormatting>
  <conditionalFormatting sqref="A317">
    <cfRule type="duplicateValues" dxfId="6" priority="2"/>
    <cfRule type="duplicateValues" dxfId="5" priority="3"/>
  </conditionalFormatting>
  <conditionalFormatting sqref="A318">
    <cfRule type="duplicateValues" dxfId="4" priority="1"/>
  </conditionalFormatting>
  <conditionalFormatting sqref="E2:E318">
    <cfRule type="cellIs" dxfId="3" priority="3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</vt:lpstr>
      <vt:lpstr>PTMT</vt:lpstr>
      <vt:lpstr>SINK</vt:lpstr>
      <vt:lpstr>PLUMBING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Sharma Sales</dc:creator>
  <cp:lastModifiedBy>Yogesh Sharma Sales</cp:lastModifiedBy>
  <dcterms:created xsi:type="dcterms:W3CDTF">2026-07-02T13:08:08Z</dcterms:created>
  <dcterms:modified xsi:type="dcterms:W3CDTF">2026-07-03T06:13:58Z</dcterms:modified>
</cp:coreProperties>
</file>