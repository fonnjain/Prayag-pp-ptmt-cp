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Capacity Summary" sheetId="1" state="visible" r:id="rId3"/>
    <sheet name="Pipe Extrusion Daily" sheetId="2" state="visible" r:id="rId4"/>
    <sheet name="Moulding Daily" sheetId="3" state="visible" r:id="rId5"/>
    <sheet name="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<sst xmlns="http://schemas.openxmlformats.org/spreadsheetml/2006/main" count="143" uniqueCount="116">
  <si>
    <t xml:space="preserve">PLUMBING — TOTAL MACHINE CAPACITY (DAILY BASIS)</t>
  </si>
  <si>
    <t xml:space="preserve">Base case: 2 shifts × 10 hours = 20 machine-hours per day. Output capacity depends on the material/mix being run.</t>
  </si>
  <si>
    <t xml:space="preserve">TIME CAPACITY (per day)</t>
  </si>
  <si>
    <t xml:space="preserve">Pipe extrusion machines</t>
  </si>
  <si>
    <t xml:space="preserve">9 total</t>
  </si>
  <si>
    <t xml:space="preserve">180 h/day</t>
  </si>
  <si>
    <t xml:space="preserve">2 shifts × 10 h × 9 machines</t>
  </si>
  <si>
    <t xml:space="preserve">  – usable (have routing)</t>
  </si>
  <si>
    <t xml:space="preserve">7</t>
  </si>
  <si>
    <t xml:space="preserve">140 h/day</t>
  </si>
  <si>
    <t xml:space="preserve">M/C-1…6, 9</t>
  </si>
  <si>
    <t xml:space="preserve">  – locked out (no routing)</t>
  </si>
  <si>
    <t xml:space="preserve">2</t>
  </si>
  <si>
    <t xml:space="preserve">40 h/day</t>
  </si>
  <si>
    <t xml:space="preserve">M/C-7, M/C-8 — no items defined</t>
  </si>
  <si>
    <t xml:space="preserve">Moulding machines (fittings)</t>
  </si>
  <si>
    <t xml:space="preserve">24</t>
  </si>
  <si>
    <t xml:space="preserve">480 h/day</t>
  </si>
  <si>
    <t xml:space="preserve">2 shifts × 10 h × 24 machines</t>
  </si>
  <si>
    <t xml:space="preserve">TOTAL PLUMBING</t>
  </si>
  <si>
    <t xml:space="preserve">33 machines</t>
  </si>
  <si>
    <t xml:space="preserve">660 h/day</t>
  </si>
  <si>
    <t xml:space="preserve">of which 620 h/day is usable</t>
  </si>
  <si>
    <t xml:space="preserve">OUTPUT CAPACITY (per day)</t>
  </si>
  <si>
    <t xml:space="preserve">Pipe — CPVC only mix</t>
  </si>
  <si>
    <t xml:space="preserve">20,384 kg/day</t>
  </si>
  <si>
    <t xml:space="preserve">slowest material (145.6 kg/hr)</t>
  </si>
  <si>
    <t xml:space="preserve">Pipe — AGRI/SWR mix</t>
  </si>
  <si>
    <t xml:space="preserve">42,000 kg/day</t>
  </si>
  <si>
    <t xml:space="preserve">fastest materials (~300 kg/hr)</t>
  </si>
  <si>
    <t xml:space="preserve">Pipe — realistic July mix</t>
  </si>
  <si>
    <t xml:space="preserve">≈ 17,330 kg/day</t>
  </si>
  <si>
    <t xml:space="preserve">433,260 kg ÷ 25 days</t>
  </si>
  <si>
    <t xml:space="preserve">Moulding — actual run rate</t>
  </si>
  <si>
    <t xml:space="preserve">4,851 kg/day</t>
  </si>
  <si>
    <t xml:space="preserve">avg 10.1 kg/hr per machine (Report-12)</t>
  </si>
  <si>
    <t xml:space="preserve">MONTHLY EQUIVALENT (25 days)</t>
  </si>
  <si>
    <t xml:space="preserve">Pipe usable</t>
  </si>
  <si>
    <t xml:space="preserve">3,500 h/month</t>
  </si>
  <si>
    <t xml:space="preserve">7 × 500 h</t>
  </si>
  <si>
    <t xml:space="preserve">Moulding</t>
  </si>
  <si>
    <t xml:space="preserve">12,000 h/month</t>
  </si>
  <si>
    <t xml:space="preserve">24 × 500 h</t>
  </si>
  <si>
    <t xml:space="preserve">PIPE EXTRUSION — DAILY CAPACITY PER MACHINE</t>
  </si>
  <si>
    <t xml:space="preserve">kg/day = 20 machine-hours × the per-hour rate for that material. A machine can only run the materials it is routed for.</t>
  </si>
  <si>
    <t xml:space="preserve">Machine</t>
  </si>
  <si>
    <t xml:space="preserve">Shifts/day</t>
  </si>
  <si>
    <t xml:space="preserve">Hours/day</t>
  </si>
  <si>
    <t xml:space="preserve">Operators (OT)</t>
  </si>
  <si>
    <t xml:space="preserve">Support (W)</t>
  </si>
  <si>
    <t xml:space="preserve">Materials it can run</t>
  </si>
  <si>
    <t xml:space="preserve">CPVC kg/day</t>
  </si>
  <si>
    <t xml:space="preserve">UPVC kg/day</t>
  </si>
  <si>
    <t xml:space="preserve">SWR kg/day</t>
  </si>
  <si>
    <t xml:space="preserve">AGRI kg/day</t>
  </si>
  <si>
    <t xml:space="preserve">M/C-1</t>
  </si>
  <si>
    <t xml:space="preserve">CPVC</t>
  </si>
  <si>
    <t xml:space="preserve">—</t>
  </si>
  <si>
    <t xml:space="preserve">M/C-2</t>
  </si>
  <si>
    <t xml:space="preserve">M/C-3</t>
  </si>
  <si>
    <t xml:space="preserve">AGRI, CPVC, SWR, UPVC</t>
  </si>
  <si>
    <t xml:space="preserve">M/C-4</t>
  </si>
  <si>
    <t xml:space="preserve">M/C-5</t>
  </si>
  <si>
    <t xml:space="preserve">AGRI, UPVC</t>
  </si>
  <si>
    <t xml:space="preserve">M/C-6</t>
  </si>
  <si>
    <t xml:space="preserve">UPVC</t>
  </si>
  <si>
    <t xml:space="preserve">M/C-7</t>
  </si>
  <si>
    <t xml:space="preserve">none — LOCKED OUT</t>
  </si>
  <si>
    <t xml:space="preserve">M/C-8</t>
  </si>
  <si>
    <t xml:space="preserve">M/C-9</t>
  </si>
  <si>
    <t xml:space="preserve">SWR</t>
  </si>
  <si>
    <t xml:space="preserve">TOTAL (usable)</t>
  </si>
  <si>
    <t xml:space="preserve">Locked out: M/C-7 and M/C-8 have no items in the routing matrix, so their 40 h/day (2 × 20 h) cannot be used until capability is defined.</t>
  </si>
  <si>
    <t xml:space="preserve">MOULDING (FITTINGS) — DAILY CAPACITY PER MACHINE</t>
  </si>
  <si>
    <t xml:space="preserve">Rates are the machine's actual measured throughput from Report-12 (July): output ÷ run-hours.</t>
  </si>
  <si>
    <t xml:space="preserve">Actual kg/hr</t>
  </si>
  <si>
    <t xml:space="preserve">kg/day</t>
  </si>
  <si>
    <t xml:space="preserve">Pcs/day</t>
  </si>
  <si>
    <t xml:space="preserve">D01(U-450)</t>
  </si>
  <si>
    <t xml:space="preserve">B02(C-200)</t>
  </si>
  <si>
    <t xml:space="preserve">D02(U-350)</t>
  </si>
  <si>
    <t xml:space="preserve">D06(U-250)</t>
  </si>
  <si>
    <t xml:space="preserve">C01(U-250)</t>
  </si>
  <si>
    <t xml:space="preserve">B01(C-275)</t>
  </si>
  <si>
    <t xml:space="preserve">C07(U-250)</t>
  </si>
  <si>
    <t xml:space="preserve">D07(U-250)</t>
  </si>
  <si>
    <t xml:space="preserve">C05(U-250)</t>
  </si>
  <si>
    <t xml:space="preserve">C06(U-250)</t>
  </si>
  <si>
    <t xml:space="preserve">C02(U-250)</t>
  </si>
  <si>
    <t xml:space="preserve">C04(U-250)</t>
  </si>
  <si>
    <t xml:space="preserve">B03(C-200)</t>
  </si>
  <si>
    <t xml:space="preserve">B06(NU-200)</t>
  </si>
  <si>
    <t xml:space="preserve">D03(U-250)</t>
  </si>
  <si>
    <t xml:space="preserve">A02(U-150)</t>
  </si>
  <si>
    <t xml:space="preserve">D05(U-200)</t>
  </si>
  <si>
    <t xml:space="preserve">A03(U-150)</t>
  </si>
  <si>
    <t xml:space="preserve">B04(C-200)</t>
  </si>
  <si>
    <t xml:space="preserve">A05(U-150)</t>
  </si>
  <si>
    <t xml:space="preserve">B05(C-150)</t>
  </si>
  <si>
    <t xml:space="preserve">A06(C-150)</t>
  </si>
  <si>
    <t xml:space="preserve">A01(NU-200)</t>
  </si>
  <si>
    <t xml:space="preserve">A04(NU-150)</t>
  </si>
  <si>
    <t xml:space="preserve">TOTAL</t>
  </si>
  <si>
    <t xml:space="preserve">ASSUMPTIONS &amp; SOURCES</t>
  </si>
  <si>
    <t xml:space="preserve">Shift pattern: 2 shifts × 10 hours = 20 machine-hours per day (base case, editable per machine in the app).</t>
  </si>
  <si>
    <t xml:space="preserve">Working days: 25 per month → 500 machine-hours per machine per month.</t>
  </si>
  <si>
    <t xml:space="preserve">PIPE per-hour rates (kg/hr) — from MACHINE PLANING JUNE 2026, column F 'PER HOUR OUT PUT':</t>
  </si>
  <si>
    <t xml:space="preserve">   CPVC 145.6 (range 95–220) · UPVC 250 · SWR 295 (range 280–320) · AGRI 300 (range 250–320).</t>
  </si>
  <si>
    <t xml:space="preserve">   UPVC comes from the 'MACHINE' tab; CPVC/SWR/AGRI from the 'PIPE PURD PLAN' tab.</t>
  </si>
  <si>
    <t xml:space="preserve">   Individual items can differ — these are the material averages used for capacity.</t>
  </si>
  <si>
    <t xml:space="preserve">PIPE capability &amp; staffing: from Pipes_details 'Details' (OT = operators, W = support staff).</t>
  </si>
  <si>
    <t xml:space="preserve">   M/C-7 and M/C-8 have no items listed, so they are shown as locked out.</t>
  </si>
  <si>
    <t xml:space="preserve">MOULDING rates: measured from Report-12 (July) as output kg ÷ run hours per machine.</t>
  </si>
  <si>
    <t xml:space="preserve">   These are ACTUAL achieved rates, not theoretical cavity/cycle rates, so they already include normal losses.</t>
  </si>
  <si>
    <t xml:space="preserve">Output capacity is mix-dependent: a pipe machine running CPVC produces far less per day than the same machine</t>
  </si>
  <si>
    <t xml:space="preserve">running AGRI or SWR, because the material rate differs by roughly 2x. Time capacity (20 h/day) is fixed.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</si>
</sst>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60606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9"/>
      <name val="Arial"/>
      <family val="0"/>
      <charset val="1"/>
    </font>
    <font>
      <sz val="9"/>
      <color rgb="FFA0A0A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55A11"/>
        <bgColor rgb="FF993300"/>
      </patternFill>
    </fill>
    <fill>
      <patternFill patternType="solid">
        <fgColor rgb="FF1F3864"/>
        <bgColor rgb="FF333399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595959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06060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20"/>
    <col collapsed="false" customWidth="true" hidden="false" outlineLevel="0" max="4" min="4" style="0" width="42"/>
  </cols>
  <sheetData>
    <row r="1" customFormat="false" ht="25.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6.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5" t="s">
        <v>4</v>
      </c>
      <c r="C5" s="6" t="s">
        <v>5</v>
      </c>
      <c r="D5" s="7" t="s">
        <v>6</v>
      </c>
    </row>
    <row r="6" customFormat="false" ht="15" hidden="false" customHeight="false" outlineLevel="0" collapsed="false">
      <c r="A6" s="8" t="s">
        <v>7</v>
      </c>
      <c r="B6" s="5" t="s">
        <v>8</v>
      </c>
      <c r="C6" s="6" t="s">
        <v>9</v>
      </c>
      <c r="D6" s="7" t="s">
        <v>10</v>
      </c>
    </row>
    <row r="7" customFormat="false" ht="15" hidden="false" customHeight="false" outlineLevel="0" collapsed="false">
      <c r="A7" s="8" t="s">
        <v>11</v>
      </c>
      <c r="B7" s="5" t="s">
        <v>12</v>
      </c>
      <c r="C7" s="6" t="s">
        <v>13</v>
      </c>
      <c r="D7" s="7" t="s">
        <v>14</v>
      </c>
    </row>
    <row r="8" customFormat="false" ht="15" hidden="false" customHeight="false" outlineLevel="0" collapsed="false">
      <c r="A8" s="4" t="s">
        <v>15</v>
      </c>
      <c r="B8" s="5" t="s">
        <v>16</v>
      </c>
      <c r="C8" s="6" t="s">
        <v>17</v>
      </c>
      <c r="D8" s="7" t="s">
        <v>18</v>
      </c>
    </row>
    <row r="9" customFormat="false" ht="15" hidden="false" customHeight="false" outlineLevel="0" collapsed="false">
      <c r="A9" s="4" t="s">
        <v>19</v>
      </c>
      <c r="B9" s="5" t="s">
        <v>20</v>
      </c>
      <c r="C9" s="6" t="s">
        <v>21</v>
      </c>
      <c r="D9" s="7" t="s">
        <v>22</v>
      </c>
    </row>
    <row r="10" customFormat="false" ht="16.5" hidden="false" customHeight="true" outlineLevel="0" collapsed="false">
      <c r="A10" s="3"/>
      <c r="B10" s="3"/>
      <c r="C10" s="3"/>
      <c r="D10" s="3"/>
    </row>
    <row r="11" customFormat="false" ht="16.5" hidden="false" customHeight="true" outlineLevel="0" collapsed="false">
      <c r="A11" s="3" t="s">
        <v>23</v>
      </c>
      <c r="B11" s="3"/>
      <c r="C11" s="3"/>
      <c r="D11" s="3"/>
    </row>
    <row r="12" customFormat="false" ht="15" hidden="false" customHeight="false" outlineLevel="0" collapsed="false">
      <c r="A12" s="4" t="s">
        <v>24</v>
      </c>
      <c r="B12" s="5"/>
      <c r="C12" s="6" t="s">
        <v>25</v>
      </c>
      <c r="D12" s="7" t="s">
        <v>26</v>
      </c>
    </row>
    <row r="13" customFormat="false" ht="15" hidden="false" customHeight="false" outlineLevel="0" collapsed="false">
      <c r="A13" s="4" t="s">
        <v>27</v>
      </c>
      <c r="B13" s="5"/>
      <c r="C13" s="6" t="s">
        <v>28</v>
      </c>
      <c r="D13" s="7" t="s">
        <v>29</v>
      </c>
    </row>
    <row r="14" customFormat="false" ht="15" hidden="false" customHeight="false" outlineLevel="0" collapsed="false">
      <c r="A14" s="4" t="s">
        <v>30</v>
      </c>
      <c r="B14" s="5"/>
      <c r="C14" s="6" t="s">
        <v>31</v>
      </c>
      <c r="D14" s="7" t="s">
        <v>32</v>
      </c>
    </row>
    <row r="15" customFormat="false" ht="15" hidden="false" customHeight="false" outlineLevel="0" collapsed="false">
      <c r="A15" s="4" t="s">
        <v>33</v>
      </c>
      <c r="B15" s="5"/>
      <c r="C15" s="6" t="s">
        <v>34</v>
      </c>
      <c r="D15" s="7" t="s">
        <v>35</v>
      </c>
    </row>
    <row r="16" customFormat="false" ht="16.5" hidden="false" customHeight="true" outlineLevel="0" collapsed="false">
      <c r="A16" s="3"/>
      <c r="B16" s="3"/>
      <c r="C16" s="3"/>
      <c r="D16" s="3"/>
    </row>
    <row r="17" customFormat="false" ht="16.5" hidden="false" customHeight="true" outlineLevel="0" collapsed="false">
      <c r="A17" s="3" t="s">
        <v>36</v>
      </c>
      <c r="B17" s="3"/>
      <c r="C17" s="3"/>
      <c r="D17" s="3"/>
    </row>
    <row r="18" customFormat="false" ht="15" hidden="false" customHeight="false" outlineLevel="0" collapsed="false">
      <c r="A18" s="4" t="s">
        <v>37</v>
      </c>
      <c r="B18" s="5"/>
      <c r="C18" s="6" t="s">
        <v>38</v>
      </c>
      <c r="D18" s="7" t="s">
        <v>39</v>
      </c>
    </row>
    <row r="19" customFormat="false" ht="15" hidden="false" customHeight="false" outlineLevel="0" collapsed="false">
      <c r="A19" s="4" t="s">
        <v>40</v>
      </c>
      <c r="B19" s="5"/>
      <c r="C19" s="6" t="s">
        <v>41</v>
      </c>
      <c r="D19" s="7" t="s">
        <v>42</v>
      </c>
    </row>
  </sheetData>
  <mergeCells count="7">
    <mergeCell ref="A1:D1"/>
    <mergeCell ref="A2:D2"/>
    <mergeCell ref="A4:D4"/>
    <mergeCell ref="A10:D10"/>
    <mergeCell ref="A11:D11"/>
    <mergeCell ref="A16:D16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10" min="7" style="0" width="12"/>
  </cols>
  <sheetData>
    <row r="1" customFormat="false" ht="16.15" hidden="false" customHeight="false" outlineLevel="0" collapsed="false">
      <c r="A1" s="9" t="s">
        <v>43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5" hidden="false" customHeight="false" outlineLevel="0" collapsed="false">
      <c r="A2" s="2" t="s">
        <v>44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A4" s="10" t="s">
        <v>45</v>
      </c>
      <c r="B4" s="10" t="s">
        <v>46</v>
      </c>
      <c r="C4" s="10" t="s">
        <v>47</v>
      </c>
      <c r="D4" s="10" t="s">
        <v>48</v>
      </c>
      <c r="E4" s="10" t="s">
        <v>49</v>
      </c>
      <c r="F4" s="10" t="s">
        <v>50</v>
      </c>
      <c r="G4" s="10" t="s">
        <v>51</v>
      </c>
      <c r="H4" s="10" t="s">
        <v>52</v>
      </c>
      <c r="I4" s="10" t="s">
        <v>53</v>
      </c>
      <c r="J4" s="10" t="s">
        <v>54</v>
      </c>
    </row>
    <row r="5" customFormat="false" ht="15" hidden="false" customHeight="false" outlineLevel="0" collapsed="false">
      <c r="A5" s="11" t="s">
        <v>55</v>
      </c>
      <c r="B5" s="12" t="n">
        <v>2</v>
      </c>
      <c r="C5" s="12" t="n">
        <v>20</v>
      </c>
      <c r="D5" s="12" t="n">
        <v>1</v>
      </c>
      <c r="E5" s="12" t="n">
        <v>3</v>
      </c>
      <c r="F5" s="13" t="s">
        <v>56</v>
      </c>
      <c r="G5" s="14" t="n">
        <v>2912</v>
      </c>
      <c r="H5" s="15" t="s">
        <v>57</v>
      </c>
      <c r="I5" s="15" t="s">
        <v>57</v>
      </c>
      <c r="J5" s="15" t="s">
        <v>57</v>
      </c>
    </row>
    <row r="6" customFormat="false" ht="15" hidden="false" customHeight="false" outlineLevel="0" collapsed="false">
      <c r="A6" s="11" t="s">
        <v>58</v>
      </c>
      <c r="B6" s="12" t="n">
        <v>2</v>
      </c>
      <c r="C6" s="12" t="n">
        <v>20</v>
      </c>
      <c r="D6" s="12" t="n">
        <v>1</v>
      </c>
      <c r="E6" s="12" t="n">
        <v>3</v>
      </c>
      <c r="F6" s="13" t="s">
        <v>56</v>
      </c>
      <c r="G6" s="14" t="n">
        <v>2912</v>
      </c>
      <c r="H6" s="15" t="s">
        <v>57</v>
      </c>
      <c r="I6" s="15" t="s">
        <v>57</v>
      </c>
      <c r="J6" s="15" t="s">
        <v>57</v>
      </c>
    </row>
    <row r="7" customFormat="false" ht="15" hidden="false" customHeight="false" outlineLevel="0" collapsed="false">
      <c r="A7" s="11" t="s">
        <v>59</v>
      </c>
      <c r="B7" s="12" t="n">
        <v>2</v>
      </c>
      <c r="C7" s="12" t="n">
        <v>20</v>
      </c>
      <c r="D7" s="12" t="n">
        <v>1</v>
      </c>
      <c r="E7" s="12" t="n">
        <v>4</v>
      </c>
      <c r="F7" s="13" t="s">
        <v>60</v>
      </c>
      <c r="G7" s="14" t="n">
        <v>2912</v>
      </c>
      <c r="H7" s="14" t="n">
        <v>5000</v>
      </c>
      <c r="I7" s="14" t="n">
        <v>5900</v>
      </c>
      <c r="J7" s="14" t="n">
        <v>6000</v>
      </c>
    </row>
    <row r="8" customFormat="false" ht="15" hidden="false" customHeight="false" outlineLevel="0" collapsed="false">
      <c r="A8" s="11" t="s">
        <v>61</v>
      </c>
      <c r="B8" s="12" t="n">
        <v>2</v>
      </c>
      <c r="C8" s="12" t="n">
        <v>20</v>
      </c>
      <c r="D8" s="12" t="n">
        <v>1</v>
      </c>
      <c r="E8" s="12" t="n">
        <v>4</v>
      </c>
      <c r="F8" s="13" t="s">
        <v>60</v>
      </c>
      <c r="G8" s="14" t="n">
        <v>2912</v>
      </c>
      <c r="H8" s="14" t="n">
        <v>5000</v>
      </c>
      <c r="I8" s="14" t="n">
        <v>5900</v>
      </c>
      <c r="J8" s="14" t="n">
        <v>6000</v>
      </c>
    </row>
    <row r="9" customFormat="false" ht="15" hidden="false" customHeight="false" outlineLevel="0" collapsed="false">
      <c r="A9" s="11" t="s">
        <v>62</v>
      </c>
      <c r="B9" s="12" t="n">
        <v>2</v>
      </c>
      <c r="C9" s="12" t="n">
        <v>20</v>
      </c>
      <c r="D9" s="12" t="n">
        <v>1</v>
      </c>
      <c r="E9" s="12" t="n">
        <v>3</v>
      </c>
      <c r="F9" s="13" t="s">
        <v>63</v>
      </c>
      <c r="G9" s="15" t="s">
        <v>57</v>
      </c>
      <c r="H9" s="14" t="n">
        <v>5000</v>
      </c>
      <c r="I9" s="15" t="s">
        <v>57</v>
      </c>
      <c r="J9" s="14" t="n">
        <v>6000</v>
      </c>
    </row>
    <row r="10" customFormat="false" ht="15" hidden="false" customHeight="false" outlineLevel="0" collapsed="false">
      <c r="A10" s="11" t="s">
        <v>64</v>
      </c>
      <c r="B10" s="12" t="n">
        <v>2</v>
      </c>
      <c r="C10" s="12" t="n">
        <v>20</v>
      </c>
      <c r="D10" s="12" t="n">
        <v>1</v>
      </c>
      <c r="E10" s="12" t="n">
        <v>3</v>
      </c>
      <c r="F10" s="13" t="s">
        <v>65</v>
      </c>
      <c r="G10" s="15" t="s">
        <v>57</v>
      </c>
      <c r="H10" s="14" t="n">
        <v>5000</v>
      </c>
      <c r="I10" s="15" t="s">
        <v>57</v>
      </c>
      <c r="J10" s="15" t="s">
        <v>57</v>
      </c>
    </row>
    <row r="11" customFormat="false" ht="15" hidden="false" customHeight="false" outlineLevel="0" collapsed="false">
      <c r="A11" s="11" t="s">
        <v>66</v>
      </c>
      <c r="B11" s="12" t="n">
        <v>2</v>
      </c>
      <c r="C11" s="12" t="n">
        <v>0</v>
      </c>
      <c r="D11" s="12" t="n">
        <v>1</v>
      </c>
      <c r="E11" s="12" t="n">
        <v>3</v>
      </c>
      <c r="F11" s="16" t="s">
        <v>67</v>
      </c>
      <c r="G11" s="15" t="s">
        <v>57</v>
      </c>
      <c r="H11" s="15" t="s">
        <v>57</v>
      </c>
      <c r="I11" s="15" t="s">
        <v>57</v>
      </c>
      <c r="J11" s="15" t="s">
        <v>57</v>
      </c>
    </row>
    <row r="12" customFormat="false" ht="15" hidden="false" customHeight="false" outlineLevel="0" collapsed="false">
      <c r="A12" s="11" t="s">
        <v>68</v>
      </c>
      <c r="B12" s="12" t="n">
        <v>2</v>
      </c>
      <c r="C12" s="12" t="n">
        <v>0</v>
      </c>
      <c r="D12" s="12" t="n">
        <v>1</v>
      </c>
      <c r="E12" s="12" t="n">
        <v>5</v>
      </c>
      <c r="F12" s="16" t="s">
        <v>67</v>
      </c>
      <c r="G12" s="15" t="s">
        <v>57</v>
      </c>
      <c r="H12" s="15" t="s">
        <v>57</v>
      </c>
      <c r="I12" s="15" t="s">
        <v>57</v>
      </c>
      <c r="J12" s="15" t="s">
        <v>57</v>
      </c>
    </row>
    <row r="13" customFormat="false" ht="15" hidden="false" customHeight="false" outlineLevel="0" collapsed="false">
      <c r="A13" s="11" t="s">
        <v>69</v>
      </c>
      <c r="B13" s="12" t="n">
        <v>2</v>
      </c>
      <c r="C13" s="12" t="n">
        <v>20</v>
      </c>
      <c r="D13" s="12" t="n">
        <v>1</v>
      </c>
      <c r="E13" s="12" t="n">
        <v>3</v>
      </c>
      <c r="F13" s="13" t="s">
        <v>70</v>
      </c>
      <c r="G13" s="15" t="s">
        <v>57</v>
      </c>
      <c r="H13" s="15" t="s">
        <v>57</v>
      </c>
      <c r="I13" s="14" t="n">
        <v>5900</v>
      </c>
      <c r="J13" s="15" t="s">
        <v>57</v>
      </c>
    </row>
    <row r="14" customFormat="false" ht="15" hidden="false" customHeight="false" outlineLevel="0" collapsed="false">
      <c r="A14" s="17" t="s">
        <v>71</v>
      </c>
      <c r="B14" s="18"/>
      <c r="C14" s="19" t="n">
        <v>140</v>
      </c>
      <c r="D14" s="18"/>
      <c r="E14" s="18"/>
      <c r="F14" s="18"/>
      <c r="G14" s="18"/>
      <c r="H14" s="18"/>
      <c r="I14" s="18"/>
      <c r="J14" s="18"/>
    </row>
    <row r="16" customFormat="false" ht="15" hidden="false" customHeight="false" outlineLevel="0" collapsed="false">
      <c r="A16" s="20" t="s">
        <v>72</v>
      </c>
      <c r="B16" s="20"/>
      <c r="C16" s="20"/>
      <c r="D16" s="20"/>
      <c r="E16" s="20"/>
      <c r="F16" s="20"/>
      <c r="G16" s="20"/>
      <c r="H16" s="20"/>
      <c r="I16" s="20"/>
      <c r="J16" s="20"/>
    </row>
  </sheetData>
  <mergeCells count="3">
    <mergeCell ref="A1:J1"/>
    <mergeCell ref="A2:J2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6" min="4" style="0" width="14"/>
  </cols>
  <sheetData>
    <row r="1" customFormat="false" ht="16.15" hidden="false" customHeight="false" outlineLevel="0" collapsed="false">
      <c r="A1" s="9" t="s">
        <v>73</v>
      </c>
      <c r="B1" s="9"/>
      <c r="C1" s="9"/>
      <c r="D1" s="9"/>
      <c r="E1" s="9"/>
      <c r="F1" s="9"/>
    </row>
    <row r="2" customFormat="false" ht="15" hidden="false" customHeight="false" outlineLevel="0" collapsed="false">
      <c r="A2" s="2" t="s">
        <v>74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10" t="s">
        <v>45</v>
      </c>
      <c r="B4" s="10" t="s">
        <v>46</v>
      </c>
      <c r="C4" s="10" t="s">
        <v>47</v>
      </c>
      <c r="D4" s="10" t="s">
        <v>75</v>
      </c>
      <c r="E4" s="10" t="s">
        <v>76</v>
      </c>
      <c r="F4" s="10" t="s">
        <v>77</v>
      </c>
    </row>
    <row r="5" customFormat="false" ht="15" hidden="false" customHeight="false" outlineLevel="0" collapsed="false">
      <c r="A5" s="21" t="s">
        <v>78</v>
      </c>
      <c r="B5" s="12" t="n">
        <v>2</v>
      </c>
      <c r="C5" s="12" t="n">
        <v>20</v>
      </c>
      <c r="D5" s="22" t="n">
        <v>22.8</v>
      </c>
      <c r="E5" s="14" t="n">
        <v>455</v>
      </c>
      <c r="F5" s="14" t="n">
        <v>1140</v>
      </c>
    </row>
    <row r="6" customFormat="false" ht="15" hidden="false" customHeight="false" outlineLevel="0" collapsed="false">
      <c r="A6" s="21" t="s">
        <v>79</v>
      </c>
      <c r="B6" s="12" t="n">
        <v>2</v>
      </c>
      <c r="C6" s="12" t="n">
        <v>20</v>
      </c>
      <c r="D6" s="22" t="n">
        <v>14.5</v>
      </c>
      <c r="E6" s="14" t="n">
        <v>289</v>
      </c>
      <c r="F6" s="14" t="n">
        <v>8932</v>
      </c>
    </row>
    <row r="7" customFormat="false" ht="15" hidden="false" customHeight="false" outlineLevel="0" collapsed="false">
      <c r="A7" s="21" t="s">
        <v>80</v>
      </c>
      <c r="B7" s="12" t="n">
        <v>2</v>
      </c>
      <c r="C7" s="12" t="n">
        <v>20</v>
      </c>
      <c r="D7" s="22" t="n">
        <v>14.4</v>
      </c>
      <c r="E7" s="14" t="n">
        <v>287</v>
      </c>
      <c r="F7" s="14" t="n">
        <v>742</v>
      </c>
    </row>
    <row r="8" customFormat="false" ht="15" hidden="false" customHeight="false" outlineLevel="0" collapsed="false">
      <c r="A8" s="21" t="s">
        <v>81</v>
      </c>
      <c r="B8" s="12" t="n">
        <v>2</v>
      </c>
      <c r="C8" s="12" t="n">
        <v>20</v>
      </c>
      <c r="D8" s="22" t="n">
        <v>14.2</v>
      </c>
      <c r="E8" s="14" t="n">
        <v>283</v>
      </c>
      <c r="F8" s="14" t="n">
        <v>4432</v>
      </c>
    </row>
    <row r="9" customFormat="false" ht="15" hidden="false" customHeight="false" outlineLevel="0" collapsed="false">
      <c r="A9" s="21" t="s">
        <v>82</v>
      </c>
      <c r="B9" s="12" t="n">
        <v>2</v>
      </c>
      <c r="C9" s="12" t="n">
        <v>20</v>
      </c>
      <c r="D9" s="22" t="n">
        <v>14.1</v>
      </c>
      <c r="E9" s="14" t="n">
        <v>281</v>
      </c>
      <c r="F9" s="14" t="n">
        <v>1006</v>
      </c>
    </row>
    <row r="10" customFormat="false" ht="15" hidden="false" customHeight="false" outlineLevel="0" collapsed="false">
      <c r="A10" s="21" t="s">
        <v>83</v>
      </c>
      <c r="B10" s="12" t="n">
        <v>2</v>
      </c>
      <c r="C10" s="12" t="n">
        <v>20</v>
      </c>
      <c r="D10" s="22" t="n">
        <v>13.5</v>
      </c>
      <c r="E10" s="14" t="n">
        <v>270</v>
      </c>
      <c r="F10" s="14" t="n">
        <v>548</v>
      </c>
    </row>
    <row r="11" customFormat="false" ht="15" hidden="false" customHeight="false" outlineLevel="0" collapsed="false">
      <c r="A11" s="21" t="s">
        <v>84</v>
      </c>
      <c r="B11" s="12" t="n">
        <v>2</v>
      </c>
      <c r="C11" s="12" t="n">
        <v>20</v>
      </c>
      <c r="D11" s="22" t="n">
        <v>13.5</v>
      </c>
      <c r="E11" s="14" t="n">
        <v>269</v>
      </c>
      <c r="F11" s="14" t="n">
        <v>3241</v>
      </c>
    </row>
    <row r="12" customFormat="false" ht="15" hidden="false" customHeight="false" outlineLevel="0" collapsed="false">
      <c r="A12" s="21" t="s">
        <v>85</v>
      </c>
      <c r="B12" s="12" t="n">
        <v>2</v>
      </c>
      <c r="C12" s="12" t="n">
        <v>20</v>
      </c>
      <c r="D12" s="22" t="n">
        <v>12.6</v>
      </c>
      <c r="E12" s="14" t="n">
        <v>252</v>
      </c>
      <c r="F12" s="14" t="n">
        <v>1238</v>
      </c>
    </row>
    <row r="13" customFormat="false" ht="15" hidden="false" customHeight="false" outlineLevel="0" collapsed="false">
      <c r="A13" s="21" t="s">
        <v>86</v>
      </c>
      <c r="B13" s="12" t="n">
        <v>2</v>
      </c>
      <c r="C13" s="12" t="n">
        <v>20</v>
      </c>
      <c r="D13" s="22" t="n">
        <v>12.6</v>
      </c>
      <c r="E13" s="14" t="n">
        <v>251</v>
      </c>
      <c r="F13" s="14" t="n">
        <v>1769</v>
      </c>
    </row>
    <row r="14" customFormat="false" ht="15" hidden="false" customHeight="false" outlineLevel="0" collapsed="false">
      <c r="A14" s="21" t="s">
        <v>87</v>
      </c>
      <c r="B14" s="12" t="n">
        <v>2</v>
      </c>
      <c r="C14" s="12" t="n">
        <v>20</v>
      </c>
      <c r="D14" s="22" t="n">
        <v>11.2</v>
      </c>
      <c r="E14" s="14" t="n">
        <v>224</v>
      </c>
      <c r="F14" s="14" t="n">
        <v>3756</v>
      </c>
    </row>
    <row r="15" customFormat="false" ht="15" hidden="false" customHeight="false" outlineLevel="0" collapsed="false">
      <c r="A15" s="21" t="s">
        <v>88</v>
      </c>
      <c r="B15" s="12" t="n">
        <v>2</v>
      </c>
      <c r="C15" s="12" t="n">
        <v>20</v>
      </c>
      <c r="D15" s="22" t="n">
        <v>11</v>
      </c>
      <c r="E15" s="14" t="n">
        <v>220</v>
      </c>
      <c r="F15" s="14" t="n">
        <v>825</v>
      </c>
    </row>
    <row r="16" customFormat="false" ht="15" hidden="false" customHeight="false" outlineLevel="0" collapsed="false">
      <c r="A16" s="21" t="s">
        <v>89</v>
      </c>
      <c r="B16" s="12" t="n">
        <v>2</v>
      </c>
      <c r="C16" s="12" t="n">
        <v>20</v>
      </c>
      <c r="D16" s="22" t="n">
        <v>10.2</v>
      </c>
      <c r="E16" s="14" t="n">
        <v>204</v>
      </c>
      <c r="F16" s="14" t="n">
        <v>613</v>
      </c>
    </row>
    <row r="17" customFormat="false" ht="15" hidden="false" customHeight="false" outlineLevel="0" collapsed="false">
      <c r="A17" s="21" t="s">
        <v>90</v>
      </c>
      <c r="B17" s="12" t="n">
        <v>2</v>
      </c>
      <c r="C17" s="12" t="n">
        <v>20</v>
      </c>
      <c r="D17" s="22" t="n">
        <v>8.1</v>
      </c>
      <c r="E17" s="14" t="n">
        <v>161</v>
      </c>
      <c r="F17" s="14" t="n">
        <v>8011</v>
      </c>
    </row>
    <row r="18" customFormat="false" ht="15" hidden="false" customHeight="false" outlineLevel="0" collapsed="false">
      <c r="A18" s="21" t="s">
        <v>91</v>
      </c>
      <c r="B18" s="12" t="n">
        <v>2</v>
      </c>
      <c r="C18" s="12" t="n">
        <v>20</v>
      </c>
      <c r="D18" s="22" t="n">
        <v>7.7</v>
      </c>
      <c r="E18" s="14" t="n">
        <v>153</v>
      </c>
      <c r="F18" s="14" t="n">
        <v>10000</v>
      </c>
    </row>
    <row r="19" customFormat="false" ht="15" hidden="false" customHeight="false" outlineLevel="0" collapsed="false">
      <c r="A19" s="21" t="s">
        <v>92</v>
      </c>
      <c r="B19" s="12" t="n">
        <v>2</v>
      </c>
      <c r="C19" s="12" t="n">
        <v>20</v>
      </c>
      <c r="D19" s="22" t="n">
        <v>7.7</v>
      </c>
      <c r="E19" s="14" t="n">
        <v>153</v>
      </c>
      <c r="F19" s="14" t="n">
        <v>1411</v>
      </c>
    </row>
    <row r="20" customFormat="false" ht="15" hidden="false" customHeight="false" outlineLevel="0" collapsed="false">
      <c r="A20" s="21" t="s">
        <v>93</v>
      </c>
      <c r="B20" s="12" t="n">
        <v>2</v>
      </c>
      <c r="C20" s="12" t="n">
        <v>20</v>
      </c>
      <c r="D20" s="22" t="n">
        <v>7</v>
      </c>
      <c r="E20" s="14" t="n">
        <v>140</v>
      </c>
      <c r="F20" s="14" t="n">
        <v>2411</v>
      </c>
    </row>
    <row r="21" customFormat="false" ht="15" hidden="false" customHeight="false" outlineLevel="0" collapsed="false">
      <c r="A21" s="21" t="s">
        <v>94</v>
      </c>
      <c r="B21" s="12" t="n">
        <v>2</v>
      </c>
      <c r="C21" s="12" t="n">
        <v>20</v>
      </c>
      <c r="D21" s="22" t="n">
        <v>6.9</v>
      </c>
      <c r="E21" s="14" t="n">
        <v>138</v>
      </c>
      <c r="F21" s="14" t="n">
        <v>1094</v>
      </c>
    </row>
    <row r="22" customFormat="false" ht="15" hidden="false" customHeight="false" outlineLevel="0" collapsed="false">
      <c r="A22" s="21" t="s">
        <v>95</v>
      </c>
      <c r="B22" s="12" t="n">
        <v>2</v>
      </c>
      <c r="C22" s="12" t="n">
        <v>20</v>
      </c>
      <c r="D22" s="22" t="n">
        <v>6.4</v>
      </c>
      <c r="E22" s="14" t="n">
        <v>128</v>
      </c>
      <c r="F22" s="14" t="n">
        <v>1730</v>
      </c>
    </row>
    <row r="23" customFormat="false" ht="15" hidden="false" customHeight="false" outlineLevel="0" collapsed="false">
      <c r="A23" s="21" t="s">
        <v>96</v>
      </c>
      <c r="B23" s="12" t="n">
        <v>2</v>
      </c>
      <c r="C23" s="12" t="n">
        <v>20</v>
      </c>
      <c r="D23" s="22" t="n">
        <v>6.4</v>
      </c>
      <c r="E23" s="14" t="n">
        <v>127</v>
      </c>
      <c r="F23" s="14" t="n">
        <v>3286</v>
      </c>
    </row>
    <row r="24" customFormat="false" ht="15" hidden="false" customHeight="false" outlineLevel="0" collapsed="false">
      <c r="A24" s="21" t="s">
        <v>97</v>
      </c>
      <c r="B24" s="12" t="n">
        <v>2</v>
      </c>
      <c r="C24" s="12" t="n">
        <v>20</v>
      </c>
      <c r="D24" s="22" t="n">
        <v>4.9</v>
      </c>
      <c r="E24" s="14" t="n">
        <v>97</v>
      </c>
      <c r="F24" s="14" t="n">
        <v>2596</v>
      </c>
    </row>
    <row r="25" customFormat="false" ht="15" hidden="false" customHeight="false" outlineLevel="0" collapsed="false">
      <c r="A25" s="21" t="s">
        <v>98</v>
      </c>
      <c r="B25" s="12" t="n">
        <v>2</v>
      </c>
      <c r="C25" s="12" t="n">
        <v>20</v>
      </c>
      <c r="D25" s="22" t="n">
        <v>4.8</v>
      </c>
      <c r="E25" s="14" t="n">
        <v>95</v>
      </c>
      <c r="F25" s="14" t="n">
        <v>3229</v>
      </c>
    </row>
    <row r="26" customFormat="false" ht="15" hidden="false" customHeight="false" outlineLevel="0" collapsed="false">
      <c r="A26" s="21" t="s">
        <v>99</v>
      </c>
      <c r="B26" s="12" t="n">
        <v>2</v>
      </c>
      <c r="C26" s="12" t="n">
        <v>20</v>
      </c>
      <c r="D26" s="22" t="n">
        <v>3.9</v>
      </c>
      <c r="E26" s="14" t="n">
        <v>78</v>
      </c>
      <c r="F26" s="14" t="n">
        <v>2184</v>
      </c>
    </row>
    <row r="27" customFormat="false" ht="15" hidden="false" customHeight="false" outlineLevel="0" collapsed="false">
      <c r="A27" s="21" t="s">
        <v>100</v>
      </c>
      <c r="B27" s="12" t="n">
        <v>2</v>
      </c>
      <c r="C27" s="12" t="n">
        <v>20</v>
      </c>
      <c r="D27" s="22" t="n">
        <v>1.8</v>
      </c>
      <c r="E27" s="14" t="n">
        <v>35</v>
      </c>
      <c r="F27" s="14" t="n">
        <v>1030</v>
      </c>
    </row>
    <row r="28" customFormat="false" ht="15" hidden="false" customHeight="false" outlineLevel="0" collapsed="false">
      <c r="A28" s="21" t="s">
        <v>101</v>
      </c>
      <c r="B28" s="12" t="n">
        <v>2</v>
      </c>
      <c r="C28" s="12" t="n">
        <v>20</v>
      </c>
      <c r="D28" s="22" t="n">
        <v>1.7</v>
      </c>
      <c r="E28" s="14" t="n">
        <v>34</v>
      </c>
      <c r="F28" s="14" t="n">
        <v>9125</v>
      </c>
    </row>
    <row r="29" customFormat="false" ht="15" hidden="false" customHeight="false" outlineLevel="0" collapsed="false">
      <c r="A29" s="17" t="s">
        <v>102</v>
      </c>
      <c r="B29" s="18"/>
      <c r="C29" s="19" t="n">
        <v>480</v>
      </c>
      <c r="D29" s="18"/>
      <c r="E29" s="19" t="n">
        <f aca="false">SUM(E5:E28)</f>
        <v>4624</v>
      </c>
      <c r="F29" s="19" t="n">
        <f aca="false">SUM(F5:F28)</f>
        <v>74349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3" t="s">
        <v>103</v>
      </c>
    </row>
    <row r="3" customFormat="false" ht="15.75" hidden="false" customHeight="true" outlineLevel="0" collapsed="false">
      <c r="A3" s="24" t="s">
        <v>104</v>
      </c>
    </row>
    <row r="4" customFormat="false" ht="15.75" hidden="false" customHeight="true" outlineLevel="0" collapsed="false">
      <c r="A4" s="24" t="s">
        <v>105</v>
      </c>
    </row>
    <row r="5" customFormat="false" ht="13.5" hidden="false" customHeight="true" outlineLevel="0" collapsed="false">
      <c r="A5" s="24"/>
    </row>
    <row r="6" customFormat="false" ht="15.75" hidden="false" customHeight="true" outlineLevel="0" collapsed="false">
      <c r="A6" s="25" t="s">
        <v>106</v>
      </c>
    </row>
    <row r="7" customFormat="false" ht="15.75" hidden="false" customHeight="true" outlineLevel="0" collapsed="false">
      <c r="A7" s="24" t="s">
        <v>107</v>
      </c>
    </row>
    <row r="8" customFormat="false" ht="15.75" hidden="false" customHeight="true" outlineLevel="0" collapsed="false">
      <c r="A8" s="24" t="s">
        <v>108</v>
      </c>
    </row>
    <row r="9" customFormat="false" ht="15.75" hidden="false" customHeight="true" outlineLevel="0" collapsed="false">
      <c r="A9" s="24" t="s">
        <v>109</v>
      </c>
    </row>
    <row r="10" customFormat="false" ht="13.5" hidden="false" customHeight="true" outlineLevel="0" collapsed="false">
      <c r="A10" s="24"/>
    </row>
    <row r="11" customFormat="false" ht="15.75" hidden="false" customHeight="true" outlineLevel="0" collapsed="false">
      <c r="A11" s="24" t="s">
        <v>110</v>
      </c>
    </row>
    <row r="12" customFormat="false" ht="15.75" hidden="false" customHeight="true" outlineLevel="0" collapsed="false">
      <c r="A12" s="24" t="s">
        <v>111</v>
      </c>
    </row>
    <row r="13" customFormat="false" ht="13.5" hidden="false" customHeight="true" outlineLevel="0" collapsed="false">
      <c r="A13" s="24"/>
    </row>
    <row r="14" customFormat="false" ht="15.75" hidden="false" customHeight="true" outlineLevel="0" collapsed="false">
      <c r="A14" s="24" t="s">
        <v>112</v>
      </c>
    </row>
    <row r="15" customFormat="false" ht="15.75" hidden="false" customHeight="true" outlineLevel="0" collapsed="false">
      <c r="A15" s="24" t="s">
        <v>113</v>
      </c>
    </row>
    <row r="16" customFormat="false" ht="13.5" hidden="false" customHeight="true" outlineLevel="0" collapsed="false">
      <c r="A16" s="24"/>
    </row>
    <row r="17" customFormat="false" ht="15.75" hidden="false" customHeight="true" outlineLevel="0" collapsed="false">
      <c r="A17" s="24" t="s">
        <v>114</v>
      </c>
    </row>
    <row r="18" customFormat="false" ht="15.75" hidden="false" customHeight="true" outlineLevel="0" collapsed="false">
      <c r="A18" s="24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2026-07-22T07:26:46Z</dcterms:created>
  <dc:creator>openpyxl</dc:creator>
  <dc:description/>
  <dc:language>en-US</dc:language>
  <cp:lastModifiedBy/>
  <dcterms:modified xsi:type="dcterms:W3CDTF">2026-07-22T07:26:46Z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